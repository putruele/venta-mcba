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1" l="1"/>
  <c r="P16" i="1"/>
  <c r="P23" i="1"/>
  <c r="P26" i="1"/>
  <c r="P28" i="1"/>
  <c r="P30" i="1"/>
  <c r="P32" i="1"/>
  <c r="P34" i="1"/>
  <c r="P39" i="1"/>
  <c r="P43" i="1"/>
  <c r="P46" i="1"/>
  <c r="P50" i="1"/>
  <c r="P52" i="1"/>
  <c r="P54" i="1"/>
  <c r="P56" i="1"/>
  <c r="P60" i="1"/>
  <c r="P65" i="1"/>
  <c r="P67" i="1"/>
  <c r="P87" i="1"/>
  <c r="P89" i="1"/>
  <c r="P91" i="1"/>
  <c r="P93" i="1"/>
  <c r="P98" i="1"/>
  <c r="P101" i="1"/>
  <c r="P105" i="1"/>
  <c r="P107" i="1"/>
  <c r="P119" i="1"/>
  <c r="P123" i="1"/>
  <c r="O124" i="1"/>
  <c r="N124" i="1"/>
  <c r="O123" i="1"/>
  <c r="N123" i="1"/>
  <c r="O119" i="1"/>
  <c r="N119" i="1"/>
  <c r="O107" i="1"/>
  <c r="N107" i="1"/>
  <c r="O105" i="1"/>
  <c r="N105" i="1"/>
  <c r="O101" i="1"/>
  <c r="N101" i="1"/>
  <c r="O98" i="1"/>
  <c r="N98" i="1"/>
  <c r="O93" i="1"/>
  <c r="N93" i="1"/>
  <c r="O91" i="1"/>
  <c r="N91" i="1"/>
  <c r="O89" i="1"/>
  <c r="N89" i="1"/>
  <c r="O87" i="1"/>
  <c r="N87" i="1"/>
  <c r="O67" i="1"/>
  <c r="N67" i="1"/>
  <c r="O65" i="1"/>
  <c r="N65" i="1"/>
  <c r="O60" i="1"/>
  <c r="N60" i="1"/>
  <c r="O56" i="1"/>
  <c r="N56" i="1"/>
  <c r="O54" i="1"/>
  <c r="N54" i="1"/>
  <c r="O52" i="1"/>
  <c r="N52" i="1"/>
  <c r="O50" i="1"/>
  <c r="N50" i="1"/>
  <c r="O46" i="1"/>
  <c r="N46" i="1"/>
  <c r="O43" i="1"/>
  <c r="N43" i="1"/>
  <c r="O39" i="1"/>
  <c r="N39" i="1"/>
  <c r="O34" i="1"/>
  <c r="N34" i="1"/>
  <c r="O32" i="1"/>
  <c r="N32" i="1"/>
  <c r="O30" i="1"/>
  <c r="N30" i="1"/>
  <c r="O28" i="1"/>
  <c r="N28" i="1"/>
  <c r="O26" i="1"/>
  <c r="N26" i="1"/>
  <c r="O23" i="1"/>
  <c r="N23" i="1"/>
  <c r="O16" i="1"/>
  <c r="N16" i="1"/>
  <c r="O9" i="1"/>
  <c r="N9" i="1"/>
</calcChain>
</file>

<file path=xl/sharedStrings.xml><?xml version="1.0" encoding="utf-8"?>
<sst xmlns="http://schemas.openxmlformats.org/spreadsheetml/2006/main" count="776" uniqueCount="200">
  <si>
    <t>2026.07.24 14:54:10 SUCU:   2 CAJA: 1</t>
  </si>
  <si>
    <t xml:space="preserve">PUTRUELE HNOS. S.A.A.I.C.  </t>
  </si>
  <si>
    <t>LS040-VENTAS PERIODO:24/07/26-24/07/26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</si>
  <si>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</si>
  <si>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</si>
  <si>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</si>
  <si>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</si>
  <si>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</si>
  <si>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</si>
  <si>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</si>
  <si>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</si>
  <si>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</si>
  <si>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</si>
  <si>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</si>
  <si>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</si>
  <si>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</si>
  <si>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</si>
  <si>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</si>
  <si>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</si>
  <si>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JENGIBRE  </t>
  </si>
  <si>
    <t xml:space="preserve">FRESCO    </t>
  </si>
  <si>
    <t xml:space="preserve">          </t>
  </si>
  <si>
    <t xml:space="preserve">ELG       </t>
  </si>
  <si>
    <t xml:space="preserve">KILOS     </t>
  </si>
  <si>
    <t xml:space="preserve">MDR CORONA     </t>
  </si>
  <si>
    <t>FRASCO CHI</t>
  </si>
  <si>
    <t xml:space="preserve">ESPARRAGO </t>
  </si>
  <si>
    <t xml:space="preserve">CBA       </t>
  </si>
  <si>
    <t xml:space="preserve">FRASCO    </t>
  </si>
  <si>
    <t xml:space="preserve">GREEN PATA     </t>
  </si>
  <si>
    <t>FRASCO GRA</t>
  </si>
  <si>
    <t xml:space="preserve">KIWI      </t>
  </si>
  <si>
    <t xml:space="preserve">HAYWARD   </t>
  </si>
  <si>
    <t xml:space="preserve">CHILE     </t>
  </si>
  <si>
    <t xml:space="preserve">27        </t>
  </si>
  <si>
    <t xml:space="preserve">C/PL      </t>
  </si>
  <si>
    <t xml:space="preserve">EXPOR FRUG     </t>
  </si>
  <si>
    <t xml:space="preserve">GRANADA   </t>
  </si>
  <si>
    <t>WONDERFULL</t>
  </si>
  <si>
    <t xml:space="preserve">C/C       </t>
  </si>
  <si>
    <t xml:space="preserve">ESTANCIA L     </t>
  </si>
  <si>
    <t xml:space="preserve">PALTA     </t>
  </si>
  <si>
    <t xml:space="preserve">HASS      </t>
  </si>
  <si>
    <t xml:space="preserve">PERU      </t>
  </si>
  <si>
    <t xml:space="preserve">70        </t>
  </si>
  <si>
    <t xml:space="preserve">WESTFALIA      </t>
  </si>
  <si>
    <t xml:space="preserve">MANZANA   </t>
  </si>
  <si>
    <t>GRANNY SMI</t>
  </si>
  <si>
    <t xml:space="preserve">CELESTINO      </t>
  </si>
  <si>
    <t xml:space="preserve">UVA       </t>
  </si>
  <si>
    <t>SUGAR CRIS</t>
  </si>
  <si>
    <t xml:space="preserve">BRASIL    </t>
  </si>
  <si>
    <t xml:space="preserve">SERRA BRAN     </t>
  </si>
  <si>
    <t xml:space="preserve">TMAN      </t>
  </si>
  <si>
    <t xml:space="preserve">26        </t>
  </si>
  <si>
    <t xml:space="preserve">GUAYAL S.A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</si>
  <si>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</si>
  <si>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</si>
  <si>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</si>
  <si>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</si>
  <si>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AGROPECUAR     </t>
  </si>
  <si>
    <t xml:space="preserve">PI¥A      </t>
  </si>
  <si>
    <t xml:space="preserve">ECUADOR   </t>
  </si>
  <si>
    <t xml:space="preserve">6         </t>
  </si>
  <si>
    <t xml:space="preserve">PI¥AS RICA     </t>
  </si>
  <si>
    <t xml:space="preserve">7         </t>
  </si>
  <si>
    <t xml:space="preserve">N§6       </t>
  </si>
  <si>
    <t xml:space="preserve">N§7       </t>
  </si>
  <si>
    <t>RED SUP CH</t>
  </si>
  <si>
    <t xml:space="preserve">138       </t>
  </si>
  <si>
    <t xml:space="preserve">C/M       </t>
  </si>
  <si>
    <t xml:space="preserve">R.N.      </t>
  </si>
  <si>
    <t xml:space="preserve">COMEX          </t>
  </si>
  <si>
    <t xml:space="preserve">AMARILLO  </t>
  </si>
  <si>
    <t>NUEVA ZELA</t>
  </si>
  <si>
    <t xml:space="preserve">22        </t>
  </si>
  <si>
    <t xml:space="preserve">ZESPRI INT     </t>
  </si>
  <si>
    <t xml:space="preserve">18        </t>
  </si>
  <si>
    <t xml:space="preserve">JOSE ALCID     </t>
  </si>
  <si>
    <t xml:space="preserve">24        </t>
  </si>
  <si>
    <t xml:space="preserve">PERA      </t>
  </si>
  <si>
    <t xml:space="preserve">PACKHAM'S </t>
  </si>
  <si>
    <t xml:space="preserve">1/2 CAJA  </t>
  </si>
  <si>
    <t xml:space="preserve">60        </t>
  </si>
  <si>
    <t xml:space="preserve">EXPOR PROP     </t>
  </si>
  <si>
    <t xml:space="preserve">MELON     </t>
  </si>
  <si>
    <t>AMARILLO S</t>
  </si>
  <si>
    <t xml:space="preserve">NOVAFRUIT      </t>
  </si>
  <si>
    <t xml:space="preserve">5         </t>
  </si>
  <si>
    <t xml:space="preserve">DINA INDUS     </t>
  </si>
  <si>
    <t>AMARILLO C</t>
  </si>
  <si>
    <t xml:space="preserve">8         </t>
  </si>
  <si>
    <t xml:space="preserve">T.10      </t>
  </si>
  <si>
    <t xml:space="preserve">12        </t>
  </si>
  <si>
    <t xml:space="preserve">CAT I     </t>
  </si>
  <si>
    <t xml:space="preserve">JUJUY     </t>
  </si>
  <si>
    <t xml:space="preserve">VISION JUJ     </t>
  </si>
  <si>
    <t xml:space="preserve">CIRUELA   </t>
  </si>
  <si>
    <t>BLACK SPLE</t>
  </si>
  <si>
    <t xml:space="preserve">ESPA¥A    </t>
  </si>
  <si>
    <t xml:space="preserve">55-60     </t>
  </si>
  <si>
    <t xml:space="preserve">FRUTINA IM     </t>
  </si>
  <si>
    <t xml:space="preserve">LIMA      </t>
  </si>
  <si>
    <t xml:space="preserve">TAHITI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</si>
  <si>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</si>
  <si>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</si>
  <si>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</si>
  <si>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</si>
  <si>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CAT 2     </t>
  </si>
  <si>
    <t xml:space="preserve">16        </t>
  </si>
  <si>
    <t xml:space="preserve">BONELLA        </t>
  </si>
  <si>
    <t xml:space="preserve">TOMATE    </t>
  </si>
  <si>
    <t xml:space="preserve">RAF NEGRO </t>
  </si>
  <si>
    <t xml:space="preserve">CTES.     </t>
  </si>
  <si>
    <t xml:space="preserve">BAND      </t>
  </si>
  <si>
    <t xml:space="preserve">FINCA LA J     </t>
  </si>
  <si>
    <t xml:space="preserve">CHERRY    </t>
  </si>
  <si>
    <t>RACIMO NEG</t>
  </si>
  <si>
    <t xml:space="preserve">RAF       </t>
  </si>
  <si>
    <t xml:space="preserve">PILAR     </t>
  </si>
  <si>
    <t xml:space="preserve">REDONDO   </t>
  </si>
  <si>
    <t xml:space="preserve">COMERCIAL      </t>
  </si>
  <si>
    <t xml:space="preserve">BANANA    </t>
  </si>
  <si>
    <t xml:space="preserve">CAVENDISH </t>
  </si>
  <si>
    <t xml:space="preserve">SEG.      </t>
  </si>
  <si>
    <t xml:space="preserve">A.ROCKY S.     </t>
  </si>
  <si>
    <t xml:space="preserve">RAF ROSA  </t>
  </si>
  <si>
    <t>RAF AMARIL</t>
  </si>
  <si>
    <t xml:space="preserve">MAMON     </t>
  </si>
  <si>
    <t xml:space="preserve">FORMOSA   </t>
  </si>
  <si>
    <t xml:space="preserve">84        </t>
  </si>
  <si>
    <t xml:space="preserve">MORRON    </t>
  </si>
  <si>
    <t xml:space="preserve">VERDE     </t>
  </si>
  <si>
    <t xml:space="preserve">PRODUCTOS      </t>
  </si>
  <si>
    <t xml:space="preserve">FRUTILLA  </t>
  </si>
  <si>
    <t xml:space="preserve">S.FE      </t>
  </si>
  <si>
    <t xml:space="preserve">GLOBAL SRL     </t>
  </si>
  <si>
    <t xml:space="preserve">20        </t>
  </si>
  <si>
    <t xml:space="preserve">14        </t>
  </si>
  <si>
    <t xml:space="preserve">PAPIN     </t>
  </si>
  <si>
    <t xml:space="preserve">AGATA     </t>
  </si>
  <si>
    <t xml:space="preserve">DON JAIME      </t>
  </si>
  <si>
    <t xml:space="preserve">REPOLLITO </t>
  </si>
  <si>
    <t xml:space="preserve">BRUSELA   </t>
  </si>
  <si>
    <t xml:space="preserve">BS.AS.    </t>
  </si>
  <si>
    <t xml:space="preserve">GUILLERMO      </t>
  </si>
  <si>
    <t>PORTOBELLO</t>
  </si>
  <si>
    <t xml:space="preserve">HONGOS DEL     </t>
  </si>
  <si>
    <t>CHAMPIG¥ON</t>
  </si>
  <si>
    <t xml:space="preserve">C-AZUL    </t>
  </si>
  <si>
    <t xml:space="preserve">C/VERDE   </t>
  </si>
  <si>
    <t>PARRILLERO</t>
  </si>
  <si>
    <t xml:space="preserve">CAMINO FER     </t>
  </si>
  <si>
    <t xml:space="preserve">GAJO`S DE      </t>
  </si>
  <si>
    <t xml:space="preserve">C/CUB 8   </t>
  </si>
  <si>
    <t xml:space="preserve">GARCIA Y G     </t>
  </si>
  <si>
    <t xml:space="preserve">GRUPO CAST     </t>
  </si>
  <si>
    <t xml:space="preserve">RUBY RUSH </t>
  </si>
  <si>
    <t xml:space="preserve">T.12      </t>
  </si>
  <si>
    <t xml:space="preserve">JAGUACY BR     </t>
  </si>
  <si>
    <t>RACIMO ROJ</t>
  </si>
  <si>
    <t>RACIMO PIN</t>
  </si>
  <si>
    <t>RACIMO PER</t>
  </si>
  <si>
    <t>COMUN ROJO</t>
  </si>
  <si>
    <t>RAF VIOLET</t>
  </si>
  <si>
    <t xml:space="preserve">PITAHAYA  </t>
  </si>
  <si>
    <t xml:space="preserve">ROJA      </t>
  </si>
  <si>
    <t xml:space="preserve">CALDERON N     </t>
  </si>
  <si>
    <t xml:space="preserve">SJN       </t>
  </si>
  <si>
    <t xml:space="preserve">PAQUETES  </t>
  </si>
  <si>
    <t xml:space="preserve">PUTRUELE H   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</si>
  <si>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</si>
  <si>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</si>
  <si>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</si>
  <si>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</si>
  <si>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</si>
  <si>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</si>
  <si>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>Total FRASCO CHI</t>
  </si>
  <si>
    <t>Total FRASCO GRA</t>
  </si>
  <si>
    <t xml:space="preserve">Total FRUTILLA  </t>
  </si>
  <si>
    <t xml:space="preserve">Total GRANADA   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</si>
  <si>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</si>
  <si>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</si>
  <si>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</si>
  <si>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</si>
  <si>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</si>
  <si>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</si>
  <si>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</si>
  <si>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</si>
  <si>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PALTA     </t>
  </si>
  <si>
    <t xml:space="preserve">Total PAPIN     </t>
  </si>
  <si>
    <t>Total PARRILLERO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</si>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</sst>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tabSelected="1" topLeftCell="A97" workbookViewId="0">
      <selection activeCell="D125" sqref="D125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46225</v>
      </c>
      <c r="B5" s="2">
        <v>160934</v>
      </c>
      <c r="C5" s="2">
        <v>3</v>
      </c>
      <c r="D5" s="2" t="s">
        <v>122</v>
      </c>
      <c r="E5" s="2" t="s">
        <v>21</v>
      </c>
      <c r="F5" s="2" t="s">
        <v>62</v>
      </c>
      <c r="G5" s="2" t="s">
        <v>22</v>
      </c>
      <c r="H5" s="2" t="s">
        <v>21</v>
      </c>
      <c r="I5" s="2" t="s">
        <v>21</v>
      </c>
      <c r="J5" s="2">
        <v>1</v>
      </c>
      <c r="K5" s="2" t="s">
        <v>39</v>
      </c>
      <c r="L5" s="2">
        <v>2024</v>
      </c>
      <c r="M5" s="2" t="s">
        <v>64</v>
      </c>
      <c r="N5" s="2">
        <v>33</v>
      </c>
      <c r="O5" s="6">
        <v>1070022.83</v>
      </c>
      <c r="P5" s="6">
        <v>32424.93</v>
      </c>
    </row>
    <row r="6" spans="1:16" outlineLevel="2" x14ac:dyDescent="0.2">
      <c r="A6" s="5">
        <v>46225</v>
      </c>
      <c r="B6" s="2">
        <v>161058</v>
      </c>
      <c r="C6" s="2">
        <v>1</v>
      </c>
      <c r="D6" s="2" t="s">
        <v>122</v>
      </c>
      <c r="E6" s="2" t="s">
        <v>21</v>
      </c>
      <c r="F6" s="2" t="s">
        <v>62</v>
      </c>
      <c r="G6" s="2" t="s">
        <v>22</v>
      </c>
      <c r="H6" s="2" t="s">
        <v>21</v>
      </c>
      <c r="I6" s="2" t="s">
        <v>21</v>
      </c>
      <c r="J6" s="2">
        <v>1</v>
      </c>
      <c r="K6" s="2" t="s">
        <v>39</v>
      </c>
      <c r="L6" s="2">
        <v>1503</v>
      </c>
      <c r="M6" s="2" t="s">
        <v>141</v>
      </c>
      <c r="N6" s="2">
        <v>5</v>
      </c>
      <c r="O6" s="6">
        <v>147840.25</v>
      </c>
      <c r="P6" s="6">
        <v>29568.05</v>
      </c>
    </row>
    <row r="7" spans="1:16" outlineLevel="2" x14ac:dyDescent="0.2">
      <c r="A7" s="5">
        <v>46227</v>
      </c>
      <c r="B7" s="2">
        <v>161143</v>
      </c>
      <c r="C7" s="2">
        <v>1</v>
      </c>
      <c r="D7" s="2" t="s">
        <v>122</v>
      </c>
      <c r="E7" s="2" t="s">
        <v>21</v>
      </c>
      <c r="F7" s="2" t="s">
        <v>62</v>
      </c>
      <c r="G7" s="2" t="s">
        <v>22</v>
      </c>
      <c r="H7" s="2" t="s">
        <v>21</v>
      </c>
      <c r="I7" s="2" t="s">
        <v>21</v>
      </c>
      <c r="J7" s="2">
        <v>1</v>
      </c>
      <c r="K7" s="2" t="s">
        <v>39</v>
      </c>
      <c r="L7" s="2">
        <v>1503</v>
      </c>
      <c r="M7" s="2" t="s">
        <v>141</v>
      </c>
      <c r="N7" s="2">
        <v>55</v>
      </c>
      <c r="O7" s="6">
        <v>1766508.31</v>
      </c>
      <c r="P7" s="6">
        <v>32118.33</v>
      </c>
    </row>
    <row r="8" spans="1:16" outlineLevel="2" x14ac:dyDescent="0.2">
      <c r="A8" s="5">
        <v>46223</v>
      </c>
      <c r="B8" s="2">
        <v>160934</v>
      </c>
      <c r="C8" s="2">
        <v>4</v>
      </c>
      <c r="D8" s="2" t="s">
        <v>122</v>
      </c>
      <c r="E8" s="2" t="s">
        <v>123</v>
      </c>
      <c r="F8" s="2" t="s">
        <v>119</v>
      </c>
      <c r="G8" s="2" t="s">
        <v>21</v>
      </c>
      <c r="H8" s="2" t="s">
        <v>21</v>
      </c>
      <c r="I8" s="2" t="s">
        <v>21</v>
      </c>
      <c r="J8" s="2">
        <v>1</v>
      </c>
      <c r="K8" s="2" t="s">
        <v>39</v>
      </c>
      <c r="L8" s="2">
        <v>2024</v>
      </c>
      <c r="M8" s="2" t="s">
        <v>64</v>
      </c>
      <c r="N8" s="2">
        <v>10</v>
      </c>
      <c r="O8" s="6">
        <v>141786.35</v>
      </c>
      <c r="P8" s="6">
        <v>14178.64</v>
      </c>
    </row>
    <row r="9" spans="1:16" outlineLevel="1" x14ac:dyDescent="0.2">
      <c r="A9" s="5"/>
      <c r="D9" s="4" t="s">
        <v>171</v>
      </c>
      <c r="E9" s="4"/>
      <c r="F9" s="4"/>
      <c r="G9" s="4"/>
      <c r="H9" s="4"/>
      <c r="I9" s="4"/>
      <c r="J9" s="4"/>
      <c r="K9" s="4"/>
      <c r="L9" s="4"/>
      <c r="M9" s="4"/>
      <c r="N9" s="4">
        <f>SUBTOTAL(9,N5:N8)</f>
        <v>103</v>
      </c>
      <c r="O9" s="7">
        <f>SUBTOTAL(9,O5:O8)</f>
        <v>3126157.74</v>
      </c>
      <c r="P9" s="7">
        <f>+O9/N9</f>
        <v>30351.046019417478</v>
      </c>
    </row>
    <row r="10" spans="1:16" outlineLevel="2" x14ac:dyDescent="0.2">
      <c r="A10" s="5">
        <v>46225</v>
      </c>
      <c r="B10" s="2">
        <v>161060</v>
      </c>
      <c r="C10" s="2">
        <v>4</v>
      </c>
      <c r="D10" s="2" t="s">
        <v>148</v>
      </c>
      <c r="E10" s="2" t="s">
        <v>21</v>
      </c>
      <c r="F10" s="2" t="s">
        <v>144</v>
      </c>
      <c r="G10" s="2" t="s">
        <v>22</v>
      </c>
      <c r="H10" s="2" t="s">
        <v>149</v>
      </c>
      <c r="I10" s="2" t="s">
        <v>21</v>
      </c>
      <c r="J10" s="2">
        <v>41</v>
      </c>
      <c r="K10" s="2" t="s">
        <v>114</v>
      </c>
      <c r="L10" s="2">
        <v>25213</v>
      </c>
      <c r="M10" s="2" t="s">
        <v>147</v>
      </c>
      <c r="N10" s="2">
        <v>22</v>
      </c>
      <c r="O10" s="6">
        <v>75685.19</v>
      </c>
      <c r="P10" s="6">
        <v>3440.24</v>
      </c>
    </row>
    <row r="11" spans="1:16" outlineLevel="2" x14ac:dyDescent="0.2">
      <c r="A11" s="5">
        <v>46225</v>
      </c>
      <c r="B11" s="2">
        <v>161060</v>
      </c>
      <c r="C11" s="2">
        <v>5</v>
      </c>
      <c r="D11" s="2" t="s">
        <v>148</v>
      </c>
      <c r="E11" s="2" t="s">
        <v>21</v>
      </c>
      <c r="F11" s="2" t="s">
        <v>144</v>
      </c>
      <c r="G11" s="2" t="s">
        <v>22</v>
      </c>
      <c r="H11" s="2" t="s">
        <v>150</v>
      </c>
      <c r="I11" s="2" t="s">
        <v>21</v>
      </c>
      <c r="J11" s="2">
        <v>41</v>
      </c>
      <c r="K11" s="2" t="s">
        <v>114</v>
      </c>
      <c r="L11" s="2">
        <v>25213</v>
      </c>
      <c r="M11" s="2" t="s">
        <v>147</v>
      </c>
      <c r="N11" s="2">
        <v>13</v>
      </c>
      <c r="O11" s="6">
        <v>39385.589999999997</v>
      </c>
      <c r="P11" s="6">
        <v>3029.66</v>
      </c>
    </row>
    <row r="12" spans="1:16" outlineLevel="2" x14ac:dyDescent="0.2">
      <c r="A12" s="5">
        <v>46227</v>
      </c>
      <c r="B12" s="2">
        <v>161142</v>
      </c>
      <c r="C12" s="2">
        <v>1</v>
      </c>
      <c r="D12" s="2" t="s">
        <v>148</v>
      </c>
      <c r="E12" s="2" t="s">
        <v>21</v>
      </c>
      <c r="F12" s="2" t="s">
        <v>144</v>
      </c>
      <c r="G12" s="2" t="s">
        <v>22</v>
      </c>
      <c r="H12" s="2" t="s">
        <v>149</v>
      </c>
      <c r="I12" s="2" t="s">
        <v>21</v>
      </c>
      <c r="J12" s="2">
        <v>41</v>
      </c>
      <c r="K12" s="2" t="s">
        <v>114</v>
      </c>
      <c r="L12" s="2">
        <v>25213</v>
      </c>
      <c r="M12" s="2" t="s">
        <v>147</v>
      </c>
      <c r="N12" s="2">
        <v>25</v>
      </c>
      <c r="O12" s="6">
        <v>85793.75</v>
      </c>
      <c r="P12" s="6">
        <v>3431.75</v>
      </c>
    </row>
    <row r="13" spans="1:16" outlineLevel="2" x14ac:dyDescent="0.2">
      <c r="A13" s="5">
        <v>46227</v>
      </c>
      <c r="B13" s="2">
        <v>161142</v>
      </c>
      <c r="C13" s="2">
        <v>2</v>
      </c>
      <c r="D13" s="2" t="s">
        <v>148</v>
      </c>
      <c r="E13" s="2" t="s">
        <v>21</v>
      </c>
      <c r="F13" s="2" t="s">
        <v>144</v>
      </c>
      <c r="G13" s="2" t="s">
        <v>22</v>
      </c>
      <c r="H13" s="2" t="s">
        <v>150</v>
      </c>
      <c r="I13" s="2" t="s">
        <v>21</v>
      </c>
      <c r="J13" s="2">
        <v>41</v>
      </c>
      <c r="K13" s="2" t="s">
        <v>114</v>
      </c>
      <c r="L13" s="2">
        <v>25213</v>
      </c>
      <c r="M13" s="2" t="s">
        <v>147</v>
      </c>
      <c r="N13" s="2">
        <v>25</v>
      </c>
      <c r="O13" s="6">
        <v>74966.09</v>
      </c>
      <c r="P13" s="6">
        <v>2998.64</v>
      </c>
    </row>
    <row r="14" spans="1:16" outlineLevel="2" x14ac:dyDescent="0.2">
      <c r="A14" s="5">
        <v>46227</v>
      </c>
      <c r="B14" s="2">
        <v>161142</v>
      </c>
      <c r="C14" s="2">
        <v>3</v>
      </c>
      <c r="D14" s="2" t="s">
        <v>148</v>
      </c>
      <c r="E14" s="2" t="s">
        <v>21</v>
      </c>
      <c r="F14" s="2" t="s">
        <v>144</v>
      </c>
      <c r="G14" s="2" t="s">
        <v>22</v>
      </c>
      <c r="H14" s="2" t="s">
        <v>21</v>
      </c>
      <c r="I14" s="2" t="s">
        <v>21</v>
      </c>
      <c r="J14" s="2">
        <v>1</v>
      </c>
      <c r="K14" s="2" t="s">
        <v>39</v>
      </c>
      <c r="L14" s="2">
        <v>25213</v>
      </c>
      <c r="M14" s="2" t="s">
        <v>147</v>
      </c>
      <c r="N14" s="2">
        <v>4</v>
      </c>
      <c r="O14" s="6">
        <v>333567.12</v>
      </c>
      <c r="P14" s="6">
        <v>83391.78</v>
      </c>
    </row>
    <row r="15" spans="1:16" outlineLevel="2" x14ac:dyDescent="0.2">
      <c r="A15" s="5">
        <v>46227</v>
      </c>
      <c r="B15" s="2">
        <v>161142</v>
      </c>
      <c r="C15" s="2">
        <v>4</v>
      </c>
      <c r="D15" s="2" t="s">
        <v>148</v>
      </c>
      <c r="E15" s="2" t="s">
        <v>21</v>
      </c>
      <c r="F15" s="2" t="s">
        <v>144</v>
      </c>
      <c r="G15" s="2" t="s">
        <v>124</v>
      </c>
      <c r="H15" s="2" t="s">
        <v>21</v>
      </c>
      <c r="I15" s="2" t="s">
        <v>21</v>
      </c>
      <c r="J15" s="2">
        <v>1</v>
      </c>
      <c r="K15" s="2" t="s">
        <v>39</v>
      </c>
      <c r="L15" s="2">
        <v>25213</v>
      </c>
      <c r="M15" s="2" t="s">
        <v>147</v>
      </c>
      <c r="N15" s="2">
        <v>2</v>
      </c>
      <c r="O15" s="6">
        <v>130077.46</v>
      </c>
      <c r="P15" s="6">
        <v>65038.73</v>
      </c>
    </row>
    <row r="16" spans="1:16" outlineLevel="1" x14ac:dyDescent="0.2">
      <c r="A16" s="5"/>
      <c r="D16" s="4" t="s">
        <v>172</v>
      </c>
      <c r="E16" s="4"/>
      <c r="F16" s="4"/>
      <c r="G16" s="4"/>
      <c r="H16" s="4"/>
      <c r="I16" s="4"/>
      <c r="J16" s="4"/>
      <c r="K16" s="4"/>
      <c r="L16" s="4"/>
      <c r="M16" s="4"/>
      <c r="N16" s="4">
        <f>SUBTOTAL(9,N10:N15)</f>
        <v>91</v>
      </c>
      <c r="O16" s="7">
        <f>SUBTOTAL(9,O10:O15)</f>
        <v>739475.2</v>
      </c>
      <c r="P16" s="7">
        <f>+O16/N16</f>
        <v>8126.1010989010983</v>
      </c>
    </row>
    <row r="17" spans="1:16" outlineLevel="2" x14ac:dyDescent="0.2">
      <c r="A17" s="5">
        <v>46223</v>
      </c>
      <c r="B17" s="2">
        <v>161115</v>
      </c>
      <c r="C17" s="2">
        <v>32</v>
      </c>
      <c r="D17" s="2" t="s">
        <v>116</v>
      </c>
      <c r="E17" s="2" t="s">
        <v>73</v>
      </c>
      <c r="F17" s="2" t="s">
        <v>113</v>
      </c>
      <c r="G17" s="2" t="s">
        <v>22</v>
      </c>
      <c r="H17" s="2" t="s">
        <v>21</v>
      </c>
      <c r="I17" s="2" t="s">
        <v>21</v>
      </c>
      <c r="J17" s="2">
        <v>41</v>
      </c>
      <c r="K17" s="2" t="s">
        <v>114</v>
      </c>
      <c r="L17" s="2">
        <v>801</v>
      </c>
      <c r="M17" s="2" t="s">
        <v>115</v>
      </c>
      <c r="N17" s="2">
        <v>3</v>
      </c>
      <c r="O17" s="6">
        <v>37364.99</v>
      </c>
      <c r="P17" s="6">
        <v>12455</v>
      </c>
    </row>
    <row r="18" spans="1:16" outlineLevel="2" x14ac:dyDescent="0.2">
      <c r="A18" s="5">
        <v>46220</v>
      </c>
      <c r="B18" s="2">
        <v>161017</v>
      </c>
      <c r="C18" s="2">
        <v>21</v>
      </c>
      <c r="D18" s="2" t="s">
        <v>116</v>
      </c>
      <c r="E18" s="2" t="s">
        <v>97</v>
      </c>
      <c r="F18" s="2" t="s">
        <v>113</v>
      </c>
      <c r="G18" s="2" t="s">
        <v>22</v>
      </c>
      <c r="H18" s="2" t="s">
        <v>21</v>
      </c>
      <c r="I18" s="2" t="s">
        <v>21</v>
      </c>
      <c r="J18" s="2">
        <v>41</v>
      </c>
      <c r="K18" s="2" t="s">
        <v>114</v>
      </c>
      <c r="L18" s="2">
        <v>801</v>
      </c>
      <c r="M18" s="2" t="s">
        <v>115</v>
      </c>
      <c r="N18" s="2">
        <v>2</v>
      </c>
      <c r="O18" s="6">
        <v>16197.9</v>
      </c>
      <c r="P18" s="6">
        <v>8098.95</v>
      </c>
    </row>
    <row r="19" spans="1:16" outlineLevel="2" x14ac:dyDescent="0.2">
      <c r="A19" s="5">
        <v>46225</v>
      </c>
      <c r="B19" s="2">
        <v>161127</v>
      </c>
      <c r="C19" s="2">
        <v>5</v>
      </c>
      <c r="D19" s="2" t="s">
        <v>116</v>
      </c>
      <c r="E19" s="2" t="s">
        <v>163</v>
      </c>
      <c r="F19" s="2" t="s">
        <v>113</v>
      </c>
      <c r="G19" s="2" t="s">
        <v>22</v>
      </c>
      <c r="H19" s="2" t="s">
        <v>21</v>
      </c>
      <c r="I19" s="2" t="s">
        <v>21</v>
      </c>
      <c r="J19" s="2">
        <v>2</v>
      </c>
      <c r="K19" s="2" t="s">
        <v>70</v>
      </c>
      <c r="L19" s="2">
        <v>106</v>
      </c>
      <c r="M19" s="2" t="s">
        <v>125</v>
      </c>
      <c r="N19" s="2">
        <v>10</v>
      </c>
      <c r="O19" s="6">
        <v>128594.87</v>
      </c>
      <c r="P19" s="6">
        <v>12859.49</v>
      </c>
    </row>
    <row r="20" spans="1:16" outlineLevel="2" x14ac:dyDescent="0.2">
      <c r="A20" s="5">
        <v>46216</v>
      </c>
      <c r="B20" s="2">
        <v>160911</v>
      </c>
      <c r="C20" s="2">
        <v>17</v>
      </c>
      <c r="D20" s="2" t="s">
        <v>116</v>
      </c>
      <c r="E20" s="2" t="s">
        <v>117</v>
      </c>
      <c r="F20" s="2" t="s">
        <v>113</v>
      </c>
      <c r="G20" s="2" t="s">
        <v>22</v>
      </c>
      <c r="H20" s="2" t="s">
        <v>21</v>
      </c>
      <c r="I20" s="2" t="s">
        <v>21</v>
      </c>
      <c r="J20" s="2">
        <v>41</v>
      </c>
      <c r="K20" s="2" t="s">
        <v>114</v>
      </c>
      <c r="L20" s="2">
        <v>801</v>
      </c>
      <c r="M20" s="2" t="s">
        <v>115</v>
      </c>
      <c r="N20" s="2">
        <v>1</v>
      </c>
      <c r="O20" s="6">
        <v>9032.39</v>
      </c>
      <c r="P20" s="6">
        <v>9032.39</v>
      </c>
    </row>
    <row r="21" spans="1:16" outlineLevel="2" x14ac:dyDescent="0.2">
      <c r="A21" s="5">
        <v>46223</v>
      </c>
      <c r="B21" s="2">
        <v>161115</v>
      </c>
      <c r="C21" s="2">
        <v>22</v>
      </c>
      <c r="D21" s="2" t="s">
        <v>116</v>
      </c>
      <c r="E21" s="2" t="s">
        <v>162</v>
      </c>
      <c r="F21" s="2" t="s">
        <v>113</v>
      </c>
      <c r="G21" s="2" t="s">
        <v>22</v>
      </c>
      <c r="H21" s="2" t="s">
        <v>21</v>
      </c>
      <c r="I21" s="2" t="s">
        <v>21</v>
      </c>
      <c r="J21" s="2">
        <v>41</v>
      </c>
      <c r="K21" s="2" t="s">
        <v>114</v>
      </c>
      <c r="L21" s="2">
        <v>801</v>
      </c>
      <c r="M21" s="2" t="s">
        <v>115</v>
      </c>
      <c r="N21" s="2">
        <v>7</v>
      </c>
      <c r="O21" s="6">
        <v>97763.96</v>
      </c>
      <c r="P21" s="6">
        <v>13966.28</v>
      </c>
    </row>
    <row r="22" spans="1:16" outlineLevel="2" x14ac:dyDescent="0.2">
      <c r="A22" s="5">
        <v>46225</v>
      </c>
      <c r="B22" s="2">
        <v>161132</v>
      </c>
      <c r="C22" s="2">
        <v>8</v>
      </c>
      <c r="D22" s="2" t="s">
        <v>116</v>
      </c>
      <c r="E22" s="2" t="s">
        <v>162</v>
      </c>
      <c r="F22" s="2" t="s">
        <v>113</v>
      </c>
      <c r="G22" s="2" t="s">
        <v>22</v>
      </c>
      <c r="H22" s="2" t="s">
        <v>21</v>
      </c>
      <c r="I22" s="2" t="s">
        <v>21</v>
      </c>
      <c r="J22" s="2">
        <v>41</v>
      </c>
      <c r="K22" s="2" t="s">
        <v>114</v>
      </c>
      <c r="L22" s="2">
        <v>801</v>
      </c>
      <c r="M22" s="2" t="s">
        <v>115</v>
      </c>
      <c r="N22" s="2">
        <v>2</v>
      </c>
      <c r="O22" s="6">
        <v>21798.52</v>
      </c>
      <c r="P22" s="6">
        <v>10899.26</v>
      </c>
    </row>
    <row r="23" spans="1:16" outlineLevel="1" x14ac:dyDescent="0.2">
      <c r="A23" s="5"/>
      <c r="D23" s="4" t="s">
        <v>173</v>
      </c>
      <c r="E23" s="4"/>
      <c r="F23" s="4"/>
      <c r="G23" s="4"/>
      <c r="H23" s="4"/>
      <c r="I23" s="4"/>
      <c r="J23" s="4"/>
      <c r="K23" s="4"/>
      <c r="L23" s="4"/>
      <c r="M23" s="4"/>
      <c r="N23" s="4">
        <f>SUBTOTAL(9,N17:N22)</f>
        <v>25</v>
      </c>
      <c r="O23" s="7">
        <f>SUBTOTAL(9,O17:O22)</f>
        <v>310752.63000000006</v>
      </c>
      <c r="P23" s="7">
        <f>+O23/N23</f>
        <v>12430.105200000002</v>
      </c>
    </row>
    <row r="24" spans="1:16" outlineLevel="2" x14ac:dyDescent="0.2">
      <c r="A24" s="5">
        <v>46211</v>
      </c>
      <c r="B24" s="2">
        <v>160814</v>
      </c>
      <c r="C24" s="2">
        <v>3</v>
      </c>
      <c r="D24" s="2" t="s">
        <v>97</v>
      </c>
      <c r="E24" s="2" t="s">
        <v>98</v>
      </c>
      <c r="F24" s="2" t="s">
        <v>99</v>
      </c>
      <c r="G24" s="2" t="s">
        <v>22</v>
      </c>
      <c r="H24" s="2" t="s">
        <v>21</v>
      </c>
      <c r="I24" s="2" t="s">
        <v>100</v>
      </c>
      <c r="J24" s="2">
        <v>1</v>
      </c>
      <c r="K24" s="2" t="s">
        <v>39</v>
      </c>
      <c r="L24" s="2">
        <v>25249</v>
      </c>
      <c r="M24" s="2" t="s">
        <v>101</v>
      </c>
      <c r="N24" s="2">
        <v>1</v>
      </c>
      <c r="O24" s="6">
        <v>46369.94</v>
      </c>
      <c r="P24" s="6">
        <v>46369.94</v>
      </c>
    </row>
    <row r="25" spans="1:16" outlineLevel="2" x14ac:dyDescent="0.2">
      <c r="A25" s="5">
        <v>46223</v>
      </c>
      <c r="B25" s="2">
        <v>161093</v>
      </c>
      <c r="C25" s="2">
        <v>3</v>
      </c>
      <c r="D25" s="2" t="s">
        <v>97</v>
      </c>
      <c r="E25" s="2" t="s">
        <v>98</v>
      </c>
      <c r="F25" s="2" t="s">
        <v>99</v>
      </c>
      <c r="G25" s="2" t="s">
        <v>22</v>
      </c>
      <c r="H25" s="2" t="s">
        <v>21</v>
      </c>
      <c r="I25" s="2" t="s">
        <v>21</v>
      </c>
      <c r="J25" s="2">
        <v>2</v>
      </c>
      <c r="K25" s="2" t="s">
        <v>70</v>
      </c>
      <c r="L25" s="2">
        <v>2810</v>
      </c>
      <c r="M25" s="2" t="s">
        <v>156</v>
      </c>
      <c r="N25" s="2">
        <v>33</v>
      </c>
      <c r="O25" s="6">
        <v>1888291.77</v>
      </c>
      <c r="P25" s="6">
        <v>57220.959999999999</v>
      </c>
    </row>
    <row r="26" spans="1:16" outlineLevel="1" x14ac:dyDescent="0.2">
      <c r="A26" s="5"/>
      <c r="D26" s="4" t="s">
        <v>174</v>
      </c>
      <c r="E26" s="4"/>
      <c r="F26" s="4"/>
      <c r="G26" s="4"/>
      <c r="H26" s="4"/>
      <c r="I26" s="4"/>
      <c r="J26" s="4"/>
      <c r="K26" s="4"/>
      <c r="L26" s="4"/>
      <c r="M26" s="4"/>
      <c r="N26" s="4">
        <f>SUBTOTAL(9,N24:N25)</f>
        <v>34</v>
      </c>
      <c r="O26" s="7">
        <f>SUBTOTAL(9,O24:O25)</f>
        <v>1934661.71</v>
      </c>
      <c r="P26" s="7">
        <f>+O26/N26</f>
        <v>56901.815000000002</v>
      </c>
    </row>
    <row r="27" spans="1:16" outlineLevel="2" x14ac:dyDescent="0.2">
      <c r="A27" s="5">
        <v>46223</v>
      </c>
      <c r="B27" s="2">
        <v>160506</v>
      </c>
      <c r="C27" s="2">
        <v>1</v>
      </c>
      <c r="D27" s="2" t="s">
        <v>56</v>
      </c>
      <c r="E27" s="2" t="s">
        <v>57</v>
      </c>
      <c r="F27" s="2" t="s">
        <v>51</v>
      </c>
      <c r="G27" s="2" t="s">
        <v>22</v>
      </c>
      <c r="H27" s="2" t="s">
        <v>21</v>
      </c>
      <c r="I27" s="2" t="s">
        <v>21</v>
      </c>
      <c r="J27" s="2">
        <v>5</v>
      </c>
      <c r="K27" s="2" t="s">
        <v>58</v>
      </c>
      <c r="L27" s="2">
        <v>2521</v>
      </c>
      <c r="M27" s="2" t="s">
        <v>59</v>
      </c>
      <c r="N27" s="2">
        <v>7</v>
      </c>
      <c r="O27" s="6">
        <v>154703.78</v>
      </c>
      <c r="P27" s="6">
        <v>22100.54</v>
      </c>
    </row>
    <row r="28" spans="1:16" outlineLevel="1" x14ac:dyDescent="0.2">
      <c r="A28" s="5"/>
      <c r="D28" s="4" t="s">
        <v>175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SUBTOTAL(9,N27:N27)</f>
        <v>7</v>
      </c>
      <c r="O28" s="7">
        <f>SUBTOTAL(9,O27:O27)</f>
        <v>154703.78</v>
      </c>
      <c r="P28" s="7">
        <f>+O28/N28</f>
        <v>22100.54</v>
      </c>
    </row>
    <row r="29" spans="1:16" outlineLevel="2" x14ac:dyDescent="0.2">
      <c r="A29" s="5">
        <v>46227</v>
      </c>
      <c r="B29" s="2">
        <v>161144</v>
      </c>
      <c r="C29" s="2">
        <v>1</v>
      </c>
      <c r="D29" s="2" t="s">
        <v>26</v>
      </c>
      <c r="E29" s="2" t="s">
        <v>132</v>
      </c>
      <c r="F29" s="2" t="s">
        <v>168</v>
      </c>
      <c r="G29" s="2" t="s">
        <v>22</v>
      </c>
      <c r="H29" s="2" t="s">
        <v>21</v>
      </c>
      <c r="I29" s="2" t="s">
        <v>21</v>
      </c>
      <c r="J29" s="2">
        <v>39</v>
      </c>
      <c r="K29" s="2" t="s">
        <v>169</v>
      </c>
      <c r="L29" s="2">
        <v>1</v>
      </c>
      <c r="M29" s="2" t="s">
        <v>170</v>
      </c>
      <c r="N29" s="2">
        <v>100</v>
      </c>
      <c r="O29" s="6">
        <v>623207</v>
      </c>
      <c r="P29" s="6">
        <v>6232.07</v>
      </c>
    </row>
    <row r="30" spans="1:16" outlineLevel="1" x14ac:dyDescent="0.2">
      <c r="A30" s="5"/>
      <c r="D30" s="4" t="s">
        <v>176</v>
      </c>
      <c r="E30" s="4"/>
      <c r="F30" s="4"/>
      <c r="G30" s="4"/>
      <c r="H30" s="4"/>
      <c r="I30" s="4"/>
      <c r="J30" s="4"/>
      <c r="K30" s="4"/>
      <c r="L30" s="4"/>
      <c r="M30" s="4"/>
      <c r="N30" s="4">
        <f>SUBTOTAL(9,N29:N29)</f>
        <v>100</v>
      </c>
      <c r="O30" s="7">
        <f>SUBTOTAL(9,O29:O29)</f>
        <v>623207</v>
      </c>
      <c r="P30" s="7">
        <f>+O30/N30</f>
        <v>6232.07</v>
      </c>
    </row>
    <row r="31" spans="1:16" outlineLevel="2" x14ac:dyDescent="0.2">
      <c r="A31" s="5">
        <v>46127</v>
      </c>
      <c r="B31" s="2">
        <v>158599</v>
      </c>
      <c r="C31" s="2">
        <v>1</v>
      </c>
      <c r="D31" s="2" t="s">
        <v>25</v>
      </c>
      <c r="E31" s="2" t="s">
        <v>26</v>
      </c>
      <c r="F31" s="2" t="s">
        <v>27</v>
      </c>
      <c r="G31" s="2" t="s">
        <v>22</v>
      </c>
      <c r="H31" s="2" t="s">
        <v>21</v>
      </c>
      <c r="I31" s="2" t="s">
        <v>21</v>
      </c>
      <c r="J31" s="2">
        <v>130</v>
      </c>
      <c r="K31" s="2" t="s">
        <v>28</v>
      </c>
      <c r="L31" s="2">
        <v>1829</v>
      </c>
      <c r="M31" s="2" t="s">
        <v>29</v>
      </c>
      <c r="N31" s="2">
        <v>42</v>
      </c>
      <c r="O31" s="6">
        <v>202106.1</v>
      </c>
      <c r="P31" s="6">
        <v>4812.05</v>
      </c>
    </row>
    <row r="32" spans="1:16" outlineLevel="1" x14ac:dyDescent="0.2">
      <c r="A32" s="5"/>
      <c r="D32" s="4" t="s">
        <v>177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SUBTOTAL(9,N31:N31)</f>
        <v>42</v>
      </c>
      <c r="O32" s="7">
        <f>SUBTOTAL(9,O31:O31)</f>
        <v>202106.1</v>
      </c>
      <c r="P32" s="7">
        <f>+O32/N32</f>
        <v>4812.05</v>
      </c>
    </row>
    <row r="33" spans="1:16" outlineLevel="2" x14ac:dyDescent="0.2">
      <c r="A33" s="5">
        <v>46127</v>
      </c>
      <c r="B33" s="2">
        <v>158600</v>
      </c>
      <c r="C33" s="2">
        <v>1</v>
      </c>
      <c r="D33" s="2" t="s">
        <v>30</v>
      </c>
      <c r="E33" s="2" t="s">
        <v>26</v>
      </c>
      <c r="F33" s="2" t="s">
        <v>27</v>
      </c>
      <c r="G33" s="2" t="s">
        <v>22</v>
      </c>
      <c r="H33" s="2" t="s">
        <v>21</v>
      </c>
      <c r="I33" s="2" t="s">
        <v>21</v>
      </c>
      <c r="J33" s="2">
        <v>130</v>
      </c>
      <c r="K33" s="2" t="s">
        <v>28</v>
      </c>
      <c r="L33" s="2">
        <v>1829</v>
      </c>
      <c r="M33" s="2" t="s">
        <v>29</v>
      </c>
      <c r="N33" s="2">
        <v>31</v>
      </c>
      <c r="O33" s="6">
        <v>268844.89</v>
      </c>
      <c r="P33" s="6">
        <v>8672.42</v>
      </c>
    </row>
    <row r="34" spans="1:16" outlineLevel="1" x14ac:dyDescent="0.2">
      <c r="A34" s="5"/>
      <c r="D34" s="4" t="s">
        <v>178</v>
      </c>
      <c r="E34" s="4"/>
      <c r="F34" s="4"/>
      <c r="G34" s="4"/>
      <c r="H34" s="4"/>
      <c r="I34" s="4"/>
      <c r="J34" s="4"/>
      <c r="K34" s="4"/>
      <c r="L34" s="4"/>
      <c r="M34" s="4"/>
      <c r="N34" s="4">
        <f>SUBTOTAL(9,N33:N33)</f>
        <v>31</v>
      </c>
      <c r="O34" s="7">
        <f>SUBTOTAL(9,O33:O33)</f>
        <v>268844.89</v>
      </c>
      <c r="P34" s="7">
        <f>+O34/N34</f>
        <v>8672.4158064516141</v>
      </c>
    </row>
    <row r="35" spans="1:16" outlineLevel="2" x14ac:dyDescent="0.2">
      <c r="A35" s="5">
        <v>46227</v>
      </c>
      <c r="B35" s="2">
        <v>161047</v>
      </c>
      <c r="C35" s="2">
        <v>1</v>
      </c>
      <c r="D35" s="2" t="s">
        <v>134</v>
      </c>
      <c r="E35" s="2" t="s">
        <v>21</v>
      </c>
      <c r="F35" s="2" t="s">
        <v>135</v>
      </c>
      <c r="G35" s="2" t="s">
        <v>22</v>
      </c>
      <c r="H35" s="2" t="s">
        <v>21</v>
      </c>
      <c r="I35" s="2" t="s">
        <v>21</v>
      </c>
      <c r="J35" s="2">
        <v>1</v>
      </c>
      <c r="K35" s="2" t="s">
        <v>39</v>
      </c>
      <c r="L35" s="2">
        <v>25052</v>
      </c>
      <c r="M35" s="2" t="s">
        <v>136</v>
      </c>
      <c r="N35" s="2">
        <v>5</v>
      </c>
      <c r="O35" s="6">
        <v>91833.85</v>
      </c>
      <c r="P35" s="6">
        <v>18366.77</v>
      </c>
    </row>
    <row r="36" spans="1:16" outlineLevel="2" x14ac:dyDescent="0.2">
      <c r="A36" s="5">
        <v>46227</v>
      </c>
      <c r="B36" s="2">
        <v>161079</v>
      </c>
      <c r="C36" s="2">
        <v>1</v>
      </c>
      <c r="D36" s="2" t="s">
        <v>134</v>
      </c>
      <c r="E36" s="2" t="s">
        <v>21</v>
      </c>
      <c r="F36" s="2" t="s">
        <v>135</v>
      </c>
      <c r="G36" s="2" t="s">
        <v>22</v>
      </c>
      <c r="H36" s="2" t="s">
        <v>21</v>
      </c>
      <c r="I36" s="2" t="s">
        <v>21</v>
      </c>
      <c r="J36" s="2">
        <v>1</v>
      </c>
      <c r="K36" s="2" t="s">
        <v>39</v>
      </c>
      <c r="L36" s="2">
        <v>25190</v>
      </c>
      <c r="M36" s="2" t="s">
        <v>152</v>
      </c>
      <c r="N36" s="2">
        <v>20</v>
      </c>
      <c r="O36" s="6">
        <v>124641.4</v>
      </c>
      <c r="P36" s="6">
        <v>6232.07</v>
      </c>
    </row>
    <row r="37" spans="1:16" outlineLevel="2" x14ac:dyDescent="0.2">
      <c r="A37" s="5">
        <v>46227</v>
      </c>
      <c r="B37" s="2">
        <v>161081</v>
      </c>
      <c r="C37" s="2">
        <v>1</v>
      </c>
      <c r="D37" s="2" t="s">
        <v>134</v>
      </c>
      <c r="E37" s="2" t="s">
        <v>21</v>
      </c>
      <c r="F37" s="2" t="s">
        <v>135</v>
      </c>
      <c r="G37" s="2" t="s">
        <v>22</v>
      </c>
      <c r="H37" s="2" t="s">
        <v>21</v>
      </c>
      <c r="I37" s="2" t="s">
        <v>21</v>
      </c>
      <c r="J37" s="2">
        <v>1</v>
      </c>
      <c r="K37" s="2" t="s">
        <v>39</v>
      </c>
      <c r="L37" s="2">
        <v>2009</v>
      </c>
      <c r="M37" s="2" t="s">
        <v>153</v>
      </c>
      <c r="N37" s="2">
        <v>35</v>
      </c>
      <c r="O37" s="6">
        <v>490686.57</v>
      </c>
      <c r="P37" s="6">
        <v>14019.62</v>
      </c>
    </row>
    <row r="38" spans="1:16" outlineLevel="2" x14ac:dyDescent="0.2">
      <c r="A38" s="5">
        <v>46227</v>
      </c>
      <c r="B38" s="2">
        <v>161090</v>
      </c>
      <c r="C38" s="2">
        <v>1</v>
      </c>
      <c r="D38" s="2" t="s">
        <v>134</v>
      </c>
      <c r="E38" s="2" t="s">
        <v>21</v>
      </c>
      <c r="F38" s="2" t="s">
        <v>135</v>
      </c>
      <c r="G38" s="2" t="s">
        <v>22</v>
      </c>
      <c r="H38" s="2" t="s">
        <v>21</v>
      </c>
      <c r="I38" s="2" t="s">
        <v>21</v>
      </c>
      <c r="J38" s="2">
        <v>77</v>
      </c>
      <c r="K38" s="2" t="s">
        <v>154</v>
      </c>
      <c r="L38" s="2">
        <v>1795</v>
      </c>
      <c r="M38" s="2" t="s">
        <v>155</v>
      </c>
      <c r="N38" s="2">
        <v>5</v>
      </c>
      <c r="O38" s="6">
        <v>12491.6</v>
      </c>
      <c r="P38" s="6">
        <v>2498.3200000000002</v>
      </c>
    </row>
    <row r="39" spans="1:16" outlineLevel="1" x14ac:dyDescent="0.2">
      <c r="A39" s="5"/>
      <c r="D39" s="4" t="s">
        <v>179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SUBTOTAL(9,N35:N38)</f>
        <v>65</v>
      </c>
      <c r="O39" s="7">
        <f>SUBTOTAL(9,O35:O38)</f>
        <v>719653.42</v>
      </c>
      <c r="P39" s="7">
        <f>+O39/N39</f>
        <v>11071.591076923078</v>
      </c>
    </row>
    <row r="40" spans="1:16" outlineLevel="2" x14ac:dyDescent="0.2">
      <c r="A40" s="5">
        <v>46192</v>
      </c>
      <c r="B40" s="2">
        <v>160214</v>
      </c>
      <c r="C40" s="2">
        <v>2</v>
      </c>
      <c r="D40" s="2" t="s">
        <v>37</v>
      </c>
      <c r="E40" s="2" t="s">
        <v>38</v>
      </c>
      <c r="F40" s="2" t="s">
        <v>21</v>
      </c>
      <c r="G40" s="2" t="s">
        <v>22</v>
      </c>
      <c r="H40" s="2" t="s">
        <v>21</v>
      </c>
      <c r="I40" s="2" t="s">
        <v>21</v>
      </c>
      <c r="J40" s="2">
        <v>1</v>
      </c>
      <c r="K40" s="2" t="s">
        <v>39</v>
      </c>
      <c r="L40" s="2">
        <v>2520</v>
      </c>
      <c r="M40" s="2" t="s">
        <v>40</v>
      </c>
      <c r="N40" s="2">
        <v>119</v>
      </c>
      <c r="O40" s="6">
        <v>1011380.32</v>
      </c>
      <c r="P40" s="6">
        <v>8498.99</v>
      </c>
    </row>
    <row r="41" spans="1:16" outlineLevel="2" x14ac:dyDescent="0.2">
      <c r="A41" s="5">
        <v>46210</v>
      </c>
      <c r="B41" s="2">
        <v>160723</v>
      </c>
      <c r="C41" s="2">
        <v>1</v>
      </c>
      <c r="D41" s="2" t="s">
        <v>37</v>
      </c>
      <c r="E41" s="2" t="s">
        <v>38</v>
      </c>
      <c r="F41" s="2" t="s">
        <v>27</v>
      </c>
      <c r="G41" s="2" t="s">
        <v>22</v>
      </c>
      <c r="H41" s="2" t="s">
        <v>21</v>
      </c>
      <c r="I41" s="2" t="s">
        <v>93</v>
      </c>
      <c r="J41" s="2">
        <v>1</v>
      </c>
      <c r="K41" s="2" t="s">
        <v>39</v>
      </c>
      <c r="L41" s="2">
        <v>2520</v>
      </c>
      <c r="M41" s="2" t="s">
        <v>40</v>
      </c>
      <c r="N41" s="2">
        <v>30</v>
      </c>
      <c r="O41" s="6">
        <v>575272.80000000005</v>
      </c>
      <c r="P41" s="6">
        <v>19175.759999999998</v>
      </c>
    </row>
    <row r="42" spans="1:16" outlineLevel="2" x14ac:dyDescent="0.2">
      <c r="A42" s="5">
        <v>46223</v>
      </c>
      <c r="B42" s="2">
        <v>160823</v>
      </c>
      <c r="C42" s="2">
        <v>2</v>
      </c>
      <c r="D42" s="2" t="s">
        <v>37</v>
      </c>
      <c r="E42" s="2" t="s">
        <v>38</v>
      </c>
      <c r="F42" s="2" t="s">
        <v>27</v>
      </c>
      <c r="G42" s="2" t="s">
        <v>22</v>
      </c>
      <c r="H42" s="2" t="s">
        <v>21</v>
      </c>
      <c r="I42" s="2" t="s">
        <v>92</v>
      </c>
      <c r="J42" s="2">
        <v>1</v>
      </c>
      <c r="K42" s="2" t="s">
        <v>39</v>
      </c>
      <c r="L42" s="2">
        <v>2520</v>
      </c>
      <c r="M42" s="2" t="s">
        <v>40</v>
      </c>
      <c r="N42" s="2">
        <v>12</v>
      </c>
      <c r="O42" s="6">
        <v>233469.48</v>
      </c>
      <c r="P42" s="6">
        <v>19455.79</v>
      </c>
    </row>
    <row r="43" spans="1:16" outlineLevel="1" x14ac:dyDescent="0.2">
      <c r="A43" s="5"/>
      <c r="D43" s="4" t="s">
        <v>180</v>
      </c>
      <c r="E43" s="4"/>
      <c r="F43" s="4"/>
      <c r="G43" s="4"/>
      <c r="H43" s="4"/>
      <c r="I43" s="4"/>
      <c r="J43" s="4"/>
      <c r="K43" s="4"/>
      <c r="L43" s="4"/>
      <c r="M43" s="4"/>
      <c r="N43" s="4">
        <f>SUBTOTAL(9,N40:N42)</f>
        <v>161</v>
      </c>
      <c r="O43" s="7">
        <f>SUBTOTAL(9,O40:O42)</f>
        <v>1820122.6</v>
      </c>
      <c r="P43" s="7">
        <f>+O43/N43</f>
        <v>11305.109316770187</v>
      </c>
    </row>
    <row r="44" spans="1:16" outlineLevel="2" x14ac:dyDescent="0.2">
      <c r="A44" s="5">
        <v>46213</v>
      </c>
      <c r="B44" s="2">
        <v>160511</v>
      </c>
      <c r="C44" s="2">
        <v>1</v>
      </c>
      <c r="D44" s="2" t="s">
        <v>19</v>
      </c>
      <c r="E44" s="2" t="s">
        <v>21</v>
      </c>
      <c r="F44" s="2" t="s">
        <v>51</v>
      </c>
      <c r="G44" s="2" t="s">
        <v>22</v>
      </c>
      <c r="H44" s="2" t="s">
        <v>21</v>
      </c>
      <c r="I44" s="2" t="s">
        <v>21</v>
      </c>
      <c r="J44" s="2">
        <v>1</v>
      </c>
      <c r="K44" s="2" t="s">
        <v>39</v>
      </c>
      <c r="L44" s="2">
        <v>2269</v>
      </c>
      <c r="M44" s="2" t="s">
        <v>60</v>
      </c>
      <c r="N44" s="2">
        <v>17</v>
      </c>
      <c r="O44" s="6">
        <v>573172.88</v>
      </c>
      <c r="P44" s="6">
        <v>33716.050000000003</v>
      </c>
    </row>
    <row r="45" spans="1:16" outlineLevel="2" x14ac:dyDescent="0.2">
      <c r="A45" s="5">
        <v>46089</v>
      </c>
      <c r="B45" s="2">
        <v>157645</v>
      </c>
      <c r="C45" s="2">
        <v>200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21</v>
      </c>
      <c r="I45" s="2" t="s">
        <v>21</v>
      </c>
      <c r="J45" s="2">
        <v>46</v>
      </c>
      <c r="K45" s="2" t="s">
        <v>23</v>
      </c>
      <c r="L45" s="2">
        <v>6020</v>
      </c>
      <c r="M45" s="2" t="s">
        <v>24</v>
      </c>
      <c r="N45" s="2">
        <v>28.67</v>
      </c>
      <c r="O45" s="6">
        <v>18103.38</v>
      </c>
      <c r="P45" s="6">
        <v>631.44000000000005</v>
      </c>
    </row>
    <row r="46" spans="1:16" outlineLevel="1" x14ac:dyDescent="0.2">
      <c r="A46" s="5"/>
      <c r="D46" s="4" t="s">
        <v>181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SUBTOTAL(9,N44:N45)</f>
        <v>45.67</v>
      </c>
      <c r="O46" s="7">
        <f>SUBTOTAL(9,O44:O45)</f>
        <v>591276.26</v>
      </c>
      <c r="P46" s="7">
        <f>+O46/N46</f>
        <v>12946.710313115831</v>
      </c>
    </row>
    <row r="47" spans="1:16" outlineLevel="2" x14ac:dyDescent="0.2">
      <c r="A47" s="5">
        <v>46204</v>
      </c>
      <c r="B47" s="2">
        <v>160626</v>
      </c>
      <c r="C47" s="2">
        <v>1</v>
      </c>
      <c r="D47" s="2" t="s">
        <v>31</v>
      </c>
      <c r="E47" s="2" t="s">
        <v>73</v>
      </c>
      <c r="F47" s="2" t="s">
        <v>74</v>
      </c>
      <c r="G47" s="2" t="s">
        <v>22</v>
      </c>
      <c r="H47" s="2" t="s">
        <v>21</v>
      </c>
      <c r="I47" s="2" t="s">
        <v>75</v>
      </c>
      <c r="J47" s="2">
        <v>1</v>
      </c>
      <c r="K47" s="2" t="s">
        <v>39</v>
      </c>
      <c r="L47" s="2">
        <v>2535</v>
      </c>
      <c r="M47" s="2" t="s">
        <v>76</v>
      </c>
      <c r="N47" s="2">
        <v>16</v>
      </c>
      <c r="O47" s="6">
        <v>757430.64</v>
      </c>
      <c r="P47" s="6">
        <v>47339.42</v>
      </c>
    </row>
    <row r="48" spans="1:16" outlineLevel="2" x14ac:dyDescent="0.2">
      <c r="A48" s="5">
        <v>46208</v>
      </c>
      <c r="B48" s="2">
        <v>160626</v>
      </c>
      <c r="C48" s="2">
        <v>2</v>
      </c>
      <c r="D48" s="2" t="s">
        <v>31</v>
      </c>
      <c r="E48" s="2" t="s">
        <v>73</v>
      </c>
      <c r="F48" s="2" t="s">
        <v>74</v>
      </c>
      <c r="G48" s="2" t="s">
        <v>22</v>
      </c>
      <c r="H48" s="2" t="s">
        <v>21</v>
      </c>
      <c r="I48" s="2" t="s">
        <v>34</v>
      </c>
      <c r="J48" s="2">
        <v>1</v>
      </c>
      <c r="K48" s="2" t="s">
        <v>39</v>
      </c>
      <c r="L48" s="2">
        <v>2535</v>
      </c>
      <c r="M48" s="2" t="s">
        <v>76</v>
      </c>
      <c r="N48" s="2">
        <v>46</v>
      </c>
      <c r="O48" s="6">
        <v>2139853.37</v>
      </c>
      <c r="P48" s="6">
        <v>46518.55</v>
      </c>
    </row>
    <row r="49" spans="1:16" outlineLevel="2" x14ac:dyDescent="0.2">
      <c r="A49" s="5">
        <v>46211</v>
      </c>
      <c r="B49" s="2">
        <v>160210</v>
      </c>
      <c r="C49" s="2">
        <v>3</v>
      </c>
      <c r="D49" s="2" t="s">
        <v>31</v>
      </c>
      <c r="E49" s="2" t="s">
        <v>32</v>
      </c>
      <c r="F49" s="2" t="s">
        <v>33</v>
      </c>
      <c r="G49" s="2" t="s">
        <v>22</v>
      </c>
      <c r="H49" s="2" t="s">
        <v>21</v>
      </c>
      <c r="I49" s="2" t="s">
        <v>34</v>
      </c>
      <c r="J49" s="2">
        <v>40</v>
      </c>
      <c r="K49" s="2" t="s">
        <v>35</v>
      </c>
      <c r="L49" s="2">
        <v>1779</v>
      </c>
      <c r="M49" s="2" t="s">
        <v>36</v>
      </c>
      <c r="N49" s="2">
        <v>17</v>
      </c>
      <c r="O49" s="6">
        <v>855496.66</v>
      </c>
      <c r="P49" s="6">
        <v>50323.33</v>
      </c>
    </row>
    <row r="50" spans="1:16" outlineLevel="1" x14ac:dyDescent="0.2">
      <c r="A50" s="5"/>
      <c r="D50" s="4" t="s">
        <v>182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SUBTOTAL(9,N47:N49)</f>
        <v>79</v>
      </c>
      <c r="O50" s="7">
        <f>SUBTOTAL(9,O47:O49)</f>
        <v>3752780.6700000004</v>
      </c>
      <c r="P50" s="7">
        <f>+O50/N50</f>
        <v>47503.552784810134</v>
      </c>
    </row>
    <row r="51" spans="1:16" outlineLevel="2" x14ac:dyDescent="0.2">
      <c r="A51" s="5">
        <v>46210</v>
      </c>
      <c r="B51" s="2">
        <v>160815</v>
      </c>
      <c r="C51" s="2">
        <v>1</v>
      </c>
      <c r="D51" s="2" t="s">
        <v>102</v>
      </c>
      <c r="E51" s="2" t="s">
        <v>103</v>
      </c>
      <c r="F51" s="2" t="s">
        <v>51</v>
      </c>
      <c r="G51" s="2" t="s">
        <v>22</v>
      </c>
      <c r="H51" s="2" t="s">
        <v>21</v>
      </c>
      <c r="I51" s="2" t="s">
        <v>21</v>
      </c>
      <c r="J51" s="2">
        <v>1</v>
      </c>
      <c r="K51" s="2" t="s">
        <v>39</v>
      </c>
      <c r="L51" s="2">
        <v>2521</v>
      </c>
      <c r="M51" s="2" t="s">
        <v>59</v>
      </c>
      <c r="N51" s="2">
        <v>17</v>
      </c>
      <c r="O51" s="6">
        <v>219193.26</v>
      </c>
      <c r="P51" s="6">
        <v>12893.72</v>
      </c>
    </row>
    <row r="52" spans="1:16" outlineLevel="1" x14ac:dyDescent="0.2">
      <c r="A52" s="5"/>
      <c r="D52" s="4" t="s">
        <v>183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SUBTOTAL(9,N51:N51)</f>
        <v>17</v>
      </c>
      <c r="O52" s="7">
        <f>SUBTOTAL(9,O51:O51)</f>
        <v>219193.26</v>
      </c>
      <c r="P52" s="7">
        <f>+O52/N52</f>
        <v>12893.721176470588</v>
      </c>
    </row>
    <row r="53" spans="1:16" outlineLevel="2" x14ac:dyDescent="0.2">
      <c r="A53" s="5">
        <v>46220</v>
      </c>
      <c r="B53" s="2">
        <v>161008</v>
      </c>
      <c r="C53" s="2">
        <v>2</v>
      </c>
      <c r="D53" s="2" t="s">
        <v>128</v>
      </c>
      <c r="E53" s="2" t="s">
        <v>129</v>
      </c>
      <c r="F53" s="2" t="s">
        <v>51</v>
      </c>
      <c r="G53" s="2" t="s">
        <v>22</v>
      </c>
      <c r="H53" s="2" t="s">
        <v>21</v>
      </c>
      <c r="I53" s="2" t="s">
        <v>21</v>
      </c>
      <c r="J53" s="2">
        <v>1</v>
      </c>
      <c r="K53" s="2" t="s">
        <v>39</v>
      </c>
      <c r="L53" s="2">
        <v>2521</v>
      </c>
      <c r="M53" s="2" t="s">
        <v>59</v>
      </c>
      <c r="N53" s="2">
        <v>20</v>
      </c>
      <c r="O53" s="6">
        <v>740558.76</v>
      </c>
      <c r="P53" s="6">
        <v>37027.94</v>
      </c>
    </row>
    <row r="54" spans="1:16" outlineLevel="1" x14ac:dyDescent="0.2">
      <c r="A54" s="5"/>
      <c r="D54" s="4" t="s">
        <v>184</v>
      </c>
      <c r="E54" s="4"/>
      <c r="F54" s="4"/>
      <c r="G54" s="4"/>
      <c r="H54" s="4"/>
      <c r="I54" s="4"/>
      <c r="J54" s="4"/>
      <c r="K54" s="4"/>
      <c r="L54" s="4"/>
      <c r="M54" s="4"/>
      <c r="N54" s="4">
        <f>SUBTOTAL(9,N53:N53)</f>
        <v>20</v>
      </c>
      <c r="O54" s="7">
        <f>SUBTOTAL(9,O53:O53)</f>
        <v>740558.76</v>
      </c>
      <c r="P54" s="7">
        <f>+O54/N54</f>
        <v>37027.938000000002</v>
      </c>
    </row>
    <row r="55" spans="1:16" outlineLevel="2" x14ac:dyDescent="0.2">
      <c r="A55" s="5">
        <v>46216</v>
      </c>
      <c r="B55" s="2">
        <v>160833</v>
      </c>
      <c r="C55" s="2">
        <v>2</v>
      </c>
      <c r="D55" s="2" t="s">
        <v>104</v>
      </c>
      <c r="E55" s="2" t="s">
        <v>105</v>
      </c>
      <c r="F55" s="2" t="s">
        <v>51</v>
      </c>
      <c r="G55" s="2" t="s">
        <v>22</v>
      </c>
      <c r="H55" s="2" t="s">
        <v>21</v>
      </c>
      <c r="I55" s="2" t="s">
        <v>106</v>
      </c>
      <c r="J55" s="2">
        <v>1</v>
      </c>
      <c r="K55" s="2" t="s">
        <v>39</v>
      </c>
      <c r="L55" s="2">
        <v>331</v>
      </c>
      <c r="M55" s="2" t="s">
        <v>107</v>
      </c>
      <c r="N55" s="2">
        <v>54</v>
      </c>
      <c r="O55" s="6">
        <v>565047.31999999995</v>
      </c>
      <c r="P55" s="6">
        <v>10463.84</v>
      </c>
    </row>
    <row r="56" spans="1:16" outlineLevel="1" x14ac:dyDescent="0.2">
      <c r="A56" s="5"/>
      <c r="D56" s="4" t="s">
        <v>185</v>
      </c>
      <c r="E56" s="4"/>
      <c r="F56" s="4"/>
      <c r="G56" s="4"/>
      <c r="H56" s="4"/>
      <c r="I56" s="4"/>
      <c r="J56" s="4"/>
      <c r="K56" s="4"/>
      <c r="L56" s="4"/>
      <c r="M56" s="4"/>
      <c r="N56" s="4">
        <f>SUBTOTAL(9,N55:N55)</f>
        <v>54</v>
      </c>
      <c r="O56" s="7">
        <f>SUBTOTAL(9,O55:O55)</f>
        <v>565047.31999999995</v>
      </c>
      <c r="P56" s="7">
        <f>+O56/N56</f>
        <v>10463.839259259259</v>
      </c>
    </row>
    <row r="57" spans="1:16" outlineLevel="2" x14ac:dyDescent="0.2">
      <c r="A57" s="5">
        <v>46206</v>
      </c>
      <c r="B57" s="2">
        <v>160334</v>
      </c>
      <c r="C57" s="2">
        <v>4</v>
      </c>
      <c r="D57" s="2" t="s">
        <v>46</v>
      </c>
      <c r="E57" s="2" t="s">
        <v>47</v>
      </c>
      <c r="F57" s="2" t="s">
        <v>21</v>
      </c>
      <c r="G57" s="2" t="s">
        <v>22</v>
      </c>
      <c r="H57" s="2" t="s">
        <v>21</v>
      </c>
      <c r="I57" s="2" t="s">
        <v>21</v>
      </c>
      <c r="J57" s="2">
        <v>1</v>
      </c>
      <c r="K57" s="2" t="s">
        <v>39</v>
      </c>
      <c r="L57" s="2">
        <v>226</v>
      </c>
      <c r="M57" s="2" t="s">
        <v>48</v>
      </c>
      <c r="N57" s="2">
        <v>1</v>
      </c>
      <c r="O57" s="6">
        <v>18366.77</v>
      </c>
      <c r="P57" s="6">
        <v>18366.77</v>
      </c>
    </row>
    <row r="58" spans="1:16" outlineLevel="2" x14ac:dyDescent="0.2">
      <c r="A58" s="5">
        <v>46227</v>
      </c>
      <c r="B58" s="2">
        <v>160593</v>
      </c>
      <c r="C58" s="2">
        <v>2</v>
      </c>
      <c r="D58" s="2" t="s">
        <v>46</v>
      </c>
      <c r="E58" s="2" t="s">
        <v>47</v>
      </c>
      <c r="F58" s="2" t="s">
        <v>71</v>
      </c>
      <c r="G58" s="2" t="s">
        <v>22</v>
      </c>
      <c r="H58" s="2" t="s">
        <v>21</v>
      </c>
      <c r="I58" s="2" t="s">
        <v>21</v>
      </c>
      <c r="J58" s="2">
        <v>1</v>
      </c>
      <c r="K58" s="2" t="s">
        <v>39</v>
      </c>
      <c r="L58" s="2">
        <v>25092</v>
      </c>
      <c r="M58" s="2" t="s">
        <v>72</v>
      </c>
      <c r="N58" s="2">
        <v>1</v>
      </c>
      <c r="O58" s="6">
        <v>9032.39</v>
      </c>
      <c r="P58" s="6">
        <v>9032.39</v>
      </c>
    </row>
    <row r="59" spans="1:16" outlineLevel="2" x14ac:dyDescent="0.2">
      <c r="A59" s="5">
        <v>46204</v>
      </c>
      <c r="B59" s="2">
        <v>160576</v>
      </c>
      <c r="C59" s="2">
        <v>2</v>
      </c>
      <c r="D59" s="2" t="s">
        <v>46</v>
      </c>
      <c r="E59" s="2" t="s">
        <v>68</v>
      </c>
      <c r="F59" s="2" t="s">
        <v>21</v>
      </c>
      <c r="G59" s="2" t="s">
        <v>22</v>
      </c>
      <c r="H59" s="2" t="s">
        <v>21</v>
      </c>
      <c r="I59" s="2" t="s">
        <v>69</v>
      </c>
      <c r="J59" s="2">
        <v>2</v>
      </c>
      <c r="K59" s="2" t="s">
        <v>70</v>
      </c>
      <c r="L59" s="2">
        <v>226</v>
      </c>
      <c r="M59" s="2" t="s">
        <v>48</v>
      </c>
      <c r="N59" s="2">
        <v>1</v>
      </c>
      <c r="O59" s="6">
        <v>43569.63</v>
      </c>
      <c r="P59" s="6">
        <v>43569.63</v>
      </c>
    </row>
    <row r="60" spans="1:16" outlineLevel="1" x14ac:dyDescent="0.2">
      <c r="A60" s="5"/>
      <c r="D60" s="4" t="s">
        <v>186</v>
      </c>
      <c r="E60" s="4"/>
      <c r="F60" s="4"/>
      <c r="G60" s="4"/>
      <c r="H60" s="4"/>
      <c r="I60" s="4"/>
      <c r="J60" s="4"/>
      <c r="K60" s="4"/>
      <c r="L60" s="4"/>
      <c r="M60" s="4"/>
      <c r="N60" s="4">
        <f>SUBTOTAL(9,N57:N59)</f>
        <v>3</v>
      </c>
      <c r="O60" s="7">
        <f>SUBTOTAL(9,O57:O59)</f>
        <v>70968.789999999994</v>
      </c>
      <c r="P60" s="7">
        <f>+O60/N60</f>
        <v>23656.263333333332</v>
      </c>
    </row>
    <row r="61" spans="1:16" outlineLevel="2" x14ac:dyDescent="0.2">
      <c r="A61" s="5">
        <v>46227</v>
      </c>
      <c r="B61" s="2">
        <v>160714</v>
      </c>
      <c r="C61" s="2">
        <v>5</v>
      </c>
      <c r="D61" s="2" t="s">
        <v>85</v>
      </c>
      <c r="E61" s="2" t="s">
        <v>73</v>
      </c>
      <c r="F61" s="2" t="s">
        <v>51</v>
      </c>
      <c r="G61" s="2" t="s">
        <v>22</v>
      </c>
      <c r="H61" s="2" t="s">
        <v>21</v>
      </c>
      <c r="I61" s="2" t="s">
        <v>92</v>
      </c>
      <c r="J61" s="2">
        <v>1</v>
      </c>
      <c r="K61" s="2" t="s">
        <v>39</v>
      </c>
      <c r="L61" s="2">
        <v>25077</v>
      </c>
      <c r="M61" s="2" t="s">
        <v>89</v>
      </c>
      <c r="N61" s="2">
        <v>2</v>
      </c>
      <c r="O61" s="6">
        <v>59136.1</v>
      </c>
      <c r="P61" s="6">
        <v>29568.05</v>
      </c>
    </row>
    <row r="62" spans="1:16" outlineLevel="2" x14ac:dyDescent="0.2">
      <c r="A62" s="5">
        <v>46210</v>
      </c>
      <c r="B62" s="2">
        <v>160714</v>
      </c>
      <c r="C62" s="2">
        <v>3</v>
      </c>
      <c r="D62" s="2" t="s">
        <v>85</v>
      </c>
      <c r="E62" s="2" t="s">
        <v>90</v>
      </c>
      <c r="F62" s="2" t="s">
        <v>51</v>
      </c>
      <c r="G62" s="2" t="s">
        <v>22</v>
      </c>
      <c r="H62" s="2" t="s">
        <v>21</v>
      </c>
      <c r="I62" s="2" t="s">
        <v>91</v>
      </c>
      <c r="J62" s="2">
        <v>1</v>
      </c>
      <c r="K62" s="2" t="s">
        <v>39</v>
      </c>
      <c r="L62" s="2">
        <v>25077</v>
      </c>
      <c r="M62" s="2" t="s">
        <v>89</v>
      </c>
      <c r="N62" s="2">
        <v>9</v>
      </c>
      <c r="O62" s="6">
        <v>257711.5</v>
      </c>
      <c r="P62" s="6">
        <v>28634.61</v>
      </c>
    </row>
    <row r="63" spans="1:16" outlineLevel="2" x14ac:dyDescent="0.2">
      <c r="A63" s="5">
        <v>46210</v>
      </c>
      <c r="B63" s="2">
        <v>160713</v>
      </c>
      <c r="C63" s="2">
        <v>2</v>
      </c>
      <c r="D63" s="2" t="s">
        <v>85</v>
      </c>
      <c r="E63" s="2" t="s">
        <v>86</v>
      </c>
      <c r="F63" s="2" t="s">
        <v>51</v>
      </c>
      <c r="G63" s="2" t="s">
        <v>22</v>
      </c>
      <c r="H63" s="2" t="s">
        <v>21</v>
      </c>
      <c r="I63" s="2" t="s">
        <v>63</v>
      </c>
      <c r="J63" s="2">
        <v>1</v>
      </c>
      <c r="K63" s="2" t="s">
        <v>39</v>
      </c>
      <c r="L63" s="2">
        <v>2120</v>
      </c>
      <c r="M63" s="2" t="s">
        <v>87</v>
      </c>
      <c r="N63" s="2">
        <v>29</v>
      </c>
      <c r="O63" s="6">
        <v>829140.82</v>
      </c>
      <c r="P63" s="6">
        <v>28591.06</v>
      </c>
    </row>
    <row r="64" spans="1:16" outlineLevel="2" x14ac:dyDescent="0.2">
      <c r="A64" s="5">
        <v>46208</v>
      </c>
      <c r="B64" s="2">
        <v>160714</v>
      </c>
      <c r="C64" s="2">
        <v>1</v>
      </c>
      <c r="D64" s="2" t="s">
        <v>85</v>
      </c>
      <c r="E64" s="2" t="s">
        <v>86</v>
      </c>
      <c r="F64" s="2" t="s">
        <v>51</v>
      </c>
      <c r="G64" s="2" t="s">
        <v>22</v>
      </c>
      <c r="H64" s="2" t="s">
        <v>21</v>
      </c>
      <c r="I64" s="2" t="s">
        <v>88</v>
      </c>
      <c r="J64" s="2">
        <v>1</v>
      </c>
      <c r="K64" s="2" t="s">
        <v>39</v>
      </c>
      <c r="L64" s="2">
        <v>25077</v>
      </c>
      <c r="M64" s="2" t="s">
        <v>89</v>
      </c>
      <c r="N64" s="2">
        <v>13</v>
      </c>
      <c r="O64" s="6">
        <v>315914.09000000003</v>
      </c>
      <c r="P64" s="6">
        <v>24301.08</v>
      </c>
    </row>
    <row r="65" spans="1:16" outlineLevel="1" x14ac:dyDescent="0.2">
      <c r="A65" s="5"/>
      <c r="D65" s="4" t="s">
        <v>187</v>
      </c>
      <c r="E65" s="4"/>
      <c r="F65" s="4"/>
      <c r="G65" s="4"/>
      <c r="H65" s="4"/>
      <c r="I65" s="4"/>
      <c r="J65" s="4"/>
      <c r="K65" s="4"/>
      <c r="L65" s="4"/>
      <c r="M65" s="4"/>
      <c r="N65" s="4">
        <f>SUBTOTAL(9,N61:N64)</f>
        <v>53</v>
      </c>
      <c r="O65" s="7">
        <f>SUBTOTAL(9,O61:O64)</f>
        <v>1461902.51</v>
      </c>
      <c r="P65" s="7">
        <f>+O65/N65</f>
        <v>27583.066226415096</v>
      </c>
    </row>
    <row r="66" spans="1:16" outlineLevel="2" x14ac:dyDescent="0.2">
      <c r="A66" s="5">
        <v>46223</v>
      </c>
      <c r="B66" s="2">
        <v>161031</v>
      </c>
      <c r="C66" s="2">
        <v>500</v>
      </c>
      <c r="D66" s="2" t="s">
        <v>131</v>
      </c>
      <c r="E66" s="2" t="s">
        <v>132</v>
      </c>
      <c r="F66" s="2" t="s">
        <v>21</v>
      </c>
      <c r="G66" s="2" t="s">
        <v>22</v>
      </c>
      <c r="H66" s="2" t="s">
        <v>21</v>
      </c>
      <c r="I66" s="2" t="s">
        <v>21</v>
      </c>
      <c r="J66" s="2">
        <v>2</v>
      </c>
      <c r="K66" s="2" t="s">
        <v>70</v>
      </c>
      <c r="L66" s="2">
        <v>626</v>
      </c>
      <c r="M66" s="2" t="s">
        <v>133</v>
      </c>
      <c r="N66" s="2">
        <v>2</v>
      </c>
      <c r="O66" s="6">
        <v>2196.3200000000002</v>
      </c>
      <c r="P66" s="6">
        <v>1098.1600000000001</v>
      </c>
    </row>
    <row r="67" spans="1:16" outlineLevel="1" x14ac:dyDescent="0.2">
      <c r="A67" s="5"/>
      <c r="D67" s="4" t="s">
        <v>188</v>
      </c>
      <c r="E67" s="4"/>
      <c r="F67" s="4"/>
      <c r="G67" s="4"/>
      <c r="H67" s="4"/>
      <c r="I67" s="4"/>
      <c r="J67" s="4"/>
      <c r="K67" s="4"/>
      <c r="L67" s="4"/>
      <c r="M67" s="4"/>
      <c r="N67" s="4">
        <f>SUBTOTAL(9,N66:N66)</f>
        <v>2</v>
      </c>
      <c r="O67" s="7">
        <f>SUBTOTAL(9,O66:O66)</f>
        <v>2196.3200000000002</v>
      </c>
      <c r="P67" s="7">
        <f>+O67/N67</f>
        <v>1098.1600000000001</v>
      </c>
    </row>
    <row r="68" spans="1:16" outlineLevel="2" x14ac:dyDescent="0.2">
      <c r="A68" s="5">
        <v>46195</v>
      </c>
      <c r="B68" s="2">
        <v>160227</v>
      </c>
      <c r="C68" s="2">
        <v>1</v>
      </c>
      <c r="D68" s="2" t="s">
        <v>41</v>
      </c>
      <c r="E68" s="2" t="s">
        <v>42</v>
      </c>
      <c r="F68" s="2" t="s">
        <v>43</v>
      </c>
      <c r="G68" s="2" t="s">
        <v>22</v>
      </c>
      <c r="H68" s="2" t="s">
        <v>21</v>
      </c>
      <c r="I68" s="2" t="s">
        <v>44</v>
      </c>
      <c r="J68" s="2">
        <v>1</v>
      </c>
      <c r="K68" s="2" t="s">
        <v>39</v>
      </c>
      <c r="L68" s="2">
        <v>25067</v>
      </c>
      <c r="M68" s="2" t="s">
        <v>45</v>
      </c>
      <c r="N68" s="2">
        <v>48</v>
      </c>
      <c r="O68" s="6">
        <v>525031.59</v>
      </c>
      <c r="P68" s="6">
        <v>10938.16</v>
      </c>
    </row>
    <row r="69" spans="1:16" outlineLevel="2" x14ac:dyDescent="0.2">
      <c r="A69" s="5">
        <v>46202</v>
      </c>
      <c r="B69" s="2">
        <v>160471</v>
      </c>
      <c r="C69" s="2">
        <v>2</v>
      </c>
      <c r="D69" s="2" t="s">
        <v>41</v>
      </c>
      <c r="E69" s="2" t="s">
        <v>42</v>
      </c>
      <c r="F69" s="2" t="s">
        <v>53</v>
      </c>
      <c r="G69" s="2" t="s">
        <v>22</v>
      </c>
      <c r="H69" s="2" t="s">
        <v>21</v>
      </c>
      <c r="I69" s="2" t="s">
        <v>54</v>
      </c>
      <c r="J69" s="2">
        <v>1</v>
      </c>
      <c r="K69" s="2" t="s">
        <v>39</v>
      </c>
      <c r="L69" s="2">
        <v>206</v>
      </c>
      <c r="M69" s="2" t="s">
        <v>55</v>
      </c>
      <c r="N69" s="2">
        <v>13</v>
      </c>
      <c r="O69" s="6">
        <v>178094.54</v>
      </c>
      <c r="P69" s="6">
        <v>13699.58</v>
      </c>
    </row>
    <row r="70" spans="1:16" outlineLevel="2" x14ac:dyDescent="0.2">
      <c r="A70" s="5">
        <v>46209</v>
      </c>
      <c r="B70" s="2">
        <v>160641</v>
      </c>
      <c r="C70" s="2">
        <v>2</v>
      </c>
      <c r="D70" s="2" t="s">
        <v>41</v>
      </c>
      <c r="E70" s="2" t="s">
        <v>42</v>
      </c>
      <c r="F70" s="2" t="s">
        <v>51</v>
      </c>
      <c r="G70" s="2" t="s">
        <v>22</v>
      </c>
      <c r="H70" s="2" t="s">
        <v>21</v>
      </c>
      <c r="I70" s="2" t="s">
        <v>77</v>
      </c>
      <c r="J70" s="2">
        <v>40</v>
      </c>
      <c r="K70" s="2" t="s">
        <v>35</v>
      </c>
      <c r="L70" s="2">
        <v>1502</v>
      </c>
      <c r="M70" s="2" t="s">
        <v>78</v>
      </c>
      <c r="N70" s="2">
        <v>14</v>
      </c>
      <c r="O70" s="6">
        <v>453677.11</v>
      </c>
      <c r="P70" s="6">
        <v>32405.51</v>
      </c>
    </row>
    <row r="71" spans="1:16" outlineLevel="2" x14ac:dyDescent="0.2">
      <c r="A71" s="5">
        <v>46209</v>
      </c>
      <c r="B71" s="2">
        <v>160662</v>
      </c>
      <c r="C71" s="2">
        <v>1</v>
      </c>
      <c r="D71" s="2" t="s">
        <v>41</v>
      </c>
      <c r="E71" s="2" t="s">
        <v>42</v>
      </c>
      <c r="F71" s="2" t="s">
        <v>53</v>
      </c>
      <c r="G71" s="2" t="s">
        <v>22</v>
      </c>
      <c r="H71" s="2" t="s">
        <v>21</v>
      </c>
      <c r="I71" s="2" t="s">
        <v>79</v>
      </c>
      <c r="J71" s="2">
        <v>1</v>
      </c>
      <c r="K71" s="2" t="s">
        <v>39</v>
      </c>
      <c r="L71" s="2">
        <v>206</v>
      </c>
      <c r="M71" s="2" t="s">
        <v>55</v>
      </c>
      <c r="N71" s="2">
        <v>30</v>
      </c>
      <c r="O71" s="6">
        <v>270971.7</v>
      </c>
      <c r="P71" s="6">
        <v>9032.39</v>
      </c>
    </row>
    <row r="72" spans="1:16" outlineLevel="2" x14ac:dyDescent="0.2">
      <c r="A72" s="5">
        <v>46209</v>
      </c>
      <c r="B72" s="2">
        <v>160712</v>
      </c>
      <c r="C72" s="2">
        <v>1</v>
      </c>
      <c r="D72" s="2" t="s">
        <v>41</v>
      </c>
      <c r="E72" s="2" t="s">
        <v>42</v>
      </c>
      <c r="F72" s="2" t="s">
        <v>33</v>
      </c>
      <c r="G72" s="2" t="s">
        <v>22</v>
      </c>
      <c r="H72" s="2" t="s">
        <v>21</v>
      </c>
      <c r="I72" s="2" t="s">
        <v>83</v>
      </c>
      <c r="J72" s="2">
        <v>1</v>
      </c>
      <c r="K72" s="2" t="s">
        <v>39</v>
      </c>
      <c r="L72" s="2">
        <v>1846</v>
      </c>
      <c r="M72" s="2" t="s">
        <v>84</v>
      </c>
      <c r="N72" s="2">
        <v>31</v>
      </c>
      <c r="O72" s="6">
        <v>2466753.27</v>
      </c>
      <c r="P72" s="6">
        <v>79572.69</v>
      </c>
    </row>
    <row r="73" spans="1:16" outlineLevel="2" x14ac:dyDescent="0.2">
      <c r="A73" s="5">
        <v>46216</v>
      </c>
      <c r="B73" s="2">
        <v>160743</v>
      </c>
      <c r="C73" s="2">
        <v>3</v>
      </c>
      <c r="D73" s="2" t="s">
        <v>41</v>
      </c>
      <c r="E73" s="2" t="s">
        <v>42</v>
      </c>
      <c r="F73" s="2" t="s">
        <v>51</v>
      </c>
      <c r="G73" s="2" t="s">
        <v>94</v>
      </c>
      <c r="H73" s="2" t="s">
        <v>21</v>
      </c>
      <c r="I73" s="2" t="s">
        <v>77</v>
      </c>
      <c r="J73" s="2">
        <v>40</v>
      </c>
      <c r="K73" s="2" t="s">
        <v>35</v>
      </c>
      <c r="L73" s="2">
        <v>1502</v>
      </c>
      <c r="M73" s="2" t="s">
        <v>78</v>
      </c>
      <c r="N73" s="2">
        <v>53</v>
      </c>
      <c r="O73" s="6">
        <v>1693120.88</v>
      </c>
      <c r="P73" s="6">
        <v>31945.68</v>
      </c>
    </row>
    <row r="74" spans="1:16" outlineLevel="2" x14ac:dyDescent="0.2">
      <c r="A74" s="5">
        <v>46213</v>
      </c>
      <c r="B74" s="2">
        <v>160760</v>
      </c>
      <c r="C74" s="2">
        <v>1</v>
      </c>
      <c r="D74" s="2" t="s">
        <v>41</v>
      </c>
      <c r="E74" s="2" t="s">
        <v>42</v>
      </c>
      <c r="F74" s="2" t="s">
        <v>95</v>
      </c>
      <c r="G74" s="2" t="s">
        <v>22</v>
      </c>
      <c r="H74" s="2" t="s">
        <v>21</v>
      </c>
      <c r="I74" s="2" t="s">
        <v>21</v>
      </c>
      <c r="J74" s="2">
        <v>1</v>
      </c>
      <c r="K74" s="2" t="s">
        <v>39</v>
      </c>
      <c r="L74" s="2">
        <v>25101</v>
      </c>
      <c r="M74" s="2" t="s">
        <v>96</v>
      </c>
      <c r="N74" s="2">
        <v>-1</v>
      </c>
      <c r="O74" s="6">
        <v>-63745.25</v>
      </c>
      <c r="P74" s="6">
        <v>63745.25</v>
      </c>
    </row>
    <row r="75" spans="1:16" outlineLevel="2" x14ac:dyDescent="0.2">
      <c r="A75" s="5">
        <v>46220</v>
      </c>
      <c r="B75" s="2">
        <v>160835</v>
      </c>
      <c r="C75" s="2">
        <v>5</v>
      </c>
      <c r="D75" s="2" t="s">
        <v>41</v>
      </c>
      <c r="E75" s="2" t="s">
        <v>42</v>
      </c>
      <c r="F75" s="2" t="s">
        <v>51</v>
      </c>
      <c r="G75" s="2" t="s">
        <v>108</v>
      </c>
      <c r="H75" s="2" t="s">
        <v>21</v>
      </c>
      <c r="I75" s="2" t="s">
        <v>109</v>
      </c>
      <c r="J75" s="2">
        <v>40</v>
      </c>
      <c r="K75" s="2" t="s">
        <v>35</v>
      </c>
      <c r="L75" s="2">
        <v>25243</v>
      </c>
      <c r="M75" s="2" t="s">
        <v>110</v>
      </c>
      <c r="N75" s="2">
        <v>132</v>
      </c>
      <c r="O75" s="6">
        <v>4025262.97</v>
      </c>
      <c r="P75" s="6">
        <v>30494.42</v>
      </c>
    </row>
    <row r="76" spans="1:16" outlineLevel="2" x14ac:dyDescent="0.2">
      <c r="A76" s="5">
        <v>46220</v>
      </c>
      <c r="B76" s="2">
        <v>160835</v>
      </c>
      <c r="C76" s="2">
        <v>6</v>
      </c>
      <c r="D76" s="2" t="s">
        <v>41</v>
      </c>
      <c r="E76" s="2" t="s">
        <v>42</v>
      </c>
      <c r="F76" s="2" t="s">
        <v>51</v>
      </c>
      <c r="G76" s="2" t="s">
        <v>108</v>
      </c>
      <c r="H76" s="2" t="s">
        <v>21</v>
      </c>
      <c r="I76" s="2" t="s">
        <v>77</v>
      </c>
      <c r="J76" s="2">
        <v>40</v>
      </c>
      <c r="K76" s="2" t="s">
        <v>35</v>
      </c>
      <c r="L76" s="2">
        <v>25243</v>
      </c>
      <c r="M76" s="2" t="s">
        <v>110</v>
      </c>
      <c r="N76" s="2">
        <v>131</v>
      </c>
      <c r="O76" s="6">
        <v>4183398.76</v>
      </c>
      <c r="P76" s="6">
        <v>31934.34</v>
      </c>
    </row>
    <row r="77" spans="1:16" outlineLevel="2" x14ac:dyDescent="0.2">
      <c r="A77" s="5">
        <v>46227</v>
      </c>
      <c r="B77" s="2">
        <v>160921</v>
      </c>
      <c r="C77" s="2">
        <v>1</v>
      </c>
      <c r="D77" s="2" t="s">
        <v>41</v>
      </c>
      <c r="E77" s="2" t="s">
        <v>42</v>
      </c>
      <c r="F77" s="2" t="s">
        <v>53</v>
      </c>
      <c r="G77" s="2" t="s">
        <v>22</v>
      </c>
      <c r="H77" s="2" t="s">
        <v>21</v>
      </c>
      <c r="I77" s="2" t="s">
        <v>21</v>
      </c>
      <c r="J77" s="2">
        <v>1</v>
      </c>
      <c r="K77" s="2" t="s">
        <v>39</v>
      </c>
      <c r="L77" s="2">
        <v>206</v>
      </c>
      <c r="M77" s="2" t="s">
        <v>55</v>
      </c>
      <c r="N77" s="2">
        <v>38</v>
      </c>
      <c r="O77" s="6">
        <v>505649.02</v>
      </c>
      <c r="P77" s="6">
        <v>13306.55</v>
      </c>
    </row>
    <row r="78" spans="1:16" outlineLevel="2" x14ac:dyDescent="0.2">
      <c r="A78" s="5">
        <v>46220</v>
      </c>
      <c r="B78" s="2">
        <v>160953</v>
      </c>
      <c r="C78" s="2">
        <v>1</v>
      </c>
      <c r="D78" s="2" t="s">
        <v>41</v>
      </c>
      <c r="E78" s="2" t="s">
        <v>42</v>
      </c>
      <c r="F78" s="2" t="s">
        <v>95</v>
      </c>
      <c r="G78" s="2" t="s">
        <v>22</v>
      </c>
      <c r="H78" s="2" t="s">
        <v>21</v>
      </c>
      <c r="I78" s="2" t="s">
        <v>21</v>
      </c>
      <c r="J78" s="2">
        <v>1</v>
      </c>
      <c r="K78" s="2" t="s">
        <v>39</v>
      </c>
      <c r="L78" s="2">
        <v>25101</v>
      </c>
      <c r="M78" s="2" t="s">
        <v>96</v>
      </c>
      <c r="N78" s="2">
        <v>16</v>
      </c>
      <c r="O78" s="6">
        <v>416494.56</v>
      </c>
      <c r="P78" s="6">
        <v>26030.91</v>
      </c>
    </row>
    <row r="79" spans="1:16" outlineLevel="2" x14ac:dyDescent="0.2">
      <c r="A79" s="5">
        <v>46223</v>
      </c>
      <c r="B79" s="2">
        <v>161009</v>
      </c>
      <c r="C79" s="2">
        <v>1</v>
      </c>
      <c r="D79" s="2" t="s">
        <v>41</v>
      </c>
      <c r="E79" s="2" t="s">
        <v>42</v>
      </c>
      <c r="F79" s="2" t="s">
        <v>33</v>
      </c>
      <c r="G79" s="2" t="s">
        <v>22</v>
      </c>
      <c r="H79" s="2" t="s">
        <v>21</v>
      </c>
      <c r="I79" s="2" t="s">
        <v>83</v>
      </c>
      <c r="J79" s="2">
        <v>1</v>
      </c>
      <c r="K79" s="2" t="s">
        <v>39</v>
      </c>
      <c r="L79" s="2">
        <v>1846</v>
      </c>
      <c r="M79" s="2" t="s">
        <v>84</v>
      </c>
      <c r="N79" s="2">
        <v>45</v>
      </c>
      <c r="O79" s="6">
        <v>3967526.97</v>
      </c>
      <c r="P79" s="6">
        <v>88167.27</v>
      </c>
    </row>
    <row r="80" spans="1:16" outlineLevel="2" x14ac:dyDescent="0.2">
      <c r="A80" s="5">
        <v>46223</v>
      </c>
      <c r="B80" s="2">
        <v>161009</v>
      </c>
      <c r="C80" s="2">
        <v>2</v>
      </c>
      <c r="D80" s="2" t="s">
        <v>41</v>
      </c>
      <c r="E80" s="2" t="s">
        <v>42</v>
      </c>
      <c r="F80" s="2" t="s">
        <v>33</v>
      </c>
      <c r="G80" s="2" t="s">
        <v>22</v>
      </c>
      <c r="H80" s="2" t="s">
        <v>21</v>
      </c>
      <c r="I80" s="2" t="s">
        <v>44</v>
      </c>
      <c r="J80" s="2">
        <v>1</v>
      </c>
      <c r="K80" s="2" t="s">
        <v>39</v>
      </c>
      <c r="L80" s="2">
        <v>1846</v>
      </c>
      <c r="M80" s="2" t="s">
        <v>84</v>
      </c>
      <c r="N80" s="2">
        <v>28</v>
      </c>
      <c r="O80" s="6">
        <v>2339664.48</v>
      </c>
      <c r="P80" s="6">
        <v>83559.45</v>
      </c>
    </row>
    <row r="81" spans="1:16" outlineLevel="2" x14ac:dyDescent="0.2">
      <c r="A81" s="5">
        <v>46223</v>
      </c>
      <c r="B81" s="2">
        <v>161009</v>
      </c>
      <c r="C81" s="2">
        <v>3</v>
      </c>
      <c r="D81" s="2" t="s">
        <v>41</v>
      </c>
      <c r="E81" s="2" t="s">
        <v>42</v>
      </c>
      <c r="F81" s="2" t="s">
        <v>33</v>
      </c>
      <c r="G81" s="2" t="s">
        <v>22</v>
      </c>
      <c r="H81" s="2" t="s">
        <v>21</v>
      </c>
      <c r="I81" s="2" t="s">
        <v>130</v>
      </c>
      <c r="J81" s="2">
        <v>1</v>
      </c>
      <c r="K81" s="2" t="s">
        <v>39</v>
      </c>
      <c r="L81" s="2">
        <v>1846</v>
      </c>
      <c r="M81" s="2" t="s">
        <v>84</v>
      </c>
      <c r="N81" s="2">
        <v>2</v>
      </c>
      <c r="O81" s="6">
        <v>139411.84</v>
      </c>
      <c r="P81" s="6">
        <v>69705.919999999998</v>
      </c>
    </row>
    <row r="82" spans="1:16" outlineLevel="2" x14ac:dyDescent="0.2">
      <c r="A82" s="5">
        <v>46223</v>
      </c>
      <c r="B82" s="2">
        <v>161027</v>
      </c>
      <c r="C82" s="2">
        <v>1</v>
      </c>
      <c r="D82" s="2" t="s">
        <v>41</v>
      </c>
      <c r="E82" s="2" t="s">
        <v>42</v>
      </c>
      <c r="F82" s="2" t="s">
        <v>95</v>
      </c>
      <c r="G82" s="2" t="s">
        <v>22</v>
      </c>
      <c r="H82" s="2" t="s">
        <v>21</v>
      </c>
      <c r="I82" s="2" t="s">
        <v>21</v>
      </c>
      <c r="J82" s="2">
        <v>1</v>
      </c>
      <c r="K82" s="2" t="s">
        <v>39</v>
      </c>
      <c r="L82" s="2">
        <v>25101</v>
      </c>
      <c r="M82" s="2" t="s">
        <v>96</v>
      </c>
      <c r="N82" s="2">
        <v>12</v>
      </c>
      <c r="O82" s="6">
        <v>312370.92</v>
      </c>
      <c r="P82" s="6">
        <v>26030.91</v>
      </c>
    </row>
    <row r="83" spans="1:16" outlineLevel="2" x14ac:dyDescent="0.2">
      <c r="A83" s="5">
        <v>46223</v>
      </c>
      <c r="B83" s="2">
        <v>161048</v>
      </c>
      <c r="C83" s="2">
        <v>1</v>
      </c>
      <c r="D83" s="2" t="s">
        <v>41</v>
      </c>
      <c r="E83" s="2" t="s">
        <v>42</v>
      </c>
      <c r="F83" s="2" t="s">
        <v>51</v>
      </c>
      <c r="G83" s="2" t="s">
        <v>22</v>
      </c>
      <c r="H83" s="2" t="s">
        <v>94</v>
      </c>
      <c r="I83" s="2" t="s">
        <v>137</v>
      </c>
      <c r="J83" s="2">
        <v>40</v>
      </c>
      <c r="K83" s="2" t="s">
        <v>35</v>
      </c>
      <c r="L83" s="2">
        <v>25243</v>
      </c>
      <c r="M83" s="2" t="s">
        <v>110</v>
      </c>
      <c r="N83" s="2">
        <v>202</v>
      </c>
      <c r="O83" s="6">
        <v>6463598.0199999996</v>
      </c>
      <c r="P83" s="6">
        <v>31998.01</v>
      </c>
    </row>
    <row r="84" spans="1:16" outlineLevel="2" x14ac:dyDescent="0.2">
      <c r="A84" s="5">
        <v>46225</v>
      </c>
      <c r="B84" s="2">
        <v>161050</v>
      </c>
      <c r="C84" s="2">
        <v>1</v>
      </c>
      <c r="D84" s="2" t="s">
        <v>41</v>
      </c>
      <c r="E84" s="2" t="s">
        <v>42</v>
      </c>
      <c r="F84" s="2" t="s">
        <v>51</v>
      </c>
      <c r="G84" s="2" t="s">
        <v>94</v>
      </c>
      <c r="H84" s="2" t="s">
        <v>21</v>
      </c>
      <c r="I84" s="2" t="s">
        <v>138</v>
      </c>
      <c r="J84" s="2">
        <v>40</v>
      </c>
      <c r="K84" s="2" t="s">
        <v>35</v>
      </c>
      <c r="L84" s="2">
        <v>25243</v>
      </c>
      <c r="M84" s="2" t="s">
        <v>110</v>
      </c>
      <c r="N84" s="2">
        <v>93</v>
      </c>
      <c r="O84" s="6">
        <v>2838505.34</v>
      </c>
      <c r="P84" s="6">
        <v>30521.56</v>
      </c>
    </row>
    <row r="85" spans="1:16" outlineLevel="2" x14ac:dyDescent="0.2">
      <c r="A85" s="5">
        <v>46225</v>
      </c>
      <c r="B85" s="2">
        <v>161050</v>
      </c>
      <c r="C85" s="2">
        <v>2</v>
      </c>
      <c r="D85" s="2" t="s">
        <v>41</v>
      </c>
      <c r="E85" s="2" t="s">
        <v>42</v>
      </c>
      <c r="F85" s="2" t="s">
        <v>51</v>
      </c>
      <c r="G85" s="2" t="s">
        <v>94</v>
      </c>
      <c r="H85" s="2" t="s">
        <v>21</v>
      </c>
      <c r="I85" s="2" t="s">
        <v>109</v>
      </c>
      <c r="J85" s="2">
        <v>40</v>
      </c>
      <c r="K85" s="2" t="s">
        <v>35</v>
      </c>
      <c r="L85" s="2">
        <v>25243</v>
      </c>
      <c r="M85" s="2" t="s">
        <v>110</v>
      </c>
      <c r="N85" s="2">
        <v>240</v>
      </c>
      <c r="O85" s="6">
        <v>7628967.5599999996</v>
      </c>
      <c r="P85" s="6">
        <v>31787.360000000001</v>
      </c>
    </row>
    <row r="86" spans="1:16" outlineLevel="2" x14ac:dyDescent="0.2">
      <c r="A86" s="5">
        <v>46227</v>
      </c>
      <c r="B86" s="2">
        <v>161096</v>
      </c>
      <c r="C86" s="2">
        <v>1</v>
      </c>
      <c r="D86" s="2" t="s">
        <v>41</v>
      </c>
      <c r="E86" s="2" t="s">
        <v>42</v>
      </c>
      <c r="F86" s="2" t="s">
        <v>51</v>
      </c>
      <c r="G86" s="2" t="s">
        <v>94</v>
      </c>
      <c r="H86" s="2" t="s">
        <v>21</v>
      </c>
      <c r="I86" s="2" t="s">
        <v>158</v>
      </c>
      <c r="J86" s="2">
        <v>40</v>
      </c>
      <c r="K86" s="2" t="s">
        <v>35</v>
      </c>
      <c r="L86" s="2">
        <v>2579</v>
      </c>
      <c r="M86" s="2" t="s">
        <v>159</v>
      </c>
      <c r="N86" s="2">
        <v>51</v>
      </c>
      <c r="O86" s="6">
        <v>1548108.3</v>
      </c>
      <c r="P86" s="6">
        <v>30355.06</v>
      </c>
    </row>
    <row r="87" spans="1:16" outlineLevel="1" x14ac:dyDescent="0.2">
      <c r="A87" s="5"/>
      <c r="D87" s="4" t="s">
        <v>189</v>
      </c>
      <c r="E87" s="4"/>
      <c r="F87" s="4"/>
      <c r="G87" s="4"/>
      <c r="H87" s="4"/>
      <c r="I87" s="4"/>
      <c r="J87" s="4"/>
      <c r="K87" s="4"/>
      <c r="L87" s="4"/>
      <c r="M87" s="4"/>
      <c r="N87" s="4">
        <f>SUBTOTAL(9,N68:N86)</f>
        <v>1178</v>
      </c>
      <c r="O87" s="7">
        <f>SUBTOTAL(9,O68:O86)</f>
        <v>39892862.579999998</v>
      </c>
      <c r="P87" s="7">
        <f>+O87/N87</f>
        <v>33864.908811544992</v>
      </c>
    </row>
    <row r="88" spans="1:16" outlineLevel="2" x14ac:dyDescent="0.2">
      <c r="A88" s="5">
        <v>46223</v>
      </c>
      <c r="B88" s="2">
        <v>161052</v>
      </c>
      <c r="C88" s="2">
        <v>2</v>
      </c>
      <c r="D88" s="2" t="s">
        <v>139</v>
      </c>
      <c r="E88" s="2" t="s">
        <v>140</v>
      </c>
      <c r="F88" s="2" t="s">
        <v>51</v>
      </c>
      <c r="G88" s="2" t="s">
        <v>22</v>
      </c>
      <c r="H88" s="2" t="s">
        <v>21</v>
      </c>
      <c r="I88" s="2" t="s">
        <v>21</v>
      </c>
      <c r="J88" s="2">
        <v>5</v>
      </c>
      <c r="K88" s="2" t="s">
        <v>58</v>
      </c>
      <c r="L88" s="2">
        <v>2521</v>
      </c>
      <c r="M88" s="2" t="s">
        <v>59</v>
      </c>
      <c r="N88" s="2">
        <v>8</v>
      </c>
      <c r="O88" s="6">
        <v>229076.88</v>
      </c>
      <c r="P88" s="6">
        <v>28634.61</v>
      </c>
    </row>
    <row r="89" spans="1:16" outlineLevel="1" x14ac:dyDescent="0.2">
      <c r="A89" s="5"/>
      <c r="D89" s="4" t="s">
        <v>190</v>
      </c>
      <c r="E89" s="4"/>
      <c r="F89" s="4"/>
      <c r="G89" s="4"/>
      <c r="H89" s="4"/>
      <c r="I89" s="4"/>
      <c r="J89" s="4"/>
      <c r="K89" s="4"/>
      <c r="L89" s="4"/>
      <c r="M89" s="4"/>
      <c r="N89" s="4">
        <f>SUBTOTAL(9,N88:N88)</f>
        <v>8</v>
      </c>
      <c r="O89" s="7">
        <f>SUBTOTAL(9,O88:O88)</f>
        <v>229076.88</v>
      </c>
      <c r="P89" s="7">
        <f>+O89/N89</f>
        <v>28634.61</v>
      </c>
    </row>
    <row r="90" spans="1:16" outlineLevel="2" x14ac:dyDescent="0.2">
      <c r="A90" s="5">
        <v>46225</v>
      </c>
      <c r="B90" s="2">
        <v>161060</v>
      </c>
      <c r="C90" s="2">
        <v>7</v>
      </c>
      <c r="D90" s="2" t="s">
        <v>151</v>
      </c>
      <c r="E90" s="2" t="s">
        <v>21</v>
      </c>
      <c r="F90" s="2" t="s">
        <v>144</v>
      </c>
      <c r="G90" s="2" t="s">
        <v>22</v>
      </c>
      <c r="H90" s="2" t="s">
        <v>21</v>
      </c>
      <c r="I90" s="2" t="s">
        <v>21</v>
      </c>
      <c r="J90" s="2">
        <v>41</v>
      </c>
      <c r="K90" s="2" t="s">
        <v>114</v>
      </c>
      <c r="L90" s="2">
        <v>25213</v>
      </c>
      <c r="M90" s="2" t="s">
        <v>147</v>
      </c>
      <c r="N90" s="2">
        <v>21</v>
      </c>
      <c r="O90" s="6">
        <v>72066.75</v>
      </c>
      <c r="P90" s="6">
        <v>3431.75</v>
      </c>
    </row>
    <row r="91" spans="1:16" outlineLevel="1" x14ac:dyDescent="0.2">
      <c r="A91" s="5"/>
      <c r="D91" s="4" t="s">
        <v>191</v>
      </c>
      <c r="E91" s="4"/>
      <c r="F91" s="4"/>
      <c r="G91" s="4"/>
      <c r="H91" s="4"/>
      <c r="I91" s="4"/>
      <c r="J91" s="4"/>
      <c r="K91" s="4"/>
      <c r="L91" s="4"/>
      <c r="M91" s="4"/>
      <c r="N91" s="4">
        <f>SUBTOTAL(9,N90:N90)</f>
        <v>21</v>
      </c>
      <c r="O91" s="7">
        <f>SUBTOTAL(9,O90:O90)</f>
        <v>72066.75</v>
      </c>
      <c r="P91" s="7">
        <f>+O91/N91</f>
        <v>3431.75</v>
      </c>
    </row>
    <row r="92" spans="1:16" outlineLevel="2" x14ac:dyDescent="0.2">
      <c r="A92" s="5">
        <v>46209</v>
      </c>
      <c r="B92" s="2">
        <v>160664</v>
      </c>
      <c r="C92" s="2">
        <v>1</v>
      </c>
      <c r="D92" s="2" t="s">
        <v>80</v>
      </c>
      <c r="E92" s="2" t="s">
        <v>81</v>
      </c>
      <c r="F92" s="2" t="s">
        <v>21</v>
      </c>
      <c r="G92" s="2" t="s">
        <v>22</v>
      </c>
      <c r="H92" s="2" t="s">
        <v>21</v>
      </c>
      <c r="I92" s="2" t="s">
        <v>21</v>
      </c>
      <c r="J92" s="2">
        <v>78</v>
      </c>
      <c r="K92" s="2" t="s">
        <v>82</v>
      </c>
      <c r="L92" s="2">
        <v>226</v>
      </c>
      <c r="M92" s="2" t="s">
        <v>48</v>
      </c>
      <c r="N92" s="2">
        <v>11</v>
      </c>
      <c r="O92" s="6">
        <v>195802.46</v>
      </c>
      <c r="P92" s="6">
        <v>17800.22</v>
      </c>
    </row>
    <row r="93" spans="1:16" outlineLevel="1" x14ac:dyDescent="0.2">
      <c r="A93" s="5"/>
      <c r="D93" s="4" t="s">
        <v>192</v>
      </c>
      <c r="E93" s="4"/>
      <c r="F93" s="4"/>
      <c r="G93" s="4"/>
      <c r="H93" s="4"/>
      <c r="I93" s="4"/>
      <c r="J93" s="4"/>
      <c r="K93" s="4"/>
      <c r="L93" s="4"/>
      <c r="M93" s="4"/>
      <c r="N93" s="4">
        <f>SUBTOTAL(9,N92:N92)</f>
        <v>11</v>
      </c>
      <c r="O93" s="7">
        <f>SUBTOTAL(9,O92:O92)</f>
        <v>195802.46</v>
      </c>
      <c r="P93" s="7">
        <f>+O93/N93</f>
        <v>17800.223636363637</v>
      </c>
    </row>
    <row r="94" spans="1:16" outlineLevel="2" x14ac:dyDescent="0.2">
      <c r="A94" s="5">
        <v>46209</v>
      </c>
      <c r="B94" s="2">
        <v>160513</v>
      </c>
      <c r="C94" s="2">
        <v>1</v>
      </c>
      <c r="D94" s="2" t="s">
        <v>61</v>
      </c>
      <c r="E94" s="2" t="s">
        <v>21</v>
      </c>
      <c r="F94" s="2" t="s">
        <v>62</v>
      </c>
      <c r="G94" s="2" t="s">
        <v>22</v>
      </c>
      <c r="H94" s="2" t="s">
        <v>21</v>
      </c>
      <c r="I94" s="2" t="s">
        <v>63</v>
      </c>
      <c r="J94" s="2">
        <v>1</v>
      </c>
      <c r="K94" s="2" t="s">
        <v>39</v>
      </c>
      <c r="L94" s="2">
        <v>2024</v>
      </c>
      <c r="M94" s="2" t="s">
        <v>64</v>
      </c>
      <c r="N94" s="2">
        <v>21</v>
      </c>
      <c r="O94" s="6">
        <v>311027.13</v>
      </c>
      <c r="P94" s="6">
        <v>14810.82</v>
      </c>
    </row>
    <row r="95" spans="1:16" outlineLevel="2" x14ac:dyDescent="0.2">
      <c r="A95" s="5">
        <v>46209</v>
      </c>
      <c r="B95" s="2">
        <v>160513</v>
      </c>
      <c r="C95" s="2">
        <v>2</v>
      </c>
      <c r="D95" s="2" t="s">
        <v>61</v>
      </c>
      <c r="E95" s="2" t="s">
        <v>21</v>
      </c>
      <c r="F95" s="2" t="s">
        <v>62</v>
      </c>
      <c r="G95" s="2" t="s">
        <v>22</v>
      </c>
      <c r="H95" s="2" t="s">
        <v>21</v>
      </c>
      <c r="I95" s="2" t="s">
        <v>65</v>
      </c>
      <c r="J95" s="2">
        <v>1</v>
      </c>
      <c r="K95" s="2" t="s">
        <v>39</v>
      </c>
      <c r="L95" s="2">
        <v>2024</v>
      </c>
      <c r="M95" s="2" t="s">
        <v>64</v>
      </c>
      <c r="N95" s="2">
        <v>10</v>
      </c>
      <c r="O95" s="6">
        <v>99658.28</v>
      </c>
      <c r="P95" s="6">
        <v>9965.83</v>
      </c>
    </row>
    <row r="96" spans="1:16" outlineLevel="2" x14ac:dyDescent="0.2">
      <c r="A96" s="5">
        <v>46223</v>
      </c>
      <c r="B96" s="2">
        <v>160514</v>
      </c>
      <c r="C96" s="2">
        <v>1</v>
      </c>
      <c r="D96" s="2" t="s">
        <v>61</v>
      </c>
      <c r="E96" s="2" t="s">
        <v>21</v>
      </c>
      <c r="F96" s="2" t="s">
        <v>62</v>
      </c>
      <c r="G96" s="2" t="s">
        <v>22</v>
      </c>
      <c r="H96" s="2" t="s">
        <v>21</v>
      </c>
      <c r="I96" s="2" t="s">
        <v>66</v>
      </c>
      <c r="J96" s="2">
        <v>1</v>
      </c>
      <c r="K96" s="2" t="s">
        <v>39</v>
      </c>
      <c r="L96" s="2">
        <v>2024</v>
      </c>
      <c r="M96" s="2" t="s">
        <v>64</v>
      </c>
      <c r="N96" s="2">
        <v>44</v>
      </c>
      <c r="O96" s="6">
        <v>1206936.54</v>
      </c>
      <c r="P96" s="6">
        <v>27430.38</v>
      </c>
    </row>
    <row r="97" spans="1:16" outlineLevel="2" x14ac:dyDescent="0.2">
      <c r="A97" s="5">
        <v>46223</v>
      </c>
      <c r="B97" s="2">
        <v>160514</v>
      </c>
      <c r="C97" s="2">
        <v>2</v>
      </c>
      <c r="D97" s="2" t="s">
        <v>61</v>
      </c>
      <c r="E97" s="2" t="s">
        <v>21</v>
      </c>
      <c r="F97" s="2" t="s">
        <v>62</v>
      </c>
      <c r="G97" s="2" t="s">
        <v>22</v>
      </c>
      <c r="H97" s="2" t="s">
        <v>21</v>
      </c>
      <c r="I97" s="2" t="s">
        <v>67</v>
      </c>
      <c r="J97" s="2">
        <v>1</v>
      </c>
      <c r="K97" s="2" t="s">
        <v>39</v>
      </c>
      <c r="L97" s="2">
        <v>2024</v>
      </c>
      <c r="M97" s="2" t="s">
        <v>64</v>
      </c>
      <c r="N97" s="2">
        <v>127</v>
      </c>
      <c r="O97" s="6">
        <v>3130133.41</v>
      </c>
      <c r="P97" s="6">
        <v>24646.720000000001</v>
      </c>
    </row>
    <row r="98" spans="1:16" outlineLevel="1" x14ac:dyDescent="0.2">
      <c r="A98" s="5"/>
      <c r="D98" s="4" t="s">
        <v>193</v>
      </c>
      <c r="E98" s="4"/>
      <c r="F98" s="4"/>
      <c r="G98" s="4"/>
      <c r="H98" s="4"/>
      <c r="I98" s="4"/>
      <c r="J98" s="4"/>
      <c r="K98" s="4"/>
      <c r="L98" s="4"/>
      <c r="M98" s="4"/>
      <c r="N98" s="4">
        <f>SUBTOTAL(9,N94:N97)</f>
        <v>202</v>
      </c>
      <c r="O98" s="7">
        <f>SUBTOTAL(9,O94:O97)</f>
        <v>4747755.3600000003</v>
      </c>
      <c r="P98" s="7">
        <f>+O98/N98</f>
        <v>23503.739405940596</v>
      </c>
    </row>
    <row r="99" spans="1:16" outlineLevel="2" x14ac:dyDescent="0.2">
      <c r="A99" s="5">
        <v>46225</v>
      </c>
      <c r="B99" s="2">
        <v>161133</v>
      </c>
      <c r="C99" s="2">
        <v>1</v>
      </c>
      <c r="D99" s="2" t="s">
        <v>165</v>
      </c>
      <c r="E99" s="2" t="s">
        <v>166</v>
      </c>
      <c r="F99" s="2" t="s">
        <v>62</v>
      </c>
      <c r="G99" s="2" t="s">
        <v>22</v>
      </c>
      <c r="H99" s="2" t="s">
        <v>21</v>
      </c>
      <c r="I99" s="2" t="s">
        <v>67</v>
      </c>
      <c r="J99" s="2">
        <v>1</v>
      </c>
      <c r="K99" s="2" t="s">
        <v>39</v>
      </c>
      <c r="L99" s="2">
        <v>1037</v>
      </c>
      <c r="M99" s="2" t="s">
        <v>167</v>
      </c>
      <c r="N99" s="2">
        <v>3</v>
      </c>
      <c r="O99" s="6">
        <v>172713.63</v>
      </c>
      <c r="P99" s="6">
        <v>57571.21</v>
      </c>
    </row>
    <row r="100" spans="1:16" outlineLevel="2" x14ac:dyDescent="0.2">
      <c r="A100" s="5">
        <v>46225</v>
      </c>
      <c r="B100" s="2">
        <v>161133</v>
      </c>
      <c r="C100" s="2">
        <v>2</v>
      </c>
      <c r="D100" s="2" t="s">
        <v>165</v>
      </c>
      <c r="E100" s="2" t="s">
        <v>166</v>
      </c>
      <c r="F100" s="2" t="s">
        <v>62</v>
      </c>
      <c r="G100" s="2" t="s">
        <v>22</v>
      </c>
      <c r="H100" s="2" t="s">
        <v>21</v>
      </c>
      <c r="I100" s="2" t="s">
        <v>106</v>
      </c>
      <c r="J100" s="2">
        <v>1</v>
      </c>
      <c r="K100" s="2" t="s">
        <v>39</v>
      </c>
      <c r="L100" s="2">
        <v>1037</v>
      </c>
      <c r="M100" s="2" t="s">
        <v>167</v>
      </c>
      <c r="N100" s="2">
        <v>27</v>
      </c>
      <c r="O100" s="6">
        <v>1555328.67</v>
      </c>
      <c r="P100" s="6">
        <v>57604.77</v>
      </c>
    </row>
    <row r="101" spans="1:16" outlineLevel="1" x14ac:dyDescent="0.2">
      <c r="A101" s="5"/>
      <c r="D101" s="4" t="s">
        <v>194</v>
      </c>
      <c r="E101" s="4"/>
      <c r="F101" s="4"/>
      <c r="G101" s="4"/>
      <c r="H101" s="4"/>
      <c r="I101" s="4"/>
      <c r="J101" s="4"/>
      <c r="K101" s="4"/>
      <c r="L101" s="4"/>
      <c r="M101" s="4"/>
      <c r="N101" s="4">
        <f>SUBTOTAL(9,N99:N100)</f>
        <v>30</v>
      </c>
      <c r="O101" s="7">
        <f>SUBTOTAL(9,O99:O100)</f>
        <v>1728042.2999999998</v>
      </c>
      <c r="P101" s="7">
        <f>+O101/N101</f>
        <v>57601.409999999996</v>
      </c>
    </row>
    <row r="102" spans="1:16" outlineLevel="2" x14ac:dyDescent="0.2">
      <c r="A102" s="5">
        <v>46225</v>
      </c>
      <c r="B102" s="2">
        <v>161060</v>
      </c>
      <c r="C102" s="2">
        <v>3</v>
      </c>
      <c r="D102" s="2" t="s">
        <v>146</v>
      </c>
      <c r="E102" s="2" t="s">
        <v>21</v>
      </c>
      <c r="F102" s="2" t="s">
        <v>144</v>
      </c>
      <c r="G102" s="2" t="s">
        <v>22</v>
      </c>
      <c r="H102" s="2" t="s">
        <v>21</v>
      </c>
      <c r="I102" s="2" t="s">
        <v>21</v>
      </c>
      <c r="J102" s="2">
        <v>1</v>
      </c>
      <c r="K102" s="2" t="s">
        <v>39</v>
      </c>
      <c r="L102" s="2">
        <v>25213</v>
      </c>
      <c r="M102" s="2" t="s">
        <v>147</v>
      </c>
      <c r="N102" s="2">
        <v>4</v>
      </c>
      <c r="O102" s="6">
        <v>362201.72</v>
      </c>
      <c r="P102" s="6">
        <v>90550.43</v>
      </c>
    </row>
    <row r="103" spans="1:16" outlineLevel="2" x14ac:dyDescent="0.2">
      <c r="A103" s="5">
        <v>46225</v>
      </c>
      <c r="B103" s="2">
        <v>161060</v>
      </c>
      <c r="C103" s="2">
        <v>6</v>
      </c>
      <c r="D103" s="2" t="s">
        <v>146</v>
      </c>
      <c r="E103" s="2" t="s">
        <v>21</v>
      </c>
      <c r="F103" s="2" t="s">
        <v>144</v>
      </c>
      <c r="G103" s="2" t="s">
        <v>22</v>
      </c>
      <c r="H103" s="2" t="s">
        <v>21</v>
      </c>
      <c r="I103" s="2" t="s">
        <v>21</v>
      </c>
      <c r="J103" s="2">
        <v>41</v>
      </c>
      <c r="K103" s="2" t="s">
        <v>114</v>
      </c>
      <c r="L103" s="2">
        <v>25213</v>
      </c>
      <c r="M103" s="2" t="s">
        <v>147</v>
      </c>
      <c r="N103" s="2">
        <v>16</v>
      </c>
      <c r="O103" s="6">
        <v>60788.74</v>
      </c>
      <c r="P103" s="6">
        <v>3799.3</v>
      </c>
    </row>
    <row r="104" spans="1:16" outlineLevel="2" x14ac:dyDescent="0.2">
      <c r="A104" s="5">
        <v>46227</v>
      </c>
      <c r="B104" s="2">
        <v>161142</v>
      </c>
      <c r="C104" s="2">
        <v>5</v>
      </c>
      <c r="D104" s="2" t="s">
        <v>146</v>
      </c>
      <c r="E104" s="2" t="s">
        <v>21</v>
      </c>
      <c r="F104" s="2" t="s">
        <v>144</v>
      </c>
      <c r="G104" s="2" t="s">
        <v>22</v>
      </c>
      <c r="H104" s="2" t="s">
        <v>21</v>
      </c>
      <c r="I104" s="2" t="s">
        <v>21</v>
      </c>
      <c r="J104" s="2">
        <v>1</v>
      </c>
      <c r="K104" s="2" t="s">
        <v>39</v>
      </c>
      <c r="L104" s="2">
        <v>25213</v>
      </c>
      <c r="M104" s="2" t="s">
        <v>147</v>
      </c>
      <c r="N104" s="2">
        <v>1</v>
      </c>
      <c r="O104" s="6">
        <v>91175.01</v>
      </c>
      <c r="P104" s="6">
        <v>91175.01</v>
      </c>
    </row>
    <row r="105" spans="1:16" outlineLevel="1" x14ac:dyDescent="0.2">
      <c r="A105" s="5"/>
      <c r="D105" s="4" t="s">
        <v>195</v>
      </c>
      <c r="E105" s="4"/>
      <c r="F105" s="4"/>
      <c r="G105" s="4"/>
      <c r="H105" s="4"/>
      <c r="I105" s="4"/>
      <c r="J105" s="4"/>
      <c r="K105" s="4"/>
      <c r="L105" s="4"/>
      <c r="M105" s="4"/>
      <c r="N105" s="4">
        <f>SUBTOTAL(9,N102:N104)</f>
        <v>21</v>
      </c>
      <c r="O105" s="7">
        <f>SUBTOTAL(9,O102:O104)</f>
        <v>514165.47</v>
      </c>
      <c r="P105" s="7">
        <f>+O105/N105</f>
        <v>24484.07</v>
      </c>
    </row>
    <row r="106" spans="1:16" outlineLevel="2" x14ac:dyDescent="0.2">
      <c r="A106" s="5">
        <v>46225</v>
      </c>
      <c r="B106" s="2">
        <v>161059</v>
      </c>
      <c r="C106" s="2">
        <v>1</v>
      </c>
      <c r="D106" s="2" t="s">
        <v>142</v>
      </c>
      <c r="E106" s="2" t="s">
        <v>143</v>
      </c>
      <c r="F106" s="2" t="s">
        <v>144</v>
      </c>
      <c r="G106" s="2" t="s">
        <v>22</v>
      </c>
      <c r="H106" s="2" t="s">
        <v>21</v>
      </c>
      <c r="I106" s="2" t="s">
        <v>21</v>
      </c>
      <c r="J106" s="2">
        <v>41</v>
      </c>
      <c r="K106" s="2" t="s">
        <v>114</v>
      </c>
      <c r="L106" s="2">
        <v>2338</v>
      </c>
      <c r="M106" s="2" t="s">
        <v>145</v>
      </c>
      <c r="N106" s="2">
        <v>101</v>
      </c>
      <c r="O106" s="6">
        <v>39039.279999999999</v>
      </c>
      <c r="P106" s="6">
        <v>386.53</v>
      </c>
    </row>
    <row r="107" spans="1:16" outlineLevel="1" x14ac:dyDescent="0.2">
      <c r="A107" s="5"/>
      <c r="D107" s="4" t="s">
        <v>196</v>
      </c>
      <c r="E107" s="4"/>
      <c r="F107" s="4"/>
      <c r="G107" s="4"/>
      <c r="H107" s="4"/>
      <c r="I107" s="4"/>
      <c r="J107" s="4"/>
      <c r="K107" s="4"/>
      <c r="L107" s="4"/>
      <c r="M107" s="4"/>
      <c r="N107" s="4">
        <f>SUBTOTAL(9,N106:N106)</f>
        <v>101</v>
      </c>
      <c r="O107" s="7">
        <f>SUBTOTAL(9,O106:O106)</f>
        <v>39039.279999999999</v>
      </c>
      <c r="P107" s="7">
        <f>+O107/N107</f>
        <v>386.52752475247524</v>
      </c>
    </row>
    <row r="108" spans="1:16" outlineLevel="2" x14ac:dyDescent="0.2">
      <c r="A108" s="5">
        <v>46223</v>
      </c>
      <c r="B108" s="2">
        <v>161115</v>
      </c>
      <c r="C108" s="2">
        <v>14</v>
      </c>
      <c r="D108" s="2" t="s">
        <v>111</v>
      </c>
      <c r="E108" s="2" t="s">
        <v>161</v>
      </c>
      <c r="F108" s="2" t="s">
        <v>113</v>
      </c>
      <c r="G108" s="2" t="s">
        <v>22</v>
      </c>
      <c r="H108" s="2" t="s">
        <v>21</v>
      </c>
      <c r="I108" s="2" t="s">
        <v>21</v>
      </c>
      <c r="J108" s="2">
        <v>41</v>
      </c>
      <c r="K108" s="2" t="s">
        <v>114</v>
      </c>
      <c r="L108" s="2">
        <v>801</v>
      </c>
      <c r="M108" s="2" t="s">
        <v>115</v>
      </c>
      <c r="N108" s="2">
        <v>2</v>
      </c>
      <c r="O108" s="6">
        <v>27399.16</v>
      </c>
      <c r="P108" s="6">
        <v>13699.58</v>
      </c>
    </row>
    <row r="109" spans="1:16" outlineLevel="2" x14ac:dyDescent="0.2">
      <c r="A109" s="5">
        <v>46223</v>
      </c>
      <c r="B109" s="2">
        <v>161115</v>
      </c>
      <c r="C109" s="2">
        <v>10</v>
      </c>
      <c r="D109" s="2" t="s">
        <v>111</v>
      </c>
      <c r="E109" s="2" t="s">
        <v>160</v>
      </c>
      <c r="F109" s="2" t="s">
        <v>113</v>
      </c>
      <c r="G109" s="2" t="s">
        <v>22</v>
      </c>
      <c r="H109" s="2" t="s">
        <v>21</v>
      </c>
      <c r="I109" s="2" t="s">
        <v>21</v>
      </c>
      <c r="J109" s="2">
        <v>41</v>
      </c>
      <c r="K109" s="2" t="s">
        <v>114</v>
      </c>
      <c r="L109" s="2">
        <v>801</v>
      </c>
      <c r="M109" s="2" t="s">
        <v>115</v>
      </c>
      <c r="N109" s="2">
        <v>31</v>
      </c>
      <c r="O109" s="6">
        <v>498599.4</v>
      </c>
      <c r="P109" s="6">
        <v>16083.85</v>
      </c>
    </row>
    <row r="110" spans="1:16" outlineLevel="2" x14ac:dyDescent="0.2">
      <c r="A110" s="5">
        <v>46218</v>
      </c>
      <c r="B110" s="2">
        <v>160911</v>
      </c>
      <c r="C110" s="2">
        <v>313</v>
      </c>
      <c r="D110" s="2" t="s">
        <v>111</v>
      </c>
      <c r="E110" s="2" t="s">
        <v>118</v>
      </c>
      <c r="F110" s="2" t="s">
        <v>119</v>
      </c>
      <c r="G110" s="2" t="s">
        <v>21</v>
      </c>
      <c r="H110" s="2" t="s">
        <v>21</v>
      </c>
      <c r="I110" s="2" t="s">
        <v>21</v>
      </c>
      <c r="J110" s="2">
        <v>41</v>
      </c>
      <c r="K110" s="2" t="s">
        <v>114</v>
      </c>
      <c r="L110" s="2">
        <v>801</v>
      </c>
      <c r="M110" s="2" t="s">
        <v>115</v>
      </c>
      <c r="N110" s="2">
        <v>6</v>
      </c>
      <c r="O110" s="6">
        <v>47660.26</v>
      </c>
      <c r="P110" s="6">
        <v>7943.38</v>
      </c>
    </row>
    <row r="111" spans="1:16" outlineLevel="2" x14ac:dyDescent="0.2">
      <c r="A111" s="5">
        <v>46218</v>
      </c>
      <c r="B111" s="2">
        <v>160998</v>
      </c>
      <c r="C111" s="2">
        <v>17</v>
      </c>
      <c r="D111" s="2" t="s">
        <v>111</v>
      </c>
      <c r="E111" s="2" t="s">
        <v>127</v>
      </c>
      <c r="F111" s="2" t="s">
        <v>113</v>
      </c>
      <c r="G111" s="2" t="s">
        <v>22</v>
      </c>
      <c r="H111" s="2" t="s">
        <v>21</v>
      </c>
      <c r="I111" s="2" t="s">
        <v>21</v>
      </c>
      <c r="J111" s="2">
        <v>41</v>
      </c>
      <c r="K111" s="2" t="s">
        <v>114</v>
      </c>
      <c r="L111" s="2">
        <v>106</v>
      </c>
      <c r="M111" s="2" t="s">
        <v>125</v>
      </c>
      <c r="N111" s="2">
        <v>7</v>
      </c>
      <c r="O111" s="6">
        <v>65093.599999999999</v>
      </c>
      <c r="P111" s="6">
        <v>9299.09</v>
      </c>
    </row>
    <row r="112" spans="1:16" outlineLevel="2" x14ac:dyDescent="0.2">
      <c r="A112" s="5">
        <v>46220</v>
      </c>
      <c r="B112" s="2">
        <v>161017</v>
      </c>
      <c r="C112" s="2">
        <v>13</v>
      </c>
      <c r="D112" s="2" t="s">
        <v>111</v>
      </c>
      <c r="E112" s="2" t="s">
        <v>127</v>
      </c>
      <c r="F112" s="2" t="s">
        <v>113</v>
      </c>
      <c r="G112" s="2" t="s">
        <v>22</v>
      </c>
      <c r="H112" s="2" t="s">
        <v>21</v>
      </c>
      <c r="I112" s="2" t="s">
        <v>21</v>
      </c>
      <c r="J112" s="2">
        <v>41</v>
      </c>
      <c r="K112" s="2" t="s">
        <v>114</v>
      </c>
      <c r="L112" s="2">
        <v>801</v>
      </c>
      <c r="M112" s="2" t="s">
        <v>115</v>
      </c>
      <c r="N112" s="2">
        <v>5</v>
      </c>
      <c r="O112" s="6">
        <v>55429.760000000002</v>
      </c>
      <c r="P112" s="6">
        <v>11085.95</v>
      </c>
    </row>
    <row r="113" spans="1:16" outlineLevel="2" x14ac:dyDescent="0.2">
      <c r="A113" s="5">
        <v>46216</v>
      </c>
      <c r="B113" s="2">
        <v>160911</v>
      </c>
      <c r="C113" s="2">
        <v>9</v>
      </c>
      <c r="D113" s="2" t="s">
        <v>111</v>
      </c>
      <c r="E113" s="2" t="s">
        <v>112</v>
      </c>
      <c r="F113" s="2" t="s">
        <v>113</v>
      </c>
      <c r="G113" s="2" t="s">
        <v>22</v>
      </c>
      <c r="H113" s="2" t="s">
        <v>21</v>
      </c>
      <c r="I113" s="2" t="s">
        <v>21</v>
      </c>
      <c r="J113" s="2">
        <v>41</v>
      </c>
      <c r="K113" s="2" t="s">
        <v>114</v>
      </c>
      <c r="L113" s="2">
        <v>801</v>
      </c>
      <c r="M113" s="2" t="s">
        <v>115</v>
      </c>
      <c r="N113" s="2">
        <v>10</v>
      </c>
      <c r="O113" s="6">
        <v>92190.76</v>
      </c>
      <c r="P113" s="6">
        <v>9219.08</v>
      </c>
    </row>
    <row r="114" spans="1:16" outlineLevel="2" x14ac:dyDescent="0.2">
      <c r="A114" s="5">
        <v>46218</v>
      </c>
      <c r="B114" s="2">
        <v>160998</v>
      </c>
      <c r="C114" s="2">
        <v>16</v>
      </c>
      <c r="D114" s="2" t="s">
        <v>111</v>
      </c>
      <c r="E114" s="2" t="s">
        <v>126</v>
      </c>
      <c r="F114" s="2" t="s">
        <v>113</v>
      </c>
      <c r="G114" s="2" t="s">
        <v>22</v>
      </c>
      <c r="H114" s="2" t="s">
        <v>21</v>
      </c>
      <c r="I114" s="2" t="s">
        <v>21</v>
      </c>
      <c r="J114" s="2">
        <v>41</v>
      </c>
      <c r="K114" s="2" t="s">
        <v>114</v>
      </c>
      <c r="L114" s="2">
        <v>106</v>
      </c>
      <c r="M114" s="2" t="s">
        <v>125</v>
      </c>
      <c r="N114" s="2">
        <v>12</v>
      </c>
      <c r="O114" s="6">
        <v>87852.99</v>
      </c>
      <c r="P114" s="6">
        <v>7321.08</v>
      </c>
    </row>
    <row r="115" spans="1:16" outlineLevel="2" x14ac:dyDescent="0.2">
      <c r="A115" s="5">
        <v>46225</v>
      </c>
      <c r="B115" s="2">
        <v>161132</v>
      </c>
      <c r="C115" s="2">
        <v>6</v>
      </c>
      <c r="D115" s="2" t="s">
        <v>111</v>
      </c>
      <c r="E115" s="2" t="s">
        <v>164</v>
      </c>
      <c r="F115" s="2" t="s">
        <v>113</v>
      </c>
      <c r="G115" s="2" t="s">
        <v>22</v>
      </c>
      <c r="H115" s="2" t="s">
        <v>21</v>
      </c>
      <c r="I115" s="2" t="s">
        <v>21</v>
      </c>
      <c r="J115" s="2">
        <v>2</v>
      </c>
      <c r="K115" s="2" t="s">
        <v>70</v>
      </c>
      <c r="L115" s="2">
        <v>801</v>
      </c>
      <c r="M115" s="2" t="s">
        <v>115</v>
      </c>
      <c r="N115" s="2">
        <v>6</v>
      </c>
      <c r="O115" s="6">
        <v>90598.44</v>
      </c>
      <c r="P115" s="6">
        <v>15099.74</v>
      </c>
    </row>
    <row r="116" spans="1:16" outlineLevel="2" x14ac:dyDescent="0.2">
      <c r="A116" s="5">
        <v>46218</v>
      </c>
      <c r="B116" s="2">
        <v>160933</v>
      </c>
      <c r="C116" s="2">
        <v>1</v>
      </c>
      <c r="D116" s="2" t="s">
        <v>111</v>
      </c>
      <c r="E116" s="2" t="s">
        <v>120</v>
      </c>
      <c r="F116" s="2" t="s">
        <v>33</v>
      </c>
      <c r="G116" s="2" t="s">
        <v>22</v>
      </c>
      <c r="H116" s="2" t="s">
        <v>21</v>
      </c>
      <c r="I116" s="2" t="s">
        <v>21</v>
      </c>
      <c r="J116" s="2">
        <v>40</v>
      </c>
      <c r="K116" s="2" t="s">
        <v>35</v>
      </c>
      <c r="L116" s="2">
        <v>21</v>
      </c>
      <c r="M116" s="2" t="s">
        <v>121</v>
      </c>
      <c r="N116" s="2">
        <v>10</v>
      </c>
      <c r="O116" s="6">
        <v>183667.7</v>
      </c>
      <c r="P116" s="6">
        <v>18366.77</v>
      </c>
    </row>
    <row r="117" spans="1:16" outlineLevel="2" x14ac:dyDescent="0.2">
      <c r="A117" s="5">
        <v>46218</v>
      </c>
      <c r="B117" s="2">
        <v>160936</v>
      </c>
      <c r="C117" s="2">
        <v>7</v>
      </c>
      <c r="D117" s="2" t="s">
        <v>111</v>
      </c>
      <c r="E117" s="2" t="s">
        <v>120</v>
      </c>
      <c r="F117" s="2" t="s">
        <v>113</v>
      </c>
      <c r="G117" s="2" t="s">
        <v>124</v>
      </c>
      <c r="H117" s="2" t="s">
        <v>21</v>
      </c>
      <c r="I117" s="2" t="s">
        <v>21</v>
      </c>
      <c r="J117" s="2">
        <v>2</v>
      </c>
      <c r="K117" s="2" t="s">
        <v>70</v>
      </c>
      <c r="L117" s="2">
        <v>106</v>
      </c>
      <c r="M117" s="2" t="s">
        <v>125</v>
      </c>
      <c r="N117" s="2">
        <v>14</v>
      </c>
      <c r="O117" s="6">
        <v>72313.94</v>
      </c>
      <c r="P117" s="6">
        <v>5165.28</v>
      </c>
    </row>
    <row r="118" spans="1:16" outlineLevel="2" x14ac:dyDescent="0.2">
      <c r="A118" s="5">
        <v>46225</v>
      </c>
      <c r="B118" s="2">
        <v>161127</v>
      </c>
      <c r="C118" s="2">
        <v>3</v>
      </c>
      <c r="D118" s="2" t="s">
        <v>111</v>
      </c>
      <c r="E118" s="2" t="s">
        <v>120</v>
      </c>
      <c r="F118" s="2" t="s">
        <v>113</v>
      </c>
      <c r="G118" s="2" t="s">
        <v>22</v>
      </c>
      <c r="H118" s="2" t="s">
        <v>21</v>
      </c>
      <c r="I118" s="2" t="s">
        <v>21</v>
      </c>
      <c r="J118" s="2">
        <v>2</v>
      </c>
      <c r="K118" s="2" t="s">
        <v>70</v>
      </c>
      <c r="L118" s="2">
        <v>106</v>
      </c>
      <c r="M118" s="2" t="s">
        <v>125</v>
      </c>
      <c r="N118" s="2">
        <v>112</v>
      </c>
      <c r="O118" s="6">
        <v>3363894.24</v>
      </c>
      <c r="P118" s="6">
        <v>30034.77</v>
      </c>
    </row>
    <row r="119" spans="1:16" outlineLevel="1" x14ac:dyDescent="0.2">
      <c r="A119" s="5"/>
      <c r="D119" s="4" t="s">
        <v>197</v>
      </c>
      <c r="E119" s="4"/>
      <c r="F119" s="4"/>
      <c r="G119" s="4"/>
      <c r="H119" s="4"/>
      <c r="I119" s="4"/>
      <c r="J119" s="4"/>
      <c r="K119" s="4"/>
      <c r="L119" s="4"/>
      <c r="M119" s="4"/>
      <c r="N119" s="4">
        <f>SUBTOTAL(9,N108:N118)</f>
        <v>215</v>
      </c>
      <c r="O119" s="7">
        <f>SUBTOTAL(9,O108:O118)</f>
        <v>4584700.25</v>
      </c>
      <c r="P119" s="7">
        <f>+O119/N119</f>
        <v>21324.187209302327</v>
      </c>
    </row>
    <row r="120" spans="1:16" outlineLevel="2" x14ac:dyDescent="0.2">
      <c r="A120" s="5">
        <v>46223</v>
      </c>
      <c r="B120" s="2">
        <v>161095</v>
      </c>
      <c r="C120" s="2">
        <v>2</v>
      </c>
      <c r="D120" s="2" t="s">
        <v>49</v>
      </c>
      <c r="E120" s="2" t="s">
        <v>157</v>
      </c>
      <c r="F120" s="2" t="s">
        <v>51</v>
      </c>
      <c r="G120" s="2" t="s">
        <v>22</v>
      </c>
      <c r="H120" s="2" t="s">
        <v>21</v>
      </c>
      <c r="I120" s="2" t="s">
        <v>21</v>
      </c>
      <c r="J120" s="2">
        <v>1</v>
      </c>
      <c r="K120" s="2" t="s">
        <v>39</v>
      </c>
      <c r="L120" s="2">
        <v>2541</v>
      </c>
      <c r="M120" s="2" t="s">
        <v>52</v>
      </c>
      <c r="N120" s="2">
        <v>12</v>
      </c>
      <c r="O120" s="6">
        <v>720364.13</v>
      </c>
      <c r="P120" s="6">
        <v>60030.34</v>
      </c>
    </row>
    <row r="121" spans="1:16" outlineLevel="2" x14ac:dyDescent="0.2">
      <c r="A121" s="5">
        <v>46195</v>
      </c>
      <c r="B121" s="2">
        <v>160340</v>
      </c>
      <c r="C121" s="2">
        <v>2</v>
      </c>
      <c r="D121" s="2" t="s">
        <v>49</v>
      </c>
      <c r="E121" s="2" t="s">
        <v>50</v>
      </c>
      <c r="F121" s="2" t="s">
        <v>51</v>
      </c>
      <c r="G121" s="2" t="s">
        <v>22</v>
      </c>
      <c r="H121" s="2" t="s">
        <v>21</v>
      </c>
      <c r="I121" s="2" t="s">
        <v>21</v>
      </c>
      <c r="J121" s="2">
        <v>1</v>
      </c>
      <c r="K121" s="2" t="s">
        <v>39</v>
      </c>
      <c r="L121" s="2">
        <v>2541</v>
      </c>
      <c r="M121" s="2" t="s">
        <v>52</v>
      </c>
      <c r="N121" s="2">
        <v>104</v>
      </c>
      <c r="O121" s="6">
        <v>6589090.3600000003</v>
      </c>
      <c r="P121" s="6">
        <v>63356.639999999999</v>
      </c>
    </row>
    <row r="122" spans="1:16" outlineLevel="2" x14ac:dyDescent="0.2">
      <c r="A122" s="5">
        <v>46209</v>
      </c>
      <c r="B122" s="2">
        <v>160557</v>
      </c>
      <c r="C122" s="2">
        <v>2</v>
      </c>
      <c r="D122" s="2" t="s">
        <v>49</v>
      </c>
      <c r="E122" s="2" t="s">
        <v>50</v>
      </c>
      <c r="F122" s="2" t="s">
        <v>51</v>
      </c>
      <c r="G122" s="2" t="s">
        <v>22</v>
      </c>
      <c r="H122" s="2" t="s">
        <v>21</v>
      </c>
      <c r="I122" s="2" t="s">
        <v>21</v>
      </c>
      <c r="J122" s="2">
        <v>1</v>
      </c>
      <c r="K122" s="2" t="s">
        <v>39</v>
      </c>
      <c r="L122" s="2">
        <v>2541</v>
      </c>
      <c r="M122" s="2" t="s">
        <v>52</v>
      </c>
      <c r="N122" s="2">
        <v>12</v>
      </c>
      <c r="O122" s="6">
        <v>427624.8</v>
      </c>
      <c r="P122" s="6">
        <v>35635.4</v>
      </c>
    </row>
    <row r="123" spans="1:16" outlineLevel="1" x14ac:dyDescent="0.2">
      <c r="A123" s="5"/>
      <c r="D123" s="4" t="s">
        <v>198</v>
      </c>
      <c r="E123" s="4"/>
      <c r="F123" s="4"/>
      <c r="G123" s="4"/>
      <c r="H123" s="4"/>
      <c r="I123" s="4"/>
      <c r="J123" s="4"/>
      <c r="K123" s="4"/>
      <c r="L123" s="4"/>
      <c r="M123" s="4"/>
      <c r="N123" s="4">
        <f>SUBTOTAL(9,N120:N122)</f>
        <v>128</v>
      </c>
      <c r="O123" s="7">
        <f>SUBTOTAL(9,O120:O122)</f>
        <v>7737079.29</v>
      </c>
      <c r="P123" s="7">
        <f>+O123/N123</f>
        <v>60445.931953125</v>
      </c>
    </row>
    <row r="124" spans="1:16" x14ac:dyDescent="0.2">
      <c r="A124" s="5"/>
      <c r="D124" s="4" t="s">
        <v>199</v>
      </c>
      <c r="E124" s="4"/>
      <c r="F124" s="4"/>
      <c r="G124" s="4"/>
      <c r="H124" s="4"/>
      <c r="I124" s="4"/>
      <c r="J124" s="4"/>
      <c r="K124" s="4"/>
      <c r="L124" s="4"/>
      <c r="M124" s="4"/>
      <c r="N124" s="4">
        <f>SUBTOTAL(9,N5:N122)</f>
        <v>2847.67</v>
      </c>
      <c r="O124" s="7">
        <f>SUBTOTAL(9,O5:O122)</f>
        <v>77044199.579999998</v>
      </c>
      <c r="P124" s="7"/>
    </row>
  </sheetData>
  <sortState ref="A5:P95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2026-07-24T17:54:10Z</dcterms:created>
  <dcterms:modified xsi:type="dcterms:W3CDTF">2026-07-24T17:55:09Z</dcterms:modified>
</cp:coreProperties>
</file>