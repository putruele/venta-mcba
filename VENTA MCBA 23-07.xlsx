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P9" i="1"/>
  <c r="P11" i="1"/>
  <c r="P13" i="1"/>
  <c r="P15" i="1"/>
  <c r="P17" i="1"/>
  <c r="P21" i="1"/>
  <c r="P23" i="1"/>
  <c r="P25" i="1"/>
  <c r="P27" i="1"/>
  <c r="P29" i="1"/>
  <c r="P42" i="1"/>
  <c r="P45" i="1"/>
  <c r="P47" i="1"/>
  <c r="P50" i="1"/>
  <c r="P52" i="1"/>
  <c r="P54" i="1"/>
  <c r="P56" i="1"/>
  <c r="P59" i="1"/>
  <c r="O60" i="1"/>
  <c r="N60" i="1"/>
  <c r="O59" i="1"/>
  <c r="N59" i="1"/>
  <c r="O56" i="1"/>
  <c r="N56" i="1"/>
  <c r="O54" i="1"/>
  <c r="N54" i="1"/>
  <c r="O52" i="1"/>
  <c r="N52" i="1"/>
  <c r="O50" i="1"/>
  <c r="N50" i="1"/>
  <c r="O47" i="1"/>
  <c r="N47" i="1"/>
  <c r="O45" i="1"/>
  <c r="N45" i="1"/>
  <c r="O42" i="1"/>
  <c r="N42" i="1"/>
  <c r="O29" i="1"/>
  <c r="N29" i="1"/>
  <c r="O27" i="1"/>
  <c r="N27" i="1"/>
  <c r="O25" i="1"/>
  <c r="N25" i="1"/>
  <c r="O23" i="1"/>
  <c r="N23" i="1"/>
  <c r="O21" i="1"/>
  <c r="N21" i="1"/>
  <c r="O17" i="1"/>
  <c r="N17" i="1"/>
  <c r="O15" i="1"/>
  <c r="N15" i="1"/>
  <c r="O13" i="1"/>
  <c r="N13" i="1"/>
  <c r="O11" i="1"/>
  <c r="N11" i="1"/>
  <c r="O9" i="1"/>
  <c r="N9" i="1"/>
  <c r="O7" i="1"/>
  <c r="N7" i="1"/>
</calcChain>
</file>

<file path=xl/sharedStrings.xml><?xml version="1.0" encoding="utf-8"?>
<sst xmlns="http://schemas.openxmlformats.org/spreadsheetml/2006/main" count="327" uniqueCount="134">
  <si>
    <t>2026.07.23 12:24:26 SUCU:   2 CAJA: 1</t>
  </si>
  <si>
    <t xml:space="preserve">PUTRUELE HNOS. S.A.A.I.C.  </t>
  </si>
  <si>
    <t>LS040-VENTAS PERIODO:23/07/26-23/07/26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</si>
  <si>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</si>
  <si>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</si>
  <si>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</si>
  <si>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</si>
  <si>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</si>
  <si>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</si>
  <si>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</si>
  <si>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</si>
  <si>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</si>
  <si>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</si>
  <si>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</si>
  <si>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</si>
  <si>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</si>
  <si>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</si>
  <si>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</si>
  <si>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</si>
  <si>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KIWI      </t>
  </si>
  <si>
    <t xml:space="preserve">HAYWARD   </t>
  </si>
  <si>
    <t xml:space="preserve">CHILE     </t>
  </si>
  <si>
    <t xml:space="preserve">ELG       </t>
  </si>
  <si>
    <t xml:space="preserve">          </t>
  </si>
  <si>
    <t xml:space="preserve">27        </t>
  </si>
  <si>
    <t xml:space="preserve">C/PL      </t>
  </si>
  <si>
    <t xml:space="preserve">EXPOR FRUG     </t>
  </si>
  <si>
    <t xml:space="preserve">PALTA     </t>
  </si>
  <si>
    <t xml:space="preserve">HASS      </t>
  </si>
  <si>
    <t xml:space="preserve">PERU      </t>
  </si>
  <si>
    <t xml:space="preserve">70        </t>
  </si>
  <si>
    <t xml:space="preserve">C/C       </t>
  </si>
  <si>
    <t xml:space="preserve">WESTFALIA      </t>
  </si>
  <si>
    <t xml:space="preserve">UVA       </t>
  </si>
  <si>
    <t>SUGAR CRIS</t>
  </si>
  <si>
    <t xml:space="preserve">BRASIL    </t>
  </si>
  <si>
    <t xml:space="preserve">SERRA BRAN     </t>
  </si>
  <si>
    <t xml:space="preserve">TMAN      </t>
  </si>
  <si>
    <t xml:space="preserve">26        </t>
  </si>
  <si>
    <t xml:space="preserve">GUAYAL S.A     </t>
  </si>
  <si>
    <t xml:space="preserve">COCO      </t>
  </si>
  <si>
    <t xml:space="preserve">BAHIA     </t>
  </si>
  <si>
    <t xml:space="preserve">BLS       </t>
  </si>
  <si>
    <t xml:space="preserve">ENLU-COMER     </t>
  </si>
  <si>
    <t xml:space="preserve">PI¥A      </t>
  </si>
  <si>
    <t xml:space="preserve">ECUADOR   </t>
  </si>
  <si>
    <t xml:space="preserve">7         </t>
  </si>
  <si>
    <t xml:space="preserve">PI¥AS RICA     </t>
  </si>
  <si>
    <t xml:space="preserve">N§6       </t>
  </si>
  <si>
    <t xml:space="preserve">AMARILLO  </t>
  </si>
  <si>
    <t>NUEVA ZELA</t>
  </si>
  <si>
    <t xml:space="preserve">ZESPRI INT     </t>
  </si>
  <si>
    <t xml:space="preserve">18        </t>
  </si>
  <si>
    <t xml:space="preserve">JOSE ALCID     </t>
  </si>
  <si>
    <t xml:space="preserve">24        </t>
  </si>
  <si>
    <t xml:space="preserve">32        </t>
  </si>
  <si>
    <t xml:space="preserve">PERA      </t>
  </si>
  <si>
    <t xml:space="preserve">PACKHAM'S </t>
  </si>
  <si>
    <t xml:space="preserve">1/2 CAJA  </t>
  </si>
  <si>
    <t xml:space="preserve">CELESTINO      </t>
  </si>
  <si>
    <t xml:space="preserve">60        </t>
  </si>
  <si>
    <t xml:space="preserve">EXPOR PROP     </t>
  </si>
  <si>
    <t xml:space="preserve">MELON     </t>
  </si>
  <si>
    <t>AMARILLO S</t>
  </si>
  <si>
    <t xml:space="preserve">6         </t>
  </si>
  <si>
    <t xml:space="preserve">NOVAFRUIT      </t>
  </si>
  <si>
    <t xml:space="preserve">CAT I     </t>
  </si>
  <si>
    <t xml:space="preserve">25        </t>
  </si>
  <si>
    <t xml:space="preserve">GRANADA   </t>
  </si>
  <si>
    <t>WONDERFULL</t>
  </si>
  <si>
    <t xml:space="preserve">CBA       </t>
  </si>
  <si>
    <t xml:space="preserve">12        </t>
  </si>
  <si>
    <t xml:space="preserve">ESTANCIA L     </t>
  </si>
  <si>
    <t xml:space="preserve">LIMA      </t>
  </si>
  <si>
    <t xml:space="preserve">TAHITI    </t>
  </si>
  <si>
    <t xml:space="preserve">MANGO     </t>
  </si>
  <si>
    <t xml:space="preserve">PALMER    </t>
  </si>
  <si>
    <t xml:space="preserve">N§8       </t>
  </si>
  <si>
    <t xml:space="preserve">SPECIAL FR     </t>
  </si>
  <si>
    <t xml:space="preserve">CAT 2     </t>
  </si>
  <si>
    <t xml:space="preserve">16        </t>
  </si>
  <si>
    <t xml:space="preserve">BONELLA        </t>
  </si>
  <si>
    <t xml:space="preserve">BANANA    </t>
  </si>
  <si>
    <t xml:space="preserve">CAVENDISH </t>
  </si>
  <si>
    <t xml:space="preserve">PILAR     </t>
  </si>
  <si>
    <t xml:space="preserve">JUJUY     </t>
  </si>
  <si>
    <t xml:space="preserve">VISION JUJ     </t>
  </si>
  <si>
    <t xml:space="preserve">TOMATE    </t>
  </si>
  <si>
    <t xml:space="preserve">RAF NEGRO </t>
  </si>
  <si>
    <t xml:space="preserve">CTES.     </t>
  </si>
  <si>
    <t xml:space="preserve">BAND      </t>
  </si>
  <si>
    <t xml:space="preserve">A.ROCKY S.     </t>
  </si>
  <si>
    <t xml:space="preserve">MAMON     </t>
  </si>
  <si>
    <t xml:space="preserve">FORMOSA   </t>
  </si>
  <si>
    <t xml:space="preserve">20        </t>
  </si>
  <si>
    <t xml:space="preserve">14        </t>
  </si>
  <si>
    <t xml:space="preserve">PAPIN     </t>
  </si>
  <si>
    <t xml:space="preserve">AGATA     </t>
  </si>
  <si>
    <t>AGATA FRAC</t>
  </si>
  <si>
    <t xml:space="preserve">REPOLLITO </t>
  </si>
  <si>
    <t xml:space="preserve">BRUSELA   </t>
  </si>
  <si>
    <t xml:space="preserve">BS.AS.    </t>
  </si>
  <si>
    <t xml:space="preserve">GUILLERMO      </t>
  </si>
  <si>
    <t>CHAMPIG¥ON</t>
  </si>
  <si>
    <t xml:space="preserve">C/VERDE   </t>
  </si>
  <si>
    <t xml:space="preserve">HONGOS DEL     </t>
  </si>
  <si>
    <t>PORTOBELLO</t>
  </si>
  <si>
    <t xml:space="preserve">CIRUELA   </t>
  </si>
  <si>
    <t>BLACK SPLE</t>
  </si>
  <si>
    <t xml:space="preserve">ESPA¥A    </t>
  </si>
  <si>
    <t xml:space="preserve">C/M       </t>
  </si>
  <si>
    <t xml:space="preserve">GRUPO CAST     </t>
  </si>
  <si>
    <t xml:space="preserve">CHERRY    </t>
  </si>
  <si>
    <t>COMUN ROJO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</si>
  <si>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</si>
  <si>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</si>
  <si>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</si>
  <si>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</si>
  <si>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</si>
  <si>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GRANADA   </t>
  </si>
  <si>
    <t xml:space="preserve">Total KIWI      </t>
  </si>
  <si>
    <t xml:space="preserve">Total LIMA      </t>
  </si>
  <si>
    <t xml:space="preserve">Total MAMON     </t>
  </si>
  <si>
    <t xml:space="preserve">Total MANGO     </t>
  </si>
  <si>
    <t xml:space="preserve">Total MELON     </t>
  </si>
  <si>
    <t xml:space="preserve">Total PALTA     </t>
  </si>
  <si>
    <t xml:space="preserve">Total PAPIN     </t>
  </si>
  <si>
    <t xml:space="preserve">Total PERA      </t>
  </si>
  <si>
    <t xml:space="preserve">Total PI¥A      </t>
  </si>
  <si>
    <t>Total PORTOBELLO</t>
  </si>
  <si>
    <t xml:space="preserve">Total REPOLLITO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</si>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</sst>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tabSelected="1" topLeftCell="A33" workbookViewId="0">
      <selection activeCell="D61" sqref="D61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46225</v>
      </c>
      <c r="B5" s="2">
        <v>160934</v>
      </c>
      <c r="C5" s="2">
        <v>3</v>
      </c>
      <c r="D5" s="2" t="s">
        <v>82</v>
      </c>
      <c r="E5" s="2" t="s">
        <v>23</v>
      </c>
      <c r="F5" s="2" t="s">
        <v>45</v>
      </c>
      <c r="G5" s="2" t="s">
        <v>22</v>
      </c>
      <c r="H5" s="2" t="s">
        <v>23</v>
      </c>
      <c r="I5" s="2" t="s">
        <v>23</v>
      </c>
      <c r="J5" s="2">
        <v>1</v>
      </c>
      <c r="K5" s="2" t="s">
        <v>31</v>
      </c>
      <c r="L5" s="2">
        <v>2024</v>
      </c>
      <c r="M5" s="2" t="s">
        <v>47</v>
      </c>
      <c r="N5" s="2">
        <v>50</v>
      </c>
      <c r="O5" s="6">
        <v>1387035.3</v>
      </c>
      <c r="P5" s="6">
        <v>27740.71</v>
      </c>
    </row>
    <row r="6" spans="1:16" outlineLevel="2" x14ac:dyDescent="0.2">
      <c r="A6" s="5">
        <v>46223</v>
      </c>
      <c r="B6" s="2">
        <v>160934</v>
      </c>
      <c r="C6" s="2">
        <v>4</v>
      </c>
      <c r="D6" s="2" t="s">
        <v>82</v>
      </c>
      <c r="E6" s="2" t="s">
        <v>83</v>
      </c>
      <c r="F6" s="2" t="s">
        <v>84</v>
      </c>
      <c r="G6" s="2" t="s">
        <v>23</v>
      </c>
      <c r="H6" s="2" t="s">
        <v>23</v>
      </c>
      <c r="I6" s="2" t="s">
        <v>23</v>
      </c>
      <c r="J6" s="2">
        <v>1</v>
      </c>
      <c r="K6" s="2" t="s">
        <v>31</v>
      </c>
      <c r="L6" s="2">
        <v>2024</v>
      </c>
      <c r="M6" s="2" t="s">
        <v>47</v>
      </c>
      <c r="N6" s="2">
        <v>4</v>
      </c>
      <c r="O6" s="6">
        <v>116392</v>
      </c>
      <c r="P6" s="6">
        <v>29098</v>
      </c>
    </row>
    <row r="7" spans="1:16" outlineLevel="1" x14ac:dyDescent="0.2">
      <c r="A7" s="5"/>
      <c r="D7" s="4" t="s">
        <v>114</v>
      </c>
      <c r="E7" s="4"/>
      <c r="F7" s="4"/>
      <c r="G7" s="4"/>
      <c r="H7" s="4"/>
      <c r="I7" s="4"/>
      <c r="J7" s="4"/>
      <c r="K7" s="4"/>
      <c r="L7" s="4"/>
      <c r="M7" s="4"/>
      <c r="N7" s="4">
        <f>SUBTOTAL(9,N5:N6)</f>
        <v>54</v>
      </c>
      <c r="O7" s="7">
        <f>SUBTOTAL(9,O5:O6)</f>
        <v>1503427.3</v>
      </c>
      <c r="P7" s="7">
        <f>+O7/N7</f>
        <v>27841.246296296296</v>
      </c>
    </row>
    <row r="8" spans="1:16" outlineLevel="2" x14ac:dyDescent="0.2">
      <c r="A8" s="5">
        <v>46225</v>
      </c>
      <c r="B8" s="2">
        <v>161060</v>
      </c>
      <c r="C8" s="2">
        <v>5</v>
      </c>
      <c r="D8" s="2" t="s">
        <v>103</v>
      </c>
      <c r="E8" s="2" t="s">
        <v>23</v>
      </c>
      <c r="F8" s="2" t="s">
        <v>101</v>
      </c>
      <c r="G8" s="2" t="s">
        <v>22</v>
      </c>
      <c r="H8" s="2" t="s">
        <v>104</v>
      </c>
      <c r="I8" s="2" t="s">
        <v>23</v>
      </c>
      <c r="J8" s="2">
        <v>41</v>
      </c>
      <c r="K8" s="2" t="s">
        <v>90</v>
      </c>
      <c r="L8" s="2">
        <v>25213</v>
      </c>
      <c r="M8" s="2" t="s">
        <v>105</v>
      </c>
      <c r="N8" s="2">
        <v>2</v>
      </c>
      <c r="O8" s="6">
        <v>5930.08</v>
      </c>
      <c r="P8" s="6">
        <v>2965.04</v>
      </c>
    </row>
    <row r="9" spans="1:16" outlineLevel="1" x14ac:dyDescent="0.2">
      <c r="A9" s="5"/>
      <c r="D9" s="4" t="s">
        <v>115</v>
      </c>
      <c r="E9" s="4"/>
      <c r="F9" s="4"/>
      <c r="G9" s="4"/>
      <c r="H9" s="4"/>
      <c r="I9" s="4"/>
      <c r="J9" s="4"/>
      <c r="K9" s="4"/>
      <c r="L9" s="4"/>
      <c r="M9" s="4"/>
      <c r="N9" s="4">
        <f>SUBTOTAL(9,N8:N8)</f>
        <v>2</v>
      </c>
      <c r="O9" s="7">
        <f>SUBTOTAL(9,O8:O8)</f>
        <v>5930.08</v>
      </c>
      <c r="P9" s="7">
        <f>+O9/N9</f>
        <v>2965.04</v>
      </c>
    </row>
    <row r="10" spans="1:16" outlineLevel="2" x14ac:dyDescent="0.2">
      <c r="A10" s="5">
        <v>46225</v>
      </c>
      <c r="B10" s="2">
        <v>161127</v>
      </c>
      <c r="C10" s="2">
        <v>5</v>
      </c>
      <c r="D10" s="2" t="s">
        <v>112</v>
      </c>
      <c r="E10" s="2" t="s">
        <v>113</v>
      </c>
      <c r="F10" s="2" t="s">
        <v>89</v>
      </c>
      <c r="G10" s="2" t="s">
        <v>22</v>
      </c>
      <c r="H10" s="2" t="s">
        <v>23</v>
      </c>
      <c r="I10" s="2" t="s">
        <v>23</v>
      </c>
      <c r="J10" s="2">
        <v>2</v>
      </c>
      <c r="K10" s="2" t="s">
        <v>110</v>
      </c>
      <c r="L10" s="2">
        <v>106</v>
      </c>
      <c r="M10" s="2" t="s">
        <v>91</v>
      </c>
      <c r="N10" s="2">
        <v>2</v>
      </c>
      <c r="O10" s="6">
        <v>37035.54</v>
      </c>
      <c r="P10" s="6">
        <v>18517.77</v>
      </c>
    </row>
    <row r="11" spans="1:16" outlineLevel="1" x14ac:dyDescent="0.2">
      <c r="A11" s="5"/>
      <c r="D11" s="4" t="s">
        <v>116</v>
      </c>
      <c r="E11" s="4"/>
      <c r="F11" s="4"/>
      <c r="G11" s="4"/>
      <c r="H11" s="4"/>
      <c r="I11" s="4"/>
      <c r="J11" s="4"/>
      <c r="K11" s="4"/>
      <c r="L11" s="4"/>
      <c r="M11" s="4"/>
      <c r="N11" s="4">
        <f>SUBTOTAL(9,N10:N10)</f>
        <v>2</v>
      </c>
      <c r="O11" s="7">
        <f>SUBTOTAL(9,O10:O10)</f>
        <v>37035.54</v>
      </c>
      <c r="P11" s="7">
        <f>+O11/N11</f>
        <v>18517.77</v>
      </c>
    </row>
    <row r="12" spans="1:16" outlineLevel="2" x14ac:dyDescent="0.2">
      <c r="A12" s="5">
        <v>46223</v>
      </c>
      <c r="B12" s="2">
        <v>161093</v>
      </c>
      <c r="C12" s="2">
        <v>3</v>
      </c>
      <c r="D12" s="2" t="s">
        <v>107</v>
      </c>
      <c r="E12" s="2" t="s">
        <v>108</v>
      </c>
      <c r="F12" s="2" t="s">
        <v>109</v>
      </c>
      <c r="G12" s="2" t="s">
        <v>22</v>
      </c>
      <c r="H12" s="2" t="s">
        <v>23</v>
      </c>
      <c r="I12" s="2" t="s">
        <v>23</v>
      </c>
      <c r="J12" s="2">
        <v>2</v>
      </c>
      <c r="K12" s="2" t="s">
        <v>110</v>
      </c>
      <c r="L12" s="2">
        <v>2810</v>
      </c>
      <c r="M12" s="2" t="s">
        <v>111</v>
      </c>
      <c r="N12" s="2">
        <v>1</v>
      </c>
      <c r="O12" s="6">
        <v>57571.21</v>
      </c>
      <c r="P12" s="6">
        <v>57571.21</v>
      </c>
    </row>
    <row r="13" spans="1:16" outlineLevel="1" x14ac:dyDescent="0.2">
      <c r="A13" s="5"/>
      <c r="D13" s="4" t="s">
        <v>117</v>
      </c>
      <c r="E13" s="4"/>
      <c r="F13" s="4"/>
      <c r="G13" s="4"/>
      <c r="H13" s="4"/>
      <c r="I13" s="4"/>
      <c r="J13" s="4"/>
      <c r="K13" s="4"/>
      <c r="L13" s="4"/>
      <c r="M13" s="4"/>
      <c r="N13" s="4">
        <f>SUBTOTAL(9,N12:N12)</f>
        <v>1</v>
      </c>
      <c r="O13" s="7">
        <f>SUBTOTAL(9,O12:O12)</f>
        <v>57571.21</v>
      </c>
      <c r="P13" s="7">
        <f>+O13/N13</f>
        <v>57571.21</v>
      </c>
    </row>
    <row r="14" spans="1:16" outlineLevel="2" x14ac:dyDescent="0.2">
      <c r="A14" s="5">
        <v>46223</v>
      </c>
      <c r="B14" s="2">
        <v>160506</v>
      </c>
      <c r="C14" s="2">
        <v>1</v>
      </c>
      <c r="D14" s="2" t="s">
        <v>40</v>
      </c>
      <c r="E14" s="2" t="s">
        <v>41</v>
      </c>
      <c r="F14" s="2" t="s">
        <v>35</v>
      </c>
      <c r="G14" s="2" t="s">
        <v>22</v>
      </c>
      <c r="H14" s="2" t="s">
        <v>23</v>
      </c>
      <c r="I14" s="2" t="s">
        <v>23</v>
      </c>
      <c r="J14" s="2">
        <v>5</v>
      </c>
      <c r="K14" s="2" t="s">
        <v>42</v>
      </c>
      <c r="L14" s="2">
        <v>2521</v>
      </c>
      <c r="M14" s="2" t="s">
        <v>43</v>
      </c>
      <c r="N14" s="2">
        <v>2</v>
      </c>
      <c r="O14" s="6">
        <v>44201.08</v>
      </c>
      <c r="P14" s="6">
        <v>22100.54</v>
      </c>
    </row>
    <row r="15" spans="1:16" outlineLevel="1" x14ac:dyDescent="0.2">
      <c r="A15" s="5"/>
      <c r="D15" s="4" t="s">
        <v>118</v>
      </c>
      <c r="E15" s="4"/>
      <c r="F15" s="4"/>
      <c r="G15" s="4"/>
      <c r="H15" s="4"/>
      <c r="I15" s="4"/>
      <c r="J15" s="4"/>
      <c r="K15" s="4"/>
      <c r="L15" s="4"/>
      <c r="M15" s="4"/>
      <c r="N15" s="4">
        <f>SUBTOTAL(9,N14:N14)</f>
        <v>2</v>
      </c>
      <c r="O15" s="7">
        <f>SUBTOTAL(9,O14:O14)</f>
        <v>44201.08</v>
      </c>
      <c r="P15" s="7">
        <f>+O15/N15</f>
        <v>22100.54</v>
      </c>
    </row>
    <row r="16" spans="1:16" outlineLevel="2" x14ac:dyDescent="0.2">
      <c r="A16" s="5">
        <v>46210</v>
      </c>
      <c r="B16" s="2">
        <v>160723</v>
      </c>
      <c r="C16" s="2">
        <v>1</v>
      </c>
      <c r="D16" s="2" t="s">
        <v>68</v>
      </c>
      <c r="E16" s="2" t="s">
        <v>69</v>
      </c>
      <c r="F16" s="2" t="s">
        <v>70</v>
      </c>
      <c r="G16" s="2" t="s">
        <v>22</v>
      </c>
      <c r="H16" s="2" t="s">
        <v>23</v>
      </c>
      <c r="I16" s="2" t="s">
        <v>71</v>
      </c>
      <c r="J16" s="2">
        <v>1</v>
      </c>
      <c r="K16" s="2" t="s">
        <v>31</v>
      </c>
      <c r="L16" s="2">
        <v>2520</v>
      </c>
      <c r="M16" s="2" t="s">
        <v>72</v>
      </c>
      <c r="N16" s="2">
        <v>20</v>
      </c>
      <c r="O16" s="6">
        <v>408983.52</v>
      </c>
      <c r="P16" s="6">
        <v>20449.18</v>
      </c>
    </row>
    <row r="17" spans="1:16" outlineLevel="1" x14ac:dyDescent="0.2">
      <c r="A17" s="5"/>
      <c r="D17" s="4" t="s">
        <v>119</v>
      </c>
      <c r="E17" s="4"/>
      <c r="F17" s="4"/>
      <c r="G17" s="4"/>
      <c r="H17" s="4"/>
      <c r="I17" s="4"/>
      <c r="J17" s="4"/>
      <c r="K17" s="4"/>
      <c r="L17" s="4"/>
      <c r="M17" s="4"/>
      <c r="N17" s="4">
        <f>SUBTOTAL(9,N16:N16)</f>
        <v>20</v>
      </c>
      <c r="O17" s="7">
        <f>SUBTOTAL(9,O16:O16)</f>
        <v>408983.52</v>
      </c>
      <c r="P17" s="7">
        <f>+O17/N17</f>
        <v>20449.175999999999</v>
      </c>
    </row>
    <row r="18" spans="1:16" outlineLevel="2" x14ac:dyDescent="0.2">
      <c r="A18" s="5">
        <v>46208</v>
      </c>
      <c r="B18" s="2">
        <v>160626</v>
      </c>
      <c r="C18" s="2">
        <v>2</v>
      </c>
      <c r="D18" s="2" t="s">
        <v>19</v>
      </c>
      <c r="E18" s="2" t="s">
        <v>49</v>
      </c>
      <c r="F18" s="2" t="s">
        <v>50</v>
      </c>
      <c r="G18" s="2" t="s">
        <v>22</v>
      </c>
      <c r="H18" s="2" t="s">
        <v>23</v>
      </c>
      <c r="I18" s="2" t="s">
        <v>24</v>
      </c>
      <c r="J18" s="2">
        <v>1</v>
      </c>
      <c r="K18" s="2" t="s">
        <v>31</v>
      </c>
      <c r="L18" s="2">
        <v>2535</v>
      </c>
      <c r="M18" s="2" t="s">
        <v>51</v>
      </c>
      <c r="N18" s="2">
        <v>4</v>
      </c>
      <c r="O18" s="6">
        <v>186083.76</v>
      </c>
      <c r="P18" s="6">
        <v>46520.94</v>
      </c>
    </row>
    <row r="19" spans="1:16" outlineLevel="2" x14ac:dyDescent="0.2">
      <c r="A19" s="5">
        <v>46211</v>
      </c>
      <c r="B19" s="2">
        <v>160210</v>
      </c>
      <c r="C19" s="2">
        <v>3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>
        <v>40</v>
      </c>
      <c r="K19" s="2" t="s">
        <v>25</v>
      </c>
      <c r="L19" s="2">
        <v>1779</v>
      </c>
      <c r="M19" s="2" t="s">
        <v>26</v>
      </c>
      <c r="N19" s="2">
        <v>24</v>
      </c>
      <c r="O19" s="6">
        <v>1037572.11</v>
      </c>
      <c r="P19" s="6">
        <v>43232.17</v>
      </c>
    </row>
    <row r="20" spans="1:16" outlineLevel="2" x14ac:dyDescent="0.2">
      <c r="A20" s="5">
        <v>46218</v>
      </c>
      <c r="B20" s="2">
        <v>160719</v>
      </c>
      <c r="C20" s="2">
        <v>1</v>
      </c>
      <c r="D20" s="2" t="s">
        <v>19</v>
      </c>
      <c r="E20" s="2" t="s">
        <v>20</v>
      </c>
      <c r="F20" s="2" t="s">
        <v>21</v>
      </c>
      <c r="G20" s="2" t="s">
        <v>66</v>
      </c>
      <c r="H20" s="2" t="s">
        <v>23</v>
      </c>
      <c r="I20" s="2" t="s">
        <v>67</v>
      </c>
      <c r="J20" s="2">
        <v>1</v>
      </c>
      <c r="K20" s="2" t="s">
        <v>31</v>
      </c>
      <c r="L20" s="2">
        <v>1779</v>
      </c>
      <c r="M20" s="2" t="s">
        <v>26</v>
      </c>
      <c r="N20" s="2">
        <v>6</v>
      </c>
      <c r="O20" s="6">
        <v>255817.14</v>
      </c>
      <c r="P20" s="6">
        <v>42636.19</v>
      </c>
    </row>
    <row r="21" spans="1:16" outlineLevel="1" x14ac:dyDescent="0.2">
      <c r="A21" s="5"/>
      <c r="D21" s="4" t="s">
        <v>120</v>
      </c>
      <c r="E21" s="4"/>
      <c r="F21" s="4"/>
      <c r="G21" s="4"/>
      <c r="H21" s="4"/>
      <c r="I21" s="4"/>
      <c r="J21" s="4"/>
      <c r="K21" s="4"/>
      <c r="L21" s="4"/>
      <c r="M21" s="4"/>
      <c r="N21" s="4">
        <f>SUBTOTAL(9,N18:N20)</f>
        <v>34</v>
      </c>
      <c r="O21" s="7">
        <f>SUBTOTAL(9,O18:O20)</f>
        <v>1479473.0100000002</v>
      </c>
      <c r="P21" s="7">
        <f>+O21/N21</f>
        <v>43513.912058823538</v>
      </c>
    </row>
    <row r="22" spans="1:16" outlineLevel="2" x14ac:dyDescent="0.2">
      <c r="A22" s="5">
        <v>46210</v>
      </c>
      <c r="B22" s="2">
        <v>160815</v>
      </c>
      <c r="C22" s="2">
        <v>1</v>
      </c>
      <c r="D22" s="2" t="s">
        <v>73</v>
      </c>
      <c r="E22" s="2" t="s">
        <v>74</v>
      </c>
      <c r="F22" s="2" t="s">
        <v>35</v>
      </c>
      <c r="G22" s="2" t="s">
        <v>22</v>
      </c>
      <c r="H22" s="2" t="s">
        <v>23</v>
      </c>
      <c r="I22" s="2" t="s">
        <v>23</v>
      </c>
      <c r="J22" s="2">
        <v>1</v>
      </c>
      <c r="K22" s="2" t="s">
        <v>31</v>
      </c>
      <c r="L22" s="2">
        <v>2521</v>
      </c>
      <c r="M22" s="2" t="s">
        <v>43</v>
      </c>
      <c r="N22" s="2">
        <v>13</v>
      </c>
      <c r="O22" s="6">
        <v>163434.06</v>
      </c>
      <c r="P22" s="6">
        <v>12571.85</v>
      </c>
    </row>
    <row r="23" spans="1:16" outlineLevel="1" x14ac:dyDescent="0.2">
      <c r="A23" s="5"/>
      <c r="D23" s="4" t="s">
        <v>121</v>
      </c>
      <c r="E23" s="4"/>
      <c r="F23" s="4"/>
      <c r="G23" s="4"/>
      <c r="H23" s="4"/>
      <c r="I23" s="4"/>
      <c r="J23" s="4"/>
      <c r="K23" s="4"/>
      <c r="L23" s="4"/>
      <c r="M23" s="4"/>
      <c r="N23" s="4">
        <f>SUBTOTAL(9,N22:N22)</f>
        <v>13</v>
      </c>
      <c r="O23" s="7">
        <f>SUBTOTAL(9,O22:O22)</f>
        <v>163434.06</v>
      </c>
      <c r="P23" s="7">
        <f>+O23/N23</f>
        <v>12571.850769230768</v>
      </c>
    </row>
    <row r="24" spans="1:16" outlineLevel="2" x14ac:dyDescent="0.2">
      <c r="A24" s="5">
        <v>46220</v>
      </c>
      <c r="B24" s="2">
        <v>161008</v>
      </c>
      <c r="C24" s="2">
        <v>2</v>
      </c>
      <c r="D24" s="2" t="s">
        <v>92</v>
      </c>
      <c r="E24" s="2" t="s">
        <v>93</v>
      </c>
      <c r="F24" s="2" t="s">
        <v>35</v>
      </c>
      <c r="G24" s="2" t="s">
        <v>22</v>
      </c>
      <c r="H24" s="2" t="s">
        <v>23</v>
      </c>
      <c r="I24" s="2" t="s">
        <v>23</v>
      </c>
      <c r="J24" s="2">
        <v>1</v>
      </c>
      <c r="K24" s="2" t="s">
        <v>31</v>
      </c>
      <c r="L24" s="2">
        <v>2521</v>
      </c>
      <c r="M24" s="2" t="s">
        <v>43</v>
      </c>
      <c r="N24" s="2">
        <v>12</v>
      </c>
      <c r="O24" s="6">
        <v>446289.16</v>
      </c>
      <c r="P24" s="6">
        <v>37190.76</v>
      </c>
    </row>
    <row r="25" spans="1:16" outlineLevel="1" x14ac:dyDescent="0.2">
      <c r="A25" s="5"/>
      <c r="D25" s="4" t="s">
        <v>122</v>
      </c>
      <c r="E25" s="4"/>
      <c r="F25" s="4"/>
      <c r="G25" s="4"/>
      <c r="H25" s="4"/>
      <c r="I25" s="4"/>
      <c r="J25" s="4"/>
      <c r="K25" s="4"/>
      <c r="L25" s="4"/>
      <c r="M25" s="4"/>
      <c r="N25" s="4">
        <f>SUBTOTAL(9,N24:N24)</f>
        <v>12</v>
      </c>
      <c r="O25" s="7">
        <f>SUBTOTAL(9,O24:O24)</f>
        <v>446289.16</v>
      </c>
      <c r="P25" s="7">
        <f>+O25/N25</f>
        <v>37190.763333333329</v>
      </c>
    </row>
    <row r="26" spans="1:16" outlineLevel="2" x14ac:dyDescent="0.2">
      <c r="A26" s="5">
        <v>46216</v>
      </c>
      <c r="B26" s="2">
        <v>160833</v>
      </c>
      <c r="C26" s="2">
        <v>2</v>
      </c>
      <c r="D26" s="2" t="s">
        <v>75</v>
      </c>
      <c r="E26" s="2" t="s">
        <v>76</v>
      </c>
      <c r="F26" s="2" t="s">
        <v>35</v>
      </c>
      <c r="G26" s="2" t="s">
        <v>22</v>
      </c>
      <c r="H26" s="2" t="s">
        <v>23</v>
      </c>
      <c r="I26" s="2" t="s">
        <v>77</v>
      </c>
      <c r="J26" s="2">
        <v>1</v>
      </c>
      <c r="K26" s="2" t="s">
        <v>31</v>
      </c>
      <c r="L26" s="2">
        <v>331</v>
      </c>
      <c r="M26" s="2" t="s">
        <v>78</v>
      </c>
      <c r="N26" s="2">
        <v>26</v>
      </c>
      <c r="O26" s="6">
        <v>284314.21999999997</v>
      </c>
      <c r="P26" s="6">
        <v>10935.16</v>
      </c>
    </row>
    <row r="27" spans="1:16" outlineLevel="1" x14ac:dyDescent="0.2">
      <c r="A27" s="5"/>
      <c r="D27" s="4" t="s">
        <v>123</v>
      </c>
      <c r="E27" s="4"/>
      <c r="F27" s="4"/>
      <c r="G27" s="4"/>
      <c r="H27" s="4"/>
      <c r="I27" s="4"/>
      <c r="J27" s="4"/>
      <c r="K27" s="4"/>
      <c r="L27" s="4"/>
      <c r="M27" s="4"/>
      <c r="N27" s="4">
        <f>SUBTOTAL(9,N26:N26)</f>
        <v>26</v>
      </c>
      <c r="O27" s="7">
        <f>SUBTOTAL(9,O26:O26)</f>
        <v>284314.21999999997</v>
      </c>
      <c r="P27" s="7">
        <f>+O27/N27</f>
        <v>10935.162307692306</v>
      </c>
    </row>
    <row r="28" spans="1:16" outlineLevel="2" x14ac:dyDescent="0.2">
      <c r="A28" s="5">
        <v>46210</v>
      </c>
      <c r="B28" s="2">
        <v>160713</v>
      </c>
      <c r="C28" s="2">
        <v>2</v>
      </c>
      <c r="D28" s="2" t="s">
        <v>62</v>
      </c>
      <c r="E28" s="2" t="s">
        <v>63</v>
      </c>
      <c r="F28" s="2" t="s">
        <v>35</v>
      </c>
      <c r="G28" s="2" t="s">
        <v>22</v>
      </c>
      <c r="H28" s="2" t="s">
        <v>23</v>
      </c>
      <c r="I28" s="2" t="s">
        <v>64</v>
      </c>
      <c r="J28" s="2">
        <v>1</v>
      </c>
      <c r="K28" s="2" t="s">
        <v>31</v>
      </c>
      <c r="L28" s="2">
        <v>2120</v>
      </c>
      <c r="M28" s="2" t="s">
        <v>65</v>
      </c>
      <c r="N28" s="2">
        <v>5</v>
      </c>
      <c r="O28" s="6">
        <v>148773.69</v>
      </c>
      <c r="P28" s="6">
        <v>29754.74</v>
      </c>
    </row>
    <row r="29" spans="1:16" outlineLevel="1" x14ac:dyDescent="0.2">
      <c r="A29" s="5"/>
      <c r="D29" s="4" t="s">
        <v>124</v>
      </c>
      <c r="E29" s="4"/>
      <c r="F29" s="4"/>
      <c r="G29" s="4"/>
      <c r="H29" s="4"/>
      <c r="I29" s="4"/>
      <c r="J29" s="4"/>
      <c r="K29" s="4"/>
      <c r="L29" s="4"/>
      <c r="M29" s="4"/>
      <c r="N29" s="4">
        <f>SUBTOTAL(9,N28:N28)</f>
        <v>5</v>
      </c>
      <c r="O29" s="7">
        <f>SUBTOTAL(9,O28:O28)</f>
        <v>148773.69</v>
      </c>
      <c r="P29" s="7">
        <f>+O29/N29</f>
        <v>29754.738000000001</v>
      </c>
    </row>
    <row r="30" spans="1:16" outlineLevel="2" x14ac:dyDescent="0.2">
      <c r="A30" s="5">
        <v>46195</v>
      </c>
      <c r="B30" s="2">
        <v>160227</v>
      </c>
      <c r="C30" s="2">
        <v>1</v>
      </c>
      <c r="D30" s="2" t="s">
        <v>27</v>
      </c>
      <c r="E30" s="2" t="s">
        <v>28</v>
      </c>
      <c r="F30" s="2" t="s">
        <v>29</v>
      </c>
      <c r="G30" s="2" t="s">
        <v>22</v>
      </c>
      <c r="H30" s="2" t="s">
        <v>23</v>
      </c>
      <c r="I30" s="2" t="s">
        <v>30</v>
      </c>
      <c r="J30" s="2">
        <v>1</v>
      </c>
      <c r="K30" s="2" t="s">
        <v>31</v>
      </c>
      <c r="L30" s="2">
        <v>25067</v>
      </c>
      <c r="M30" s="2" t="s">
        <v>32</v>
      </c>
      <c r="N30" s="2">
        <v>2</v>
      </c>
      <c r="O30" s="6">
        <v>68470.48</v>
      </c>
      <c r="P30" s="6">
        <v>34235.24</v>
      </c>
    </row>
    <row r="31" spans="1:16" outlineLevel="2" x14ac:dyDescent="0.2">
      <c r="A31" s="5">
        <v>46202</v>
      </c>
      <c r="B31" s="2">
        <v>160471</v>
      </c>
      <c r="C31" s="2">
        <v>2</v>
      </c>
      <c r="D31" s="2" t="s">
        <v>27</v>
      </c>
      <c r="E31" s="2" t="s">
        <v>28</v>
      </c>
      <c r="F31" s="2" t="s">
        <v>37</v>
      </c>
      <c r="G31" s="2" t="s">
        <v>22</v>
      </c>
      <c r="H31" s="2" t="s">
        <v>23</v>
      </c>
      <c r="I31" s="2" t="s">
        <v>38</v>
      </c>
      <c r="J31" s="2">
        <v>1</v>
      </c>
      <c r="K31" s="2" t="s">
        <v>31</v>
      </c>
      <c r="L31" s="2">
        <v>206</v>
      </c>
      <c r="M31" s="2" t="s">
        <v>39</v>
      </c>
      <c r="N31" s="2">
        <v>4</v>
      </c>
      <c r="O31" s="6">
        <v>80934.64</v>
      </c>
      <c r="P31" s="6">
        <v>20233.66</v>
      </c>
    </row>
    <row r="32" spans="1:16" outlineLevel="2" x14ac:dyDescent="0.2">
      <c r="A32" s="5">
        <v>46209</v>
      </c>
      <c r="B32" s="2">
        <v>160641</v>
      </c>
      <c r="C32" s="2">
        <v>2</v>
      </c>
      <c r="D32" s="2" t="s">
        <v>27</v>
      </c>
      <c r="E32" s="2" t="s">
        <v>28</v>
      </c>
      <c r="F32" s="2" t="s">
        <v>35</v>
      </c>
      <c r="G32" s="2" t="s">
        <v>22</v>
      </c>
      <c r="H32" s="2" t="s">
        <v>23</v>
      </c>
      <c r="I32" s="2" t="s">
        <v>52</v>
      </c>
      <c r="J32" s="2">
        <v>40</v>
      </c>
      <c r="K32" s="2" t="s">
        <v>25</v>
      </c>
      <c r="L32" s="2">
        <v>1502</v>
      </c>
      <c r="M32" s="2" t="s">
        <v>53</v>
      </c>
      <c r="N32" s="2">
        <v>6</v>
      </c>
      <c r="O32" s="6">
        <v>195143.6</v>
      </c>
      <c r="P32" s="6">
        <v>32523.93</v>
      </c>
    </row>
    <row r="33" spans="1:16" outlineLevel="2" x14ac:dyDescent="0.2">
      <c r="A33" s="5">
        <v>46209</v>
      </c>
      <c r="B33" s="2">
        <v>160662</v>
      </c>
      <c r="C33" s="2">
        <v>1</v>
      </c>
      <c r="D33" s="2" t="s">
        <v>27</v>
      </c>
      <c r="E33" s="2" t="s">
        <v>28</v>
      </c>
      <c r="F33" s="2" t="s">
        <v>37</v>
      </c>
      <c r="G33" s="2" t="s">
        <v>22</v>
      </c>
      <c r="H33" s="2" t="s">
        <v>23</v>
      </c>
      <c r="I33" s="2" t="s">
        <v>54</v>
      </c>
      <c r="J33" s="2">
        <v>1</v>
      </c>
      <c r="K33" s="2" t="s">
        <v>31</v>
      </c>
      <c r="L33" s="2">
        <v>206</v>
      </c>
      <c r="M33" s="2" t="s">
        <v>39</v>
      </c>
      <c r="N33" s="2">
        <v>3</v>
      </c>
      <c r="O33" s="6">
        <v>38298.42</v>
      </c>
      <c r="P33" s="6">
        <v>12766.14</v>
      </c>
    </row>
    <row r="34" spans="1:16" outlineLevel="2" x14ac:dyDescent="0.2">
      <c r="A34" s="5">
        <v>46209</v>
      </c>
      <c r="B34" s="2">
        <v>160662</v>
      </c>
      <c r="C34" s="2">
        <v>2</v>
      </c>
      <c r="D34" s="2" t="s">
        <v>27</v>
      </c>
      <c r="E34" s="2" t="s">
        <v>28</v>
      </c>
      <c r="F34" s="2" t="s">
        <v>37</v>
      </c>
      <c r="G34" s="2" t="s">
        <v>22</v>
      </c>
      <c r="H34" s="2" t="s">
        <v>23</v>
      </c>
      <c r="I34" s="2" t="s">
        <v>55</v>
      </c>
      <c r="J34" s="2">
        <v>1</v>
      </c>
      <c r="K34" s="2" t="s">
        <v>31</v>
      </c>
      <c r="L34" s="2">
        <v>206</v>
      </c>
      <c r="M34" s="2" t="s">
        <v>39</v>
      </c>
      <c r="N34" s="2">
        <v>42</v>
      </c>
      <c r="O34" s="6">
        <v>418207.85</v>
      </c>
      <c r="P34" s="6">
        <v>9957.33</v>
      </c>
    </row>
    <row r="35" spans="1:16" outlineLevel="2" x14ac:dyDescent="0.2">
      <c r="A35" s="5">
        <v>46209</v>
      </c>
      <c r="B35" s="2">
        <v>160712</v>
      </c>
      <c r="C35" s="2">
        <v>1</v>
      </c>
      <c r="D35" s="2" t="s">
        <v>27</v>
      </c>
      <c r="E35" s="2" t="s">
        <v>28</v>
      </c>
      <c r="F35" s="2" t="s">
        <v>21</v>
      </c>
      <c r="G35" s="2" t="s">
        <v>22</v>
      </c>
      <c r="H35" s="2" t="s">
        <v>23</v>
      </c>
      <c r="I35" s="2" t="s">
        <v>60</v>
      </c>
      <c r="J35" s="2">
        <v>1</v>
      </c>
      <c r="K35" s="2" t="s">
        <v>31</v>
      </c>
      <c r="L35" s="2">
        <v>1846</v>
      </c>
      <c r="M35" s="2" t="s">
        <v>61</v>
      </c>
      <c r="N35" s="2">
        <v>68</v>
      </c>
      <c r="O35" s="6">
        <v>1770101.82</v>
      </c>
      <c r="P35" s="6">
        <v>26030.91</v>
      </c>
    </row>
    <row r="36" spans="1:16" outlineLevel="2" x14ac:dyDescent="0.2">
      <c r="A36" s="5">
        <v>46216</v>
      </c>
      <c r="B36" s="2">
        <v>160743</v>
      </c>
      <c r="C36" s="2">
        <v>3</v>
      </c>
      <c r="D36" s="2" t="s">
        <v>27</v>
      </c>
      <c r="E36" s="2" t="s">
        <v>28</v>
      </c>
      <c r="F36" s="2" t="s">
        <v>35</v>
      </c>
      <c r="G36" s="2" t="s">
        <v>66</v>
      </c>
      <c r="H36" s="2" t="s">
        <v>23</v>
      </c>
      <c r="I36" s="2" t="s">
        <v>52</v>
      </c>
      <c r="J36" s="2">
        <v>40</v>
      </c>
      <c r="K36" s="2" t="s">
        <v>25</v>
      </c>
      <c r="L36" s="2">
        <v>1502</v>
      </c>
      <c r="M36" s="2" t="s">
        <v>53</v>
      </c>
      <c r="N36" s="2">
        <v>7</v>
      </c>
      <c r="O36" s="6">
        <v>253016.81</v>
      </c>
      <c r="P36" s="6">
        <v>36145.26</v>
      </c>
    </row>
    <row r="37" spans="1:16" outlineLevel="2" x14ac:dyDescent="0.2">
      <c r="A37" s="5">
        <v>46220</v>
      </c>
      <c r="B37" s="2">
        <v>160835</v>
      </c>
      <c r="C37" s="2">
        <v>5</v>
      </c>
      <c r="D37" s="2" t="s">
        <v>27</v>
      </c>
      <c r="E37" s="2" t="s">
        <v>28</v>
      </c>
      <c r="F37" s="2" t="s">
        <v>35</v>
      </c>
      <c r="G37" s="2" t="s">
        <v>79</v>
      </c>
      <c r="H37" s="2" t="s">
        <v>23</v>
      </c>
      <c r="I37" s="2" t="s">
        <v>80</v>
      </c>
      <c r="J37" s="2">
        <v>40</v>
      </c>
      <c r="K37" s="2" t="s">
        <v>25</v>
      </c>
      <c r="L37" s="2">
        <v>25243</v>
      </c>
      <c r="M37" s="2" t="s">
        <v>81</v>
      </c>
      <c r="N37" s="2">
        <v>15</v>
      </c>
      <c r="O37" s="6">
        <v>495463.8</v>
      </c>
      <c r="P37" s="6">
        <v>33030.92</v>
      </c>
    </row>
    <row r="38" spans="1:16" outlineLevel="2" x14ac:dyDescent="0.2">
      <c r="A38" s="5">
        <v>46220</v>
      </c>
      <c r="B38" s="2">
        <v>160953</v>
      </c>
      <c r="C38" s="2">
        <v>1</v>
      </c>
      <c r="D38" s="2" t="s">
        <v>27</v>
      </c>
      <c r="E38" s="2" t="s">
        <v>28</v>
      </c>
      <c r="F38" s="2" t="s">
        <v>85</v>
      </c>
      <c r="G38" s="2" t="s">
        <v>22</v>
      </c>
      <c r="H38" s="2" t="s">
        <v>23</v>
      </c>
      <c r="I38" s="2" t="s">
        <v>23</v>
      </c>
      <c r="J38" s="2">
        <v>1</v>
      </c>
      <c r="K38" s="2" t="s">
        <v>31</v>
      </c>
      <c r="L38" s="2">
        <v>25101</v>
      </c>
      <c r="M38" s="2" t="s">
        <v>86</v>
      </c>
      <c r="N38" s="2">
        <v>50</v>
      </c>
      <c r="O38" s="6">
        <v>1385058.5</v>
      </c>
      <c r="P38" s="6">
        <v>27701.17</v>
      </c>
    </row>
    <row r="39" spans="1:16" outlineLevel="2" x14ac:dyDescent="0.2">
      <c r="A39" s="5">
        <v>46223</v>
      </c>
      <c r="B39" s="2">
        <v>161009</v>
      </c>
      <c r="C39" s="2">
        <v>2</v>
      </c>
      <c r="D39" s="2" t="s">
        <v>27</v>
      </c>
      <c r="E39" s="2" t="s">
        <v>28</v>
      </c>
      <c r="F39" s="2" t="s">
        <v>21</v>
      </c>
      <c r="G39" s="2" t="s">
        <v>22</v>
      </c>
      <c r="H39" s="2" t="s">
        <v>23</v>
      </c>
      <c r="I39" s="2" t="s">
        <v>30</v>
      </c>
      <c r="J39" s="2">
        <v>1</v>
      </c>
      <c r="K39" s="2" t="s">
        <v>31</v>
      </c>
      <c r="L39" s="2">
        <v>1846</v>
      </c>
      <c r="M39" s="2" t="s">
        <v>61</v>
      </c>
      <c r="N39" s="2">
        <v>36</v>
      </c>
      <c r="O39" s="6">
        <v>2953729.84</v>
      </c>
      <c r="P39" s="6">
        <v>82048.05</v>
      </c>
    </row>
    <row r="40" spans="1:16" outlineLevel="2" x14ac:dyDescent="0.2">
      <c r="A40" s="5">
        <v>46223</v>
      </c>
      <c r="B40" s="2">
        <v>161048</v>
      </c>
      <c r="C40" s="2">
        <v>1</v>
      </c>
      <c r="D40" s="2" t="s">
        <v>27</v>
      </c>
      <c r="E40" s="2" t="s">
        <v>28</v>
      </c>
      <c r="F40" s="2" t="s">
        <v>35</v>
      </c>
      <c r="G40" s="2" t="s">
        <v>22</v>
      </c>
      <c r="H40" s="2" t="s">
        <v>66</v>
      </c>
      <c r="I40" s="2" t="s">
        <v>94</v>
      </c>
      <c r="J40" s="2">
        <v>40</v>
      </c>
      <c r="K40" s="2" t="s">
        <v>25</v>
      </c>
      <c r="L40" s="2">
        <v>25243</v>
      </c>
      <c r="M40" s="2" t="s">
        <v>81</v>
      </c>
      <c r="N40" s="2">
        <v>29</v>
      </c>
      <c r="O40" s="6">
        <v>938682.44</v>
      </c>
      <c r="P40" s="6">
        <v>32368.36</v>
      </c>
    </row>
    <row r="41" spans="1:16" outlineLevel="2" x14ac:dyDescent="0.2">
      <c r="A41" s="5">
        <v>46225</v>
      </c>
      <c r="B41" s="2">
        <v>161050</v>
      </c>
      <c r="C41" s="2">
        <v>1</v>
      </c>
      <c r="D41" s="2" t="s">
        <v>27</v>
      </c>
      <c r="E41" s="2" t="s">
        <v>28</v>
      </c>
      <c r="F41" s="2" t="s">
        <v>35</v>
      </c>
      <c r="G41" s="2" t="s">
        <v>66</v>
      </c>
      <c r="H41" s="2" t="s">
        <v>23</v>
      </c>
      <c r="I41" s="2" t="s">
        <v>95</v>
      </c>
      <c r="J41" s="2">
        <v>40</v>
      </c>
      <c r="K41" s="2" t="s">
        <v>25</v>
      </c>
      <c r="L41" s="2">
        <v>25243</v>
      </c>
      <c r="M41" s="2" t="s">
        <v>81</v>
      </c>
      <c r="N41" s="2">
        <v>12</v>
      </c>
      <c r="O41" s="6">
        <v>347651.05</v>
      </c>
      <c r="P41" s="6">
        <v>28970.92</v>
      </c>
    </row>
    <row r="42" spans="1:16" outlineLevel="1" x14ac:dyDescent="0.2">
      <c r="A42" s="5"/>
      <c r="D42" s="4" t="s">
        <v>125</v>
      </c>
      <c r="E42" s="4"/>
      <c r="F42" s="4"/>
      <c r="G42" s="4"/>
      <c r="H42" s="4"/>
      <c r="I42" s="4"/>
      <c r="J42" s="4"/>
      <c r="K42" s="4"/>
      <c r="L42" s="4"/>
      <c r="M42" s="4"/>
      <c r="N42" s="4">
        <f>SUBTOTAL(9,N30:N41)</f>
        <v>274</v>
      </c>
      <c r="O42" s="7">
        <f>SUBTOTAL(9,O30:O41)</f>
        <v>8944759.25</v>
      </c>
      <c r="P42" s="7">
        <f>+O42/N42</f>
        <v>32645.106751824816</v>
      </c>
    </row>
    <row r="43" spans="1:16" outlineLevel="2" x14ac:dyDescent="0.2">
      <c r="A43" s="5">
        <v>46223</v>
      </c>
      <c r="B43" s="2">
        <v>161052</v>
      </c>
      <c r="C43" s="2">
        <v>2</v>
      </c>
      <c r="D43" s="2" t="s">
        <v>96</v>
      </c>
      <c r="E43" s="2" t="s">
        <v>97</v>
      </c>
      <c r="F43" s="2" t="s">
        <v>35</v>
      </c>
      <c r="G43" s="2" t="s">
        <v>22</v>
      </c>
      <c r="H43" s="2" t="s">
        <v>23</v>
      </c>
      <c r="I43" s="2" t="s">
        <v>23</v>
      </c>
      <c r="J43" s="2">
        <v>5</v>
      </c>
      <c r="K43" s="2" t="s">
        <v>42</v>
      </c>
      <c r="L43" s="2">
        <v>2521</v>
      </c>
      <c r="M43" s="2" t="s">
        <v>43</v>
      </c>
      <c r="N43" s="2">
        <v>4</v>
      </c>
      <c r="O43" s="6">
        <v>118574.2</v>
      </c>
      <c r="P43" s="6">
        <v>29643.55</v>
      </c>
    </row>
    <row r="44" spans="1:16" outlineLevel="2" x14ac:dyDescent="0.2">
      <c r="A44" s="5">
        <v>46223</v>
      </c>
      <c r="B44" s="2">
        <v>161052</v>
      </c>
      <c r="C44" s="2">
        <v>3</v>
      </c>
      <c r="D44" s="2" t="s">
        <v>96</v>
      </c>
      <c r="E44" s="2" t="s">
        <v>98</v>
      </c>
      <c r="F44" s="2" t="s">
        <v>35</v>
      </c>
      <c r="G44" s="2" t="s">
        <v>22</v>
      </c>
      <c r="H44" s="2" t="s">
        <v>23</v>
      </c>
      <c r="I44" s="2" t="s">
        <v>23</v>
      </c>
      <c r="J44" s="2">
        <v>5</v>
      </c>
      <c r="K44" s="2" t="s">
        <v>42</v>
      </c>
      <c r="L44" s="2">
        <v>2521</v>
      </c>
      <c r="M44" s="2" t="s">
        <v>43</v>
      </c>
      <c r="N44" s="2">
        <v>5</v>
      </c>
      <c r="O44" s="6">
        <v>145973.37</v>
      </c>
      <c r="P44" s="6">
        <v>29194.67</v>
      </c>
    </row>
    <row r="45" spans="1:16" outlineLevel="1" x14ac:dyDescent="0.2">
      <c r="A45" s="5"/>
      <c r="D45" s="4" t="s">
        <v>126</v>
      </c>
      <c r="E45" s="4"/>
      <c r="F45" s="4"/>
      <c r="G45" s="4"/>
      <c r="H45" s="4"/>
      <c r="I45" s="4"/>
      <c r="J45" s="4"/>
      <c r="K45" s="4"/>
      <c r="L45" s="4"/>
      <c r="M45" s="4"/>
      <c r="N45" s="4">
        <f>SUBTOTAL(9,N43:N44)</f>
        <v>9</v>
      </c>
      <c r="O45" s="7">
        <f>SUBTOTAL(9,O43:O44)</f>
        <v>264547.57</v>
      </c>
      <c r="P45" s="7">
        <f>+O45/N45</f>
        <v>29394.174444444445</v>
      </c>
    </row>
    <row r="46" spans="1:16" outlineLevel="2" x14ac:dyDescent="0.2">
      <c r="A46" s="5">
        <v>46209</v>
      </c>
      <c r="B46" s="2">
        <v>160664</v>
      </c>
      <c r="C46" s="2">
        <v>1</v>
      </c>
      <c r="D46" s="2" t="s">
        <v>56</v>
      </c>
      <c r="E46" s="2" t="s">
        <v>57</v>
      </c>
      <c r="F46" s="2" t="s">
        <v>23</v>
      </c>
      <c r="G46" s="2" t="s">
        <v>22</v>
      </c>
      <c r="H46" s="2" t="s">
        <v>23</v>
      </c>
      <c r="I46" s="2" t="s">
        <v>23</v>
      </c>
      <c r="J46" s="2">
        <v>78</v>
      </c>
      <c r="K46" s="2" t="s">
        <v>58</v>
      </c>
      <c r="L46" s="2">
        <v>226</v>
      </c>
      <c r="M46" s="2" t="s">
        <v>59</v>
      </c>
      <c r="N46" s="2">
        <v>12</v>
      </c>
      <c r="O46" s="6">
        <v>207333.2</v>
      </c>
      <c r="P46" s="6">
        <v>17277.77</v>
      </c>
    </row>
    <row r="47" spans="1:16" outlineLevel="1" x14ac:dyDescent="0.2">
      <c r="A47" s="5"/>
      <c r="D47" s="4" t="s">
        <v>127</v>
      </c>
      <c r="E47" s="4"/>
      <c r="F47" s="4"/>
      <c r="G47" s="4"/>
      <c r="H47" s="4"/>
      <c r="I47" s="4"/>
      <c r="J47" s="4"/>
      <c r="K47" s="4"/>
      <c r="L47" s="4"/>
      <c r="M47" s="4"/>
      <c r="N47" s="4">
        <f>SUBTOTAL(9,N46:N46)</f>
        <v>12</v>
      </c>
      <c r="O47" s="7">
        <f>SUBTOTAL(9,O46:O46)</f>
        <v>207333.2</v>
      </c>
      <c r="P47" s="7">
        <f>+O47/N47</f>
        <v>17277.766666666666</v>
      </c>
    </row>
    <row r="48" spans="1:16" outlineLevel="2" x14ac:dyDescent="0.2">
      <c r="A48" s="5">
        <v>46209</v>
      </c>
      <c r="B48" s="2">
        <v>160513</v>
      </c>
      <c r="C48" s="2">
        <v>2</v>
      </c>
      <c r="D48" s="2" t="s">
        <v>44</v>
      </c>
      <c r="E48" s="2" t="s">
        <v>23</v>
      </c>
      <c r="F48" s="2" t="s">
        <v>45</v>
      </c>
      <c r="G48" s="2" t="s">
        <v>22</v>
      </c>
      <c r="H48" s="2" t="s">
        <v>23</v>
      </c>
      <c r="I48" s="2" t="s">
        <v>46</v>
      </c>
      <c r="J48" s="2">
        <v>1</v>
      </c>
      <c r="K48" s="2" t="s">
        <v>31</v>
      </c>
      <c r="L48" s="2">
        <v>2024</v>
      </c>
      <c r="M48" s="2" t="s">
        <v>47</v>
      </c>
      <c r="N48" s="2">
        <v>4</v>
      </c>
      <c r="O48" s="6">
        <v>91504.46</v>
      </c>
      <c r="P48" s="6">
        <v>22876.12</v>
      </c>
    </row>
    <row r="49" spans="1:16" outlineLevel="2" x14ac:dyDescent="0.2">
      <c r="A49" s="5">
        <v>46223</v>
      </c>
      <c r="B49" s="2">
        <v>160514</v>
      </c>
      <c r="C49" s="2">
        <v>1</v>
      </c>
      <c r="D49" s="2" t="s">
        <v>44</v>
      </c>
      <c r="E49" s="2" t="s">
        <v>23</v>
      </c>
      <c r="F49" s="2" t="s">
        <v>45</v>
      </c>
      <c r="G49" s="2" t="s">
        <v>22</v>
      </c>
      <c r="H49" s="2" t="s">
        <v>23</v>
      </c>
      <c r="I49" s="2" t="s">
        <v>48</v>
      </c>
      <c r="J49" s="2">
        <v>1</v>
      </c>
      <c r="K49" s="2" t="s">
        <v>31</v>
      </c>
      <c r="L49" s="2">
        <v>2024</v>
      </c>
      <c r="M49" s="2" t="s">
        <v>47</v>
      </c>
      <c r="N49" s="2">
        <v>10</v>
      </c>
      <c r="O49" s="6">
        <v>277011.7</v>
      </c>
      <c r="P49" s="6">
        <v>27701.17</v>
      </c>
    </row>
    <row r="50" spans="1:16" outlineLevel="1" x14ac:dyDescent="0.2">
      <c r="A50" s="5"/>
      <c r="D50" s="4" t="s">
        <v>128</v>
      </c>
      <c r="E50" s="4"/>
      <c r="F50" s="4"/>
      <c r="G50" s="4"/>
      <c r="H50" s="4"/>
      <c r="I50" s="4"/>
      <c r="J50" s="4"/>
      <c r="K50" s="4"/>
      <c r="L50" s="4"/>
      <c r="M50" s="4"/>
      <c r="N50" s="4">
        <f>SUBTOTAL(9,N48:N49)</f>
        <v>14</v>
      </c>
      <c r="O50" s="7">
        <f>SUBTOTAL(9,O48:O49)</f>
        <v>368516.16000000003</v>
      </c>
      <c r="P50" s="7">
        <f>+O50/N50</f>
        <v>26322.582857142861</v>
      </c>
    </row>
    <row r="51" spans="1:16" outlineLevel="2" x14ac:dyDescent="0.2">
      <c r="A51" s="5">
        <v>46225</v>
      </c>
      <c r="B51" s="2">
        <v>161060</v>
      </c>
      <c r="C51" s="2">
        <v>6</v>
      </c>
      <c r="D51" s="2" t="s">
        <v>106</v>
      </c>
      <c r="E51" s="2" t="s">
        <v>23</v>
      </c>
      <c r="F51" s="2" t="s">
        <v>101</v>
      </c>
      <c r="G51" s="2" t="s">
        <v>22</v>
      </c>
      <c r="H51" s="2" t="s">
        <v>23</v>
      </c>
      <c r="I51" s="2" t="s">
        <v>23</v>
      </c>
      <c r="J51" s="2">
        <v>41</v>
      </c>
      <c r="K51" s="2" t="s">
        <v>90</v>
      </c>
      <c r="L51" s="2">
        <v>25213</v>
      </c>
      <c r="M51" s="2" t="s">
        <v>105</v>
      </c>
      <c r="N51" s="2">
        <v>1</v>
      </c>
      <c r="O51" s="6">
        <v>3618.44</v>
      </c>
      <c r="P51" s="6">
        <v>3618.44</v>
      </c>
    </row>
    <row r="52" spans="1:16" outlineLevel="1" x14ac:dyDescent="0.2">
      <c r="A52" s="5"/>
      <c r="D52" s="4" t="s">
        <v>129</v>
      </c>
      <c r="E52" s="4"/>
      <c r="F52" s="4"/>
      <c r="G52" s="4"/>
      <c r="H52" s="4"/>
      <c r="I52" s="4"/>
      <c r="J52" s="4"/>
      <c r="K52" s="4"/>
      <c r="L52" s="4"/>
      <c r="M52" s="4"/>
      <c r="N52" s="4">
        <f>SUBTOTAL(9,N51:N51)</f>
        <v>1</v>
      </c>
      <c r="O52" s="7">
        <f>SUBTOTAL(9,O51:O51)</f>
        <v>3618.44</v>
      </c>
      <c r="P52" s="7">
        <f>+O52/N52</f>
        <v>3618.44</v>
      </c>
    </row>
    <row r="53" spans="1:16" outlineLevel="2" x14ac:dyDescent="0.2">
      <c r="A53" s="5">
        <v>46225</v>
      </c>
      <c r="B53" s="2">
        <v>161059</v>
      </c>
      <c r="C53" s="2">
        <v>1</v>
      </c>
      <c r="D53" s="2" t="s">
        <v>99</v>
      </c>
      <c r="E53" s="2" t="s">
        <v>100</v>
      </c>
      <c r="F53" s="2" t="s">
        <v>101</v>
      </c>
      <c r="G53" s="2" t="s">
        <v>22</v>
      </c>
      <c r="H53" s="2" t="s">
        <v>23</v>
      </c>
      <c r="I53" s="2" t="s">
        <v>23</v>
      </c>
      <c r="J53" s="2">
        <v>41</v>
      </c>
      <c r="K53" s="2" t="s">
        <v>90</v>
      </c>
      <c r="L53" s="2">
        <v>2338</v>
      </c>
      <c r="M53" s="2" t="s">
        <v>102</v>
      </c>
      <c r="N53" s="2">
        <v>13</v>
      </c>
      <c r="O53" s="6">
        <v>11212.24</v>
      </c>
      <c r="P53" s="6">
        <v>862.48</v>
      </c>
    </row>
    <row r="54" spans="1:16" outlineLevel="1" x14ac:dyDescent="0.2">
      <c r="A54" s="5"/>
      <c r="D54" s="4" t="s">
        <v>130</v>
      </c>
      <c r="E54" s="4"/>
      <c r="F54" s="4"/>
      <c r="G54" s="4"/>
      <c r="H54" s="4"/>
      <c r="I54" s="4"/>
      <c r="J54" s="4"/>
      <c r="K54" s="4"/>
      <c r="L54" s="4"/>
      <c r="M54" s="4"/>
      <c r="N54" s="4">
        <f>SUBTOTAL(9,N53:N53)</f>
        <v>13</v>
      </c>
      <c r="O54" s="7">
        <f>SUBTOTAL(9,O53:O53)</f>
        <v>11212.24</v>
      </c>
      <c r="P54" s="7">
        <f>+O54/N54</f>
        <v>862.48</v>
      </c>
    </row>
    <row r="55" spans="1:16" outlineLevel="2" x14ac:dyDescent="0.2">
      <c r="A55" s="5">
        <v>46218</v>
      </c>
      <c r="B55" s="2">
        <v>160998</v>
      </c>
      <c r="C55" s="2">
        <v>15</v>
      </c>
      <c r="D55" s="2" t="s">
        <v>87</v>
      </c>
      <c r="E55" s="2" t="s">
        <v>88</v>
      </c>
      <c r="F55" s="2" t="s">
        <v>89</v>
      </c>
      <c r="G55" s="2" t="s">
        <v>22</v>
      </c>
      <c r="H55" s="2" t="s">
        <v>23</v>
      </c>
      <c r="I55" s="2" t="s">
        <v>23</v>
      </c>
      <c r="J55" s="2">
        <v>41</v>
      </c>
      <c r="K55" s="2" t="s">
        <v>90</v>
      </c>
      <c r="L55" s="2">
        <v>106</v>
      </c>
      <c r="M55" s="2" t="s">
        <v>91</v>
      </c>
      <c r="N55" s="2">
        <v>1</v>
      </c>
      <c r="O55" s="6">
        <v>12766.14</v>
      </c>
      <c r="P55" s="6">
        <v>12766.14</v>
      </c>
    </row>
    <row r="56" spans="1:16" outlineLevel="1" x14ac:dyDescent="0.2">
      <c r="A56" s="5"/>
      <c r="D56" s="4" t="s">
        <v>131</v>
      </c>
      <c r="E56" s="4"/>
      <c r="F56" s="4"/>
      <c r="G56" s="4"/>
      <c r="H56" s="4"/>
      <c r="I56" s="4"/>
      <c r="J56" s="4"/>
      <c r="K56" s="4"/>
      <c r="L56" s="4"/>
      <c r="M56" s="4"/>
      <c r="N56" s="4">
        <f>SUBTOTAL(9,N55:N55)</f>
        <v>1</v>
      </c>
      <c r="O56" s="7">
        <f>SUBTOTAL(9,O55:O55)</f>
        <v>12766.14</v>
      </c>
      <c r="P56" s="7">
        <f>+O56/N56</f>
        <v>12766.14</v>
      </c>
    </row>
    <row r="57" spans="1:16" outlineLevel="2" x14ac:dyDescent="0.2">
      <c r="A57" s="5">
        <v>46195</v>
      </c>
      <c r="B57" s="2">
        <v>160340</v>
      </c>
      <c r="C57" s="2">
        <v>2</v>
      </c>
      <c r="D57" s="2" t="s">
        <v>33</v>
      </c>
      <c r="E57" s="2" t="s">
        <v>34</v>
      </c>
      <c r="F57" s="2" t="s">
        <v>35</v>
      </c>
      <c r="G57" s="2" t="s">
        <v>22</v>
      </c>
      <c r="H57" s="2" t="s">
        <v>23</v>
      </c>
      <c r="I57" s="2" t="s">
        <v>23</v>
      </c>
      <c r="J57" s="2">
        <v>1</v>
      </c>
      <c r="K57" s="2" t="s">
        <v>31</v>
      </c>
      <c r="L57" s="2">
        <v>2541</v>
      </c>
      <c r="M57" s="2" t="s">
        <v>36</v>
      </c>
      <c r="N57" s="2">
        <v>6</v>
      </c>
      <c r="O57" s="6">
        <v>398001.89</v>
      </c>
      <c r="P57" s="6">
        <v>66333.649999999994</v>
      </c>
    </row>
    <row r="58" spans="1:16" outlineLevel="2" x14ac:dyDescent="0.2">
      <c r="A58" s="5">
        <v>46209</v>
      </c>
      <c r="B58" s="2">
        <v>160557</v>
      </c>
      <c r="C58" s="2">
        <v>2</v>
      </c>
      <c r="D58" s="2" t="s">
        <v>33</v>
      </c>
      <c r="E58" s="2" t="s">
        <v>34</v>
      </c>
      <c r="F58" s="2" t="s">
        <v>35</v>
      </c>
      <c r="G58" s="2" t="s">
        <v>22</v>
      </c>
      <c r="H58" s="2" t="s">
        <v>23</v>
      </c>
      <c r="I58" s="2" t="s">
        <v>23</v>
      </c>
      <c r="J58" s="2">
        <v>1</v>
      </c>
      <c r="K58" s="2" t="s">
        <v>31</v>
      </c>
      <c r="L58" s="2">
        <v>2541</v>
      </c>
      <c r="M58" s="2" t="s">
        <v>36</v>
      </c>
      <c r="N58" s="2">
        <v>25</v>
      </c>
      <c r="O58" s="6">
        <v>907220.2</v>
      </c>
      <c r="P58" s="6">
        <v>36288.81</v>
      </c>
    </row>
    <row r="59" spans="1:16" outlineLevel="1" x14ac:dyDescent="0.2">
      <c r="A59" s="5"/>
      <c r="D59" s="4" t="s">
        <v>132</v>
      </c>
      <c r="E59" s="4"/>
      <c r="F59" s="4"/>
      <c r="G59" s="4"/>
      <c r="H59" s="4"/>
      <c r="I59" s="4"/>
      <c r="J59" s="4"/>
      <c r="K59" s="4"/>
      <c r="L59" s="4"/>
      <c r="M59" s="4"/>
      <c r="N59" s="4">
        <f>SUBTOTAL(9,N57:N58)</f>
        <v>31</v>
      </c>
      <c r="O59" s="7">
        <f>SUBTOTAL(9,O57:O58)</f>
        <v>1305222.0899999999</v>
      </c>
      <c r="P59" s="7">
        <f>+O59/N59</f>
        <v>42103.938387096772</v>
      </c>
    </row>
    <row r="60" spans="1:16" x14ac:dyDescent="0.2">
      <c r="A60" s="5"/>
      <c r="D60" s="4" t="s">
        <v>133</v>
      </c>
      <c r="E60" s="4"/>
      <c r="F60" s="4"/>
      <c r="G60" s="4"/>
      <c r="H60" s="4"/>
      <c r="I60" s="4"/>
      <c r="J60" s="4"/>
      <c r="K60" s="4"/>
      <c r="L60" s="4"/>
      <c r="M60" s="4"/>
      <c r="N60" s="4">
        <f>SUBTOTAL(9,N5:N58)</f>
        <v>526</v>
      </c>
      <c r="O60" s="7">
        <f>SUBTOTAL(9,O5:O58)</f>
        <v>15697407.959999997</v>
      </c>
      <c r="P60" s="7"/>
    </row>
  </sheetData>
  <sortState ref="A5:P40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2026-07-23T15:24:26Z</dcterms:created>
  <dcterms:modified xsi:type="dcterms:W3CDTF">2026-07-23T17:08:54Z</dcterms:modified>
</cp:coreProperties>
</file>