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60" windowHeight="9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1" l="1"/>
  <c r="P76" i="1"/>
  <c r="P91" i="1"/>
  <c r="P94" i="1"/>
  <c r="P96" i="1"/>
  <c r="P98" i="1"/>
  <c r="P100" i="1"/>
  <c r="P102" i="1"/>
  <c r="P107" i="1"/>
  <c r="P109" i="1"/>
  <c r="P114" i="1"/>
  <c r="P116" i="1"/>
  <c r="P118" i="1"/>
  <c r="P131" i="1"/>
  <c r="P137" i="1"/>
  <c r="O138" i="1"/>
  <c r="N138" i="1"/>
  <c r="O137" i="1"/>
  <c r="N137" i="1"/>
  <c r="O131" i="1"/>
  <c r="N131" i="1"/>
  <c r="O118" i="1"/>
  <c r="N118" i="1"/>
  <c r="O116" i="1"/>
  <c r="N116" i="1"/>
  <c r="O114" i="1"/>
  <c r="N114" i="1"/>
  <c r="O109" i="1"/>
  <c r="N109" i="1"/>
  <c r="O107" i="1"/>
  <c r="N107" i="1"/>
  <c r="O102" i="1"/>
  <c r="N102" i="1"/>
  <c r="O100" i="1"/>
  <c r="N100" i="1"/>
  <c r="O98" i="1"/>
  <c r="N98" i="1"/>
  <c r="O96" i="1"/>
  <c r="N96" i="1"/>
  <c r="O94" i="1"/>
  <c r="N94" i="1"/>
  <c r="O91" i="1"/>
  <c r="N91" i="1"/>
  <c r="O76" i="1"/>
  <c r="N76" i="1"/>
  <c r="O73" i="1"/>
  <c r="N73" i="1"/>
  <c r="O69" i="1"/>
  <c r="N69" i="1"/>
  <c r="O64" i="1"/>
  <c r="N64" i="1"/>
  <c r="O59" i="1"/>
  <c r="N59" i="1"/>
  <c r="O55" i="1"/>
  <c r="N55" i="1"/>
  <c r="O53" i="1"/>
  <c r="N53" i="1"/>
  <c r="O51" i="1"/>
  <c r="N51" i="1"/>
  <c r="O49" i="1"/>
  <c r="N49" i="1"/>
  <c r="O46" i="1"/>
  <c r="N46" i="1"/>
  <c r="O44" i="1"/>
  <c r="N44" i="1"/>
  <c r="O42" i="1"/>
  <c r="N42" i="1"/>
  <c r="O40" i="1"/>
  <c r="N40" i="1"/>
  <c r="O35" i="1"/>
  <c r="N35" i="1"/>
  <c r="O33" i="1"/>
  <c r="N33" i="1"/>
  <c r="O31" i="1"/>
  <c r="N31" i="1"/>
  <c r="O20" i="1"/>
  <c r="N20" i="1"/>
  <c r="O13" i="1"/>
  <c r="N13" i="1"/>
  <c r="O8" i="1"/>
  <c r="N8" i="1"/>
  <c r="O6" i="1"/>
  <c r="N6" i="1"/>
</calcChain>
</file>

<file path=xl/sharedStrings.xml><?xml version="1.0" encoding="utf-8"?>
<sst xmlns="http://schemas.openxmlformats.org/spreadsheetml/2006/main" count="853" uniqueCount="214">
  <si>
    <t>2026.08.14 14:16:33 SUCU:   2 CAJA: 1</t>
  </si>
  <si>
    <t xml:space="preserve">PUTRUELE HNOS. S.A.A.I.C.  </t>
  </si>
  <si>
    <t>LS040-VENTAS PERIODO:14/08/26-14/08/26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</si>
  <si>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</si>
  <si>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</si>
  <si>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</si>
  <si>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</si>
  <si>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</si>
  <si>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</si>
  <si>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</si>
  <si>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</si>
  <si>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</si>
  <si>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</si>
  <si>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</si>
  <si>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</si>
  <si>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</si>
  <si>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</si>
  <si>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</si>
  <si>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</si>
  <si>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>FRASCO GRA</t>
  </si>
  <si>
    <t xml:space="preserve">ESPARRAGO </t>
  </si>
  <si>
    <t xml:space="preserve">CBA       </t>
  </si>
  <si>
    <t xml:space="preserve">ELG       </t>
  </si>
  <si>
    <t xml:space="preserve">          </t>
  </si>
  <si>
    <t xml:space="preserve">FRASCO    </t>
  </si>
  <si>
    <t xml:space="preserve">GREEN PATA     </t>
  </si>
  <si>
    <t xml:space="preserve">NARANJA   </t>
  </si>
  <si>
    <t xml:space="preserve">JUGO      </t>
  </si>
  <si>
    <t xml:space="preserve">ER        </t>
  </si>
  <si>
    <t xml:space="preserve">C/M       </t>
  </si>
  <si>
    <t xml:space="preserve">CARLINO AL     </t>
  </si>
  <si>
    <t xml:space="preserve">MANZANA   </t>
  </si>
  <si>
    <t>GRANNY SMI</t>
  </si>
  <si>
    <t xml:space="preserve">R.N.      </t>
  </si>
  <si>
    <t xml:space="preserve">C/C       </t>
  </si>
  <si>
    <t xml:space="preserve">CELESTINO      </t>
  </si>
  <si>
    <t>PALTA PILA</t>
  </si>
  <si>
    <t xml:space="preserve">HASS      </t>
  </si>
  <si>
    <t xml:space="preserve">BRASIL    </t>
  </si>
  <si>
    <t xml:space="preserve">BAND      </t>
  </si>
  <si>
    <t xml:space="preserve">JAGUACY BR     </t>
  </si>
  <si>
    <t xml:space="preserve">E.R.      </t>
  </si>
  <si>
    <t xml:space="preserve">UVA       </t>
  </si>
  <si>
    <t>SUGAR CRIS</t>
  </si>
  <si>
    <t xml:space="preserve">SERRA BRAN     </t>
  </si>
  <si>
    <t xml:space="preserve">RED TOP   </t>
  </si>
  <si>
    <t xml:space="preserve">138       </t>
  </si>
  <si>
    <t xml:space="preserve">MELON     </t>
  </si>
  <si>
    <t>AMARILLO S</t>
  </si>
  <si>
    <t xml:space="preserve">5         </t>
  </si>
  <si>
    <t xml:space="preserve">DINA INDUS     </t>
  </si>
  <si>
    <t xml:space="preserve">AMARILLO  </t>
  </si>
  <si>
    <t xml:space="preserve">CAT I     </t>
  </si>
  <si>
    <t xml:space="preserve">N§9       </t>
  </si>
  <si>
    <t xml:space="preserve">N§6       </t>
  </si>
  <si>
    <t xml:space="preserve">NORFFRUIT      </t>
  </si>
  <si>
    <t xml:space="preserve">RED DELI. </t>
  </si>
  <si>
    <t xml:space="preserve">PATAGONIA      </t>
  </si>
  <si>
    <t xml:space="preserve">BANANA    </t>
  </si>
  <si>
    <t xml:space="preserve">PILAR     </t>
  </si>
  <si>
    <t xml:space="preserve">FRUTICOLA      </t>
  </si>
  <si>
    <t xml:space="preserve">JENGIBRE  </t>
  </si>
  <si>
    <t xml:space="preserve">ENLU-COMER     </t>
  </si>
  <si>
    <t xml:space="preserve">PALTA     </t>
  </si>
  <si>
    <t xml:space="preserve">CHILE     </t>
  </si>
  <si>
    <t xml:space="preserve">84        </t>
  </si>
  <si>
    <t xml:space="preserve">EXPOR PROP     </t>
  </si>
  <si>
    <t xml:space="preserve">COCO      </t>
  </si>
  <si>
    <t xml:space="preserve">BAHIA     </t>
  </si>
  <si>
    <t xml:space="preserve">BLS       </t>
  </si>
  <si>
    <t xml:space="preserve">RUBY RUSH </t>
  </si>
  <si>
    <t xml:space="preserve">KIWI      </t>
  </si>
  <si>
    <t xml:space="preserve">SUN GOLD  </t>
  </si>
  <si>
    <t>NUEVA ZELA</t>
  </si>
  <si>
    <t xml:space="preserve">T.22      </t>
  </si>
  <si>
    <t xml:space="preserve">ZESPRI INT     </t>
  </si>
  <si>
    <t xml:space="preserve">T.33      </t>
  </si>
  <si>
    <t xml:space="preserve">LIMA      </t>
  </si>
  <si>
    <t xml:space="preserve">TAHITI    </t>
  </si>
  <si>
    <t xml:space="preserve">PEPINO    </t>
  </si>
  <si>
    <t xml:space="preserve">BS.AS.    </t>
  </si>
  <si>
    <t xml:space="preserve">LA MISION      </t>
  </si>
  <si>
    <t xml:space="preserve">PAQUETE   </t>
  </si>
  <si>
    <t xml:space="preserve">PAQUETES  </t>
  </si>
  <si>
    <t xml:space="preserve">PRIME TIME     </t>
  </si>
  <si>
    <t xml:space="preserve">C/CUB     </t>
  </si>
  <si>
    <t xml:space="preserve">TOMATE    </t>
  </si>
  <si>
    <t>RACIMO ROJ</t>
  </si>
  <si>
    <t xml:space="preserve">CTES.     </t>
  </si>
  <si>
    <t xml:space="preserve">FINCA LA J     </t>
  </si>
  <si>
    <t xml:space="preserve">CHERRY    </t>
  </si>
  <si>
    <t xml:space="preserve">PERITA    </t>
  </si>
  <si>
    <t xml:space="preserve">PRODUCTOS      </t>
  </si>
  <si>
    <t xml:space="preserve">CAT 2     </t>
  </si>
  <si>
    <t xml:space="preserve">18        </t>
  </si>
  <si>
    <t xml:space="preserve">C/PL      </t>
  </si>
  <si>
    <t xml:space="preserve">OTAVIO RES     </t>
  </si>
  <si>
    <t xml:space="preserve">16-18-20  </t>
  </si>
  <si>
    <t xml:space="preserve">VERDE     </t>
  </si>
  <si>
    <t xml:space="preserve">PERU      </t>
  </si>
  <si>
    <t xml:space="preserve">PI¥A      </t>
  </si>
  <si>
    <t xml:space="preserve">ECUADOR   </t>
  </si>
  <si>
    <t xml:space="preserve">C/C UNID  </t>
  </si>
  <si>
    <t xml:space="preserve">PI¥AS RICA     </t>
  </si>
  <si>
    <t xml:space="preserve">16-20     </t>
  </si>
  <si>
    <t xml:space="preserve">28-32     </t>
  </si>
  <si>
    <t xml:space="preserve">70        </t>
  </si>
  <si>
    <t xml:space="preserve">MAMON     </t>
  </si>
  <si>
    <t xml:space="preserve">FORMOSA   </t>
  </si>
  <si>
    <t xml:space="preserve">AJI       </t>
  </si>
  <si>
    <t xml:space="preserve">FRUTILLAR      </t>
  </si>
  <si>
    <t xml:space="preserve">PAPIN     </t>
  </si>
  <si>
    <t>FRACCIONAD</t>
  </si>
  <si>
    <t xml:space="preserve">16        </t>
  </si>
  <si>
    <t xml:space="preserve">JOSE ALCID     </t>
  </si>
  <si>
    <t xml:space="preserve">BOLSONELLA     </t>
  </si>
  <si>
    <t xml:space="preserve">N§8       </t>
  </si>
  <si>
    <t xml:space="preserve">RACIMO    </t>
  </si>
  <si>
    <t xml:space="preserve">SEG.      </t>
  </si>
  <si>
    <t>PARRILLERO</t>
  </si>
  <si>
    <t xml:space="preserve">HONGOS DEL     </t>
  </si>
  <si>
    <t>SUPER CHIE</t>
  </si>
  <si>
    <t xml:space="preserve">CELESTINO </t>
  </si>
  <si>
    <t xml:space="preserve">TMAN      </t>
  </si>
  <si>
    <t xml:space="preserve">GUAYAL S.A     </t>
  </si>
  <si>
    <t xml:space="preserve">T.16      </t>
  </si>
  <si>
    <t xml:space="preserve">T.18      </t>
  </si>
  <si>
    <t xml:space="preserve">LIMON     </t>
  </si>
  <si>
    <t xml:space="preserve">EUREKA    </t>
  </si>
  <si>
    <t xml:space="preserve">AGRO ALIAN     </t>
  </si>
  <si>
    <t xml:space="preserve">LOS HEREDE     </t>
  </si>
  <si>
    <t xml:space="preserve">MORRON    </t>
  </si>
  <si>
    <t xml:space="preserve">DON JAIME      </t>
  </si>
  <si>
    <t>PORTOBELLO</t>
  </si>
  <si>
    <t>CHAMPIG¥ON</t>
  </si>
  <si>
    <t xml:space="preserve">C/VERDE   </t>
  </si>
  <si>
    <t xml:space="preserve">RAMA      </t>
  </si>
  <si>
    <t xml:space="preserve">FINCA EL R     </t>
  </si>
  <si>
    <t xml:space="preserve">RAF       </t>
  </si>
  <si>
    <t xml:space="preserve">NEGRO     </t>
  </si>
  <si>
    <t xml:space="preserve">MANGO     </t>
  </si>
  <si>
    <t xml:space="preserve">TOMMY     </t>
  </si>
  <si>
    <t xml:space="preserve">SPECIAL FR     </t>
  </si>
  <si>
    <t xml:space="preserve">T.12      </t>
  </si>
  <si>
    <t xml:space="preserve">T.14      </t>
  </si>
  <si>
    <t xml:space="preserve">PITAHAYA  </t>
  </si>
  <si>
    <t xml:space="preserve">ROJA      </t>
  </si>
  <si>
    <t xml:space="preserve">CALDERON N     </t>
  </si>
  <si>
    <t>AUTUN CRIS</t>
  </si>
  <si>
    <t xml:space="preserve">PAPA      </t>
  </si>
  <si>
    <t xml:space="preserve">LAVADA    </t>
  </si>
  <si>
    <t xml:space="preserve">CIRUELA   </t>
  </si>
  <si>
    <t>PRIME TIME</t>
  </si>
  <si>
    <t xml:space="preserve">ESPA¥A    </t>
  </si>
  <si>
    <t xml:space="preserve">60-65     </t>
  </si>
  <si>
    <t xml:space="preserve">FRUTINA IM     </t>
  </si>
  <si>
    <t xml:space="preserve">REDONDO   </t>
  </si>
  <si>
    <t xml:space="preserve">A.ROCKY S.     </t>
  </si>
  <si>
    <t>COMUN ROJO</t>
  </si>
  <si>
    <t xml:space="preserve">INKA SELEC     </t>
  </si>
  <si>
    <t>RACIMO PER</t>
  </si>
  <si>
    <t>COMUN NEGR</t>
  </si>
  <si>
    <t xml:space="preserve">ROJO      </t>
  </si>
  <si>
    <t xml:space="preserve">ARANDANO  </t>
  </si>
  <si>
    <t>SNOWCHASER</t>
  </si>
  <si>
    <t xml:space="preserve">GRAMM AGRO     </t>
  </si>
  <si>
    <t xml:space="preserve">FRUTILLA  </t>
  </si>
  <si>
    <t xml:space="preserve">S.FE      </t>
  </si>
  <si>
    <t xml:space="preserve">CAMINO FER     </t>
  </si>
  <si>
    <t xml:space="preserve">SANDIA    </t>
  </si>
  <si>
    <t xml:space="preserve">BABY      </t>
  </si>
  <si>
    <t xml:space="preserve">POTIS SRL      </t>
  </si>
  <si>
    <t xml:space="preserve">C-AZUL    </t>
  </si>
  <si>
    <t xml:space="preserve">REPOLLITO </t>
  </si>
  <si>
    <t xml:space="preserve">BRUSELA   </t>
  </si>
  <si>
    <t xml:space="preserve">GUILLERMO      </t>
  </si>
  <si>
    <t>RACIMO RED</t>
  </si>
  <si>
    <t>NEGRO COMU</t>
  </si>
  <si>
    <t xml:space="preserve">VIOLETA   </t>
  </si>
  <si>
    <t>REDONDO RO</t>
  </si>
  <si>
    <t xml:space="preserve">Total AJI       </t>
  </si>
  <si>
    <t xml:space="preserve">Total ARANDANO  </t>
  </si>
  <si>
    <t xml:space="preserve">Total BANANA    </t>
  </si>
  <si>
    <t>Total CHAMPIG¥ON</t>
  </si>
  <si>
    <t xml:space="preserve">Total CHERRY    </t>
  </si>
  <si>
    <t xml:space="preserve">Total CIRUELA   </t>
  </si>
  <si>
    <t xml:space="preserve">Total COCO      </t>
  </si>
  <si>
    <t xml:space="preserve">Total ESPARRAGO </t>
  </si>
  <si>
    <t>Total FRASCO GRA</t>
  </si>
  <si>
    <t xml:space="preserve">Total FRUTILLA  </t>
  </si>
  <si>
    <t xml:space="preserve">Total JENGIBRE  </t>
  </si>
  <si>
    <t xml:space="preserve">Total KIWI      </t>
  </si>
  <si>
    <t xml:space="preserve">Total LIMA      </t>
  </si>
  <si>
    <t xml:space="preserve">Total LIMON     </t>
  </si>
  <si>
    <t xml:space="preserve">Total MAMON     </t>
  </si>
  <si>
    <t xml:space="preserve">Total MANGO     </t>
  </si>
  <si>
    <t xml:space="preserve">Total MANZANA   </t>
  </si>
  <si>
    <t xml:space="preserve">Total MELON     </t>
  </si>
  <si>
    <t xml:space="preserve">Total MORRON    </t>
  </si>
  <si>
    <t xml:space="preserve">Total NARANJA   </t>
  </si>
  <si>
    <t xml:space="preserve">Total PALTA     </t>
  </si>
  <si>
    <t>Total PALTA PILA</t>
  </si>
  <si>
    <t xml:space="preserve">Total PAPA      </t>
  </si>
  <si>
    <t xml:space="preserve">Total PAPIN     </t>
  </si>
  <si>
    <t>Total PARRILLERO</t>
  </si>
  <si>
    <t xml:space="preserve">Total PEPINO    </t>
  </si>
  <si>
    <t xml:space="preserve">Total PI¥A      </t>
  </si>
  <si>
    <t xml:space="preserve">Total PITAHAYA  </t>
  </si>
  <si>
    <t>Total PORTOBELLO</t>
  </si>
  <si>
    <t xml:space="preserve">Total REPOLLITO </t>
  </si>
  <si>
    <t xml:space="preserve">Total SANDIA   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</si>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</sst>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8"/>
  <sheetViews>
    <sheetView tabSelected="1" topLeftCell="J112" workbookViewId="0">
      <selection activeCell="S78" sqref="S78"/>
    </sheetView>
  </sheetViews>
  <sheetFormatPr baseColWidth="10" defaultRowHeight="11.25" outlineLevelRow="2" x14ac:dyDescent="0.2"/>
  <cols>
    <col min="1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</row>
    <row r="5" spans="1:16" outlineLevel="2" x14ac:dyDescent="0.2">
      <c r="A5" s="5">
        <v>46248</v>
      </c>
      <c r="B5" s="2">
        <v>161367</v>
      </c>
      <c r="C5" s="2">
        <v>300</v>
      </c>
      <c r="D5" s="2" t="s">
        <v>109</v>
      </c>
      <c r="E5" s="2" t="s">
        <v>51</v>
      </c>
      <c r="F5" s="2" t="s">
        <v>80</v>
      </c>
      <c r="G5" s="2" t="s">
        <v>22</v>
      </c>
      <c r="H5" s="2" t="s">
        <v>23</v>
      </c>
      <c r="I5" s="2" t="s">
        <v>23</v>
      </c>
      <c r="J5" s="2">
        <v>2</v>
      </c>
      <c r="K5" s="2" t="s">
        <v>29</v>
      </c>
      <c r="L5" s="2">
        <v>1320</v>
      </c>
      <c r="M5" s="2" t="s">
        <v>110</v>
      </c>
      <c r="N5" s="2">
        <v>3</v>
      </c>
      <c r="O5" s="2">
        <v>38274.42</v>
      </c>
      <c r="P5" s="2">
        <v>12758.14</v>
      </c>
    </row>
    <row r="6" spans="1:16" outlineLevel="1" x14ac:dyDescent="0.2">
      <c r="A6" s="5"/>
      <c r="D6" s="3" t="s">
        <v>180</v>
      </c>
      <c r="N6" s="2">
        <f>SUBTOTAL(9,N5:N5)</f>
        <v>3</v>
      </c>
      <c r="O6" s="2">
        <f>SUBTOTAL(9,O5:O5)</f>
        <v>38274.42</v>
      </c>
    </row>
    <row r="7" spans="1:16" outlineLevel="2" x14ac:dyDescent="0.2">
      <c r="A7" s="5">
        <v>46246</v>
      </c>
      <c r="B7" s="2">
        <v>161600</v>
      </c>
      <c r="C7" s="2">
        <v>1</v>
      </c>
      <c r="D7" s="2" t="s">
        <v>163</v>
      </c>
      <c r="E7" s="2" t="s">
        <v>164</v>
      </c>
      <c r="F7" s="2" t="s">
        <v>41</v>
      </c>
      <c r="G7" s="2" t="s">
        <v>22</v>
      </c>
      <c r="H7" s="2" t="s">
        <v>23</v>
      </c>
      <c r="I7" s="2" t="s">
        <v>23</v>
      </c>
      <c r="J7" s="2">
        <v>86</v>
      </c>
      <c r="K7" s="2" t="s">
        <v>85</v>
      </c>
      <c r="L7" s="2">
        <v>896</v>
      </c>
      <c r="M7" s="2" t="s">
        <v>165</v>
      </c>
      <c r="N7" s="2">
        <v>119</v>
      </c>
      <c r="O7" s="2">
        <v>1872612.09</v>
      </c>
      <c r="P7" s="2">
        <v>15736.24</v>
      </c>
    </row>
    <row r="8" spans="1:16" outlineLevel="1" x14ac:dyDescent="0.2">
      <c r="A8" s="5"/>
      <c r="D8" s="3" t="s">
        <v>181</v>
      </c>
      <c r="N8" s="2">
        <f>SUBTOTAL(9,N7:N7)</f>
        <v>119</v>
      </c>
      <c r="O8" s="2">
        <f>SUBTOTAL(9,O7:O7)</f>
        <v>1872612.09</v>
      </c>
    </row>
    <row r="9" spans="1:16" outlineLevel="2" x14ac:dyDescent="0.2">
      <c r="A9" s="5">
        <v>46241</v>
      </c>
      <c r="B9" s="2">
        <v>161403</v>
      </c>
      <c r="C9" s="2">
        <v>315</v>
      </c>
      <c r="D9" s="2" t="s">
        <v>58</v>
      </c>
      <c r="E9" s="2" t="s">
        <v>23</v>
      </c>
      <c r="F9" s="2" t="s">
        <v>59</v>
      </c>
      <c r="G9" s="2" t="s">
        <v>23</v>
      </c>
      <c r="H9" s="2" t="s">
        <v>23</v>
      </c>
      <c r="I9" s="2" t="s">
        <v>23</v>
      </c>
      <c r="J9" s="2">
        <v>1</v>
      </c>
      <c r="K9" s="2" t="s">
        <v>34</v>
      </c>
      <c r="L9" s="2">
        <v>1833</v>
      </c>
      <c r="M9" s="2" t="s">
        <v>60</v>
      </c>
      <c r="N9" s="2">
        <v>2</v>
      </c>
      <c r="O9" s="2">
        <v>27383.16</v>
      </c>
      <c r="P9" s="2">
        <v>13691.58</v>
      </c>
    </row>
    <row r="10" spans="1:16" outlineLevel="2" x14ac:dyDescent="0.2">
      <c r="A10" s="5">
        <v>46246</v>
      </c>
      <c r="B10" s="2">
        <v>161557</v>
      </c>
      <c r="C10" s="2">
        <v>1</v>
      </c>
      <c r="D10" s="2" t="s">
        <v>58</v>
      </c>
      <c r="E10" s="2" t="s">
        <v>23</v>
      </c>
      <c r="F10" s="2" t="s">
        <v>101</v>
      </c>
      <c r="G10" s="2" t="s">
        <v>22</v>
      </c>
      <c r="H10" s="2" t="s">
        <v>23</v>
      </c>
      <c r="I10" s="2" t="s">
        <v>23</v>
      </c>
      <c r="J10" s="2">
        <v>1</v>
      </c>
      <c r="K10" s="2" t="s">
        <v>34</v>
      </c>
      <c r="L10" s="2">
        <v>1503</v>
      </c>
      <c r="M10" s="2" t="s">
        <v>132</v>
      </c>
      <c r="N10" s="2">
        <v>2</v>
      </c>
      <c r="O10" s="2">
        <v>100191.4</v>
      </c>
      <c r="P10" s="2">
        <v>50095.7</v>
      </c>
    </row>
    <row r="11" spans="1:16" outlineLevel="2" x14ac:dyDescent="0.2">
      <c r="A11" s="5">
        <v>46248</v>
      </c>
      <c r="B11" s="2">
        <v>161626</v>
      </c>
      <c r="C11" s="2">
        <v>1</v>
      </c>
      <c r="D11" s="2" t="s">
        <v>58</v>
      </c>
      <c r="E11" s="2" t="s">
        <v>23</v>
      </c>
      <c r="F11" s="2" t="s">
        <v>101</v>
      </c>
      <c r="G11" s="2" t="s">
        <v>22</v>
      </c>
      <c r="H11" s="2" t="s">
        <v>23</v>
      </c>
      <c r="I11" s="2" t="s">
        <v>23</v>
      </c>
      <c r="J11" s="2">
        <v>1</v>
      </c>
      <c r="K11" s="2" t="s">
        <v>34</v>
      </c>
      <c r="L11" s="2">
        <v>1503</v>
      </c>
      <c r="M11" s="2" t="s">
        <v>132</v>
      </c>
      <c r="N11" s="2">
        <v>28</v>
      </c>
      <c r="O11" s="2">
        <v>1438770.32</v>
      </c>
      <c r="P11" s="2">
        <v>51384.65</v>
      </c>
    </row>
    <row r="12" spans="1:16" outlineLevel="2" x14ac:dyDescent="0.2">
      <c r="A12" s="5">
        <v>46225</v>
      </c>
      <c r="B12" s="2">
        <v>161001</v>
      </c>
      <c r="C12" s="2">
        <v>1</v>
      </c>
      <c r="D12" s="2" t="s">
        <v>58</v>
      </c>
      <c r="E12" s="2" t="s">
        <v>59</v>
      </c>
      <c r="F12" s="2" t="s">
        <v>23</v>
      </c>
      <c r="G12" s="2" t="s">
        <v>23</v>
      </c>
      <c r="H12" s="2" t="s">
        <v>23</v>
      </c>
      <c r="I12" s="2" t="s">
        <v>23</v>
      </c>
      <c r="J12" s="2">
        <v>1</v>
      </c>
      <c r="K12" s="2" t="s">
        <v>34</v>
      </c>
      <c r="L12" s="2">
        <v>1833</v>
      </c>
      <c r="M12" s="2" t="s">
        <v>60</v>
      </c>
      <c r="N12" s="2">
        <v>11</v>
      </c>
      <c r="O12" s="2">
        <v>74998.83</v>
      </c>
      <c r="P12" s="2">
        <v>6818.08</v>
      </c>
    </row>
    <row r="13" spans="1:16" outlineLevel="1" x14ac:dyDescent="0.2">
      <c r="A13" s="5"/>
      <c r="D13" s="3" t="s">
        <v>182</v>
      </c>
      <c r="N13" s="2">
        <f>SUBTOTAL(9,N9:N12)</f>
        <v>43</v>
      </c>
      <c r="O13" s="2">
        <f>SUBTOTAL(9,O9:O12)</f>
        <v>1641343.7100000002</v>
      </c>
    </row>
    <row r="14" spans="1:16" outlineLevel="2" x14ac:dyDescent="0.2">
      <c r="A14" s="5">
        <v>46246</v>
      </c>
      <c r="B14" s="2">
        <v>161558</v>
      </c>
      <c r="C14" s="2">
        <v>2</v>
      </c>
      <c r="D14" s="2" t="s">
        <v>134</v>
      </c>
      <c r="E14" s="2" t="s">
        <v>23</v>
      </c>
      <c r="F14" s="2" t="s">
        <v>80</v>
      </c>
      <c r="G14" s="2" t="s">
        <v>118</v>
      </c>
      <c r="H14" s="2" t="s">
        <v>23</v>
      </c>
      <c r="I14" s="2" t="s">
        <v>23</v>
      </c>
      <c r="J14" s="2">
        <v>1</v>
      </c>
      <c r="K14" s="2" t="s">
        <v>34</v>
      </c>
      <c r="L14" s="2">
        <v>25213</v>
      </c>
      <c r="M14" s="2" t="s">
        <v>120</v>
      </c>
      <c r="N14" s="2">
        <v>2</v>
      </c>
      <c r="O14" s="2">
        <v>130061.46</v>
      </c>
      <c r="P14" s="2">
        <v>65030.73</v>
      </c>
    </row>
    <row r="15" spans="1:16" outlineLevel="2" x14ac:dyDescent="0.2">
      <c r="A15" s="5">
        <v>46246</v>
      </c>
      <c r="B15" s="2">
        <v>161558</v>
      </c>
      <c r="C15" s="2">
        <v>4</v>
      </c>
      <c r="D15" s="2" t="s">
        <v>134</v>
      </c>
      <c r="E15" s="2" t="s">
        <v>23</v>
      </c>
      <c r="F15" s="2" t="s">
        <v>80</v>
      </c>
      <c r="G15" s="2" t="s">
        <v>22</v>
      </c>
      <c r="H15" s="2" t="s">
        <v>135</v>
      </c>
      <c r="I15" s="2" t="s">
        <v>23</v>
      </c>
      <c r="J15" s="2">
        <v>41</v>
      </c>
      <c r="K15" s="2" t="s">
        <v>39</v>
      </c>
      <c r="L15" s="2">
        <v>25213</v>
      </c>
      <c r="M15" s="2" t="s">
        <v>120</v>
      </c>
      <c r="N15" s="2">
        <v>4</v>
      </c>
      <c r="O15" s="2">
        <v>12108.18</v>
      </c>
      <c r="P15" s="2">
        <v>3027.05</v>
      </c>
    </row>
    <row r="16" spans="1:16" outlineLevel="2" x14ac:dyDescent="0.2">
      <c r="A16" s="5">
        <v>46248</v>
      </c>
      <c r="B16" s="2">
        <v>161627</v>
      </c>
      <c r="C16" s="2">
        <v>2</v>
      </c>
      <c r="D16" s="2" t="s">
        <v>134</v>
      </c>
      <c r="E16" s="2" t="s">
        <v>23</v>
      </c>
      <c r="F16" s="2" t="s">
        <v>80</v>
      </c>
      <c r="G16" s="2" t="s">
        <v>22</v>
      </c>
      <c r="H16" s="2" t="s">
        <v>135</v>
      </c>
      <c r="I16" s="2" t="s">
        <v>23</v>
      </c>
      <c r="J16" s="2">
        <v>41</v>
      </c>
      <c r="K16" s="2" t="s">
        <v>39</v>
      </c>
      <c r="L16" s="2">
        <v>25213</v>
      </c>
      <c r="M16" s="2" t="s">
        <v>120</v>
      </c>
      <c r="N16" s="2">
        <v>66</v>
      </c>
      <c r="O16" s="2">
        <v>206832.39</v>
      </c>
      <c r="P16" s="2">
        <v>3133.82</v>
      </c>
    </row>
    <row r="17" spans="1:16" outlineLevel="2" x14ac:dyDescent="0.2">
      <c r="A17" s="5">
        <v>46248</v>
      </c>
      <c r="B17" s="2">
        <v>161627</v>
      </c>
      <c r="C17" s="2">
        <v>3</v>
      </c>
      <c r="D17" s="2" t="s">
        <v>134</v>
      </c>
      <c r="E17" s="2" t="s">
        <v>23</v>
      </c>
      <c r="F17" s="2" t="s">
        <v>80</v>
      </c>
      <c r="G17" s="2" t="s">
        <v>22</v>
      </c>
      <c r="H17" s="2" t="s">
        <v>172</v>
      </c>
      <c r="I17" s="2" t="s">
        <v>23</v>
      </c>
      <c r="J17" s="2">
        <v>41</v>
      </c>
      <c r="K17" s="2" t="s">
        <v>39</v>
      </c>
      <c r="L17" s="2">
        <v>25213</v>
      </c>
      <c r="M17" s="2" t="s">
        <v>120</v>
      </c>
      <c r="N17" s="2">
        <v>73</v>
      </c>
      <c r="O17" s="2">
        <v>249933.75</v>
      </c>
      <c r="P17" s="2">
        <v>3423.75</v>
      </c>
    </row>
    <row r="18" spans="1:16" outlineLevel="2" x14ac:dyDescent="0.2">
      <c r="A18" s="5">
        <v>46248</v>
      </c>
      <c r="B18" s="2">
        <v>161627</v>
      </c>
      <c r="C18" s="2">
        <v>5</v>
      </c>
      <c r="D18" s="2" t="s">
        <v>134</v>
      </c>
      <c r="E18" s="2" t="s">
        <v>23</v>
      </c>
      <c r="F18" s="2" t="s">
        <v>80</v>
      </c>
      <c r="G18" s="2" t="s">
        <v>118</v>
      </c>
      <c r="H18" s="2" t="s">
        <v>23</v>
      </c>
      <c r="I18" s="2" t="s">
        <v>23</v>
      </c>
      <c r="J18" s="2">
        <v>1</v>
      </c>
      <c r="K18" s="2" t="s">
        <v>34</v>
      </c>
      <c r="L18" s="2">
        <v>25213</v>
      </c>
      <c r="M18" s="2" t="s">
        <v>120</v>
      </c>
      <c r="N18" s="2">
        <v>3</v>
      </c>
      <c r="O18" s="2">
        <v>195092.19</v>
      </c>
      <c r="P18" s="2">
        <v>65030.73</v>
      </c>
    </row>
    <row r="19" spans="1:16" outlineLevel="2" x14ac:dyDescent="0.2">
      <c r="A19" s="5">
        <v>46248</v>
      </c>
      <c r="B19" s="2">
        <v>161627</v>
      </c>
      <c r="C19" s="2">
        <v>6</v>
      </c>
      <c r="D19" s="2" t="s">
        <v>134</v>
      </c>
      <c r="E19" s="2" t="s">
        <v>23</v>
      </c>
      <c r="F19" s="2" t="s">
        <v>80</v>
      </c>
      <c r="G19" s="2" t="s">
        <v>22</v>
      </c>
      <c r="H19" s="2" t="s">
        <v>23</v>
      </c>
      <c r="I19" s="2" t="s">
        <v>23</v>
      </c>
      <c r="J19" s="2">
        <v>1</v>
      </c>
      <c r="K19" s="2" t="s">
        <v>34</v>
      </c>
      <c r="L19" s="2">
        <v>25213</v>
      </c>
      <c r="M19" s="2" t="s">
        <v>120</v>
      </c>
      <c r="N19" s="2">
        <v>7</v>
      </c>
      <c r="O19" s="2">
        <v>568463.78</v>
      </c>
      <c r="P19" s="2">
        <v>81209.11</v>
      </c>
    </row>
    <row r="20" spans="1:16" outlineLevel="1" x14ac:dyDescent="0.2">
      <c r="A20" s="5"/>
      <c r="D20" s="3" t="s">
        <v>183</v>
      </c>
      <c r="N20" s="2">
        <f>SUBTOTAL(9,N14:N19)</f>
        <v>155</v>
      </c>
      <c r="O20" s="2">
        <f>SUBTOTAL(9,O14:O19)</f>
        <v>1362491.75</v>
      </c>
    </row>
    <row r="21" spans="1:16" outlineLevel="2" x14ac:dyDescent="0.2">
      <c r="A21" s="5">
        <v>46232</v>
      </c>
      <c r="B21" s="2">
        <v>161248</v>
      </c>
      <c r="C21" s="2">
        <v>22</v>
      </c>
      <c r="D21" s="2" t="s">
        <v>90</v>
      </c>
      <c r="E21" s="2" t="s">
        <v>51</v>
      </c>
      <c r="F21" s="2" t="s">
        <v>88</v>
      </c>
      <c r="G21" s="2" t="s">
        <v>22</v>
      </c>
      <c r="H21" s="2" t="s">
        <v>23</v>
      </c>
      <c r="I21" s="2" t="s">
        <v>23</v>
      </c>
      <c r="J21" s="2">
        <v>41</v>
      </c>
      <c r="K21" s="2" t="s">
        <v>39</v>
      </c>
      <c r="L21" s="2">
        <v>801</v>
      </c>
      <c r="M21" s="2" t="s">
        <v>89</v>
      </c>
      <c r="N21" s="2">
        <v>4</v>
      </c>
      <c r="O21" s="2">
        <v>13695.02</v>
      </c>
      <c r="P21" s="2">
        <v>3423.76</v>
      </c>
    </row>
    <row r="22" spans="1:16" outlineLevel="2" x14ac:dyDescent="0.2">
      <c r="A22" s="5">
        <v>46248</v>
      </c>
      <c r="B22" s="2">
        <v>161728</v>
      </c>
      <c r="C22" s="2">
        <v>9</v>
      </c>
      <c r="D22" s="2" t="s">
        <v>90</v>
      </c>
      <c r="E22" s="2" t="s">
        <v>151</v>
      </c>
      <c r="F22" s="2" t="s">
        <v>88</v>
      </c>
      <c r="G22" s="2" t="s">
        <v>22</v>
      </c>
      <c r="H22" s="2" t="s">
        <v>23</v>
      </c>
      <c r="I22" s="2" t="s">
        <v>23</v>
      </c>
      <c r="J22" s="2">
        <v>41</v>
      </c>
      <c r="K22" s="2" t="s">
        <v>39</v>
      </c>
      <c r="L22" s="2">
        <v>801</v>
      </c>
      <c r="M22" s="2" t="s">
        <v>89</v>
      </c>
      <c r="N22" s="2">
        <v>22</v>
      </c>
      <c r="O22" s="2">
        <v>364375.09</v>
      </c>
      <c r="P22" s="2">
        <v>16562.5</v>
      </c>
    </row>
    <row r="23" spans="1:16" outlineLevel="2" x14ac:dyDescent="0.2">
      <c r="A23" s="5">
        <v>46244</v>
      </c>
      <c r="B23" s="2">
        <v>161594</v>
      </c>
      <c r="C23" s="2">
        <v>21</v>
      </c>
      <c r="D23" s="2" t="s">
        <v>90</v>
      </c>
      <c r="E23" s="2" t="s">
        <v>161</v>
      </c>
      <c r="F23" s="2" t="s">
        <v>88</v>
      </c>
      <c r="G23" s="2" t="s">
        <v>22</v>
      </c>
      <c r="H23" s="2" t="s">
        <v>23</v>
      </c>
      <c r="I23" s="2" t="s">
        <v>23</v>
      </c>
      <c r="J23" s="2">
        <v>41</v>
      </c>
      <c r="K23" s="2" t="s">
        <v>39</v>
      </c>
      <c r="L23" s="2">
        <v>106</v>
      </c>
      <c r="M23" s="2" t="s">
        <v>157</v>
      </c>
      <c r="N23" s="2">
        <v>6</v>
      </c>
      <c r="O23" s="2">
        <v>131621.79999999999</v>
      </c>
      <c r="P23" s="2">
        <v>21936.97</v>
      </c>
    </row>
    <row r="24" spans="1:16" outlineLevel="2" x14ac:dyDescent="0.2">
      <c r="A24" s="5">
        <v>46244</v>
      </c>
      <c r="B24" s="2">
        <v>161588</v>
      </c>
      <c r="C24" s="2">
        <v>6</v>
      </c>
      <c r="D24" s="2" t="s">
        <v>90</v>
      </c>
      <c r="E24" s="2" t="s">
        <v>158</v>
      </c>
      <c r="F24" s="2" t="s">
        <v>88</v>
      </c>
      <c r="G24" s="2" t="s">
        <v>22</v>
      </c>
      <c r="H24" s="2" t="s">
        <v>23</v>
      </c>
      <c r="I24" s="2" t="s">
        <v>23</v>
      </c>
      <c r="J24" s="2">
        <v>2</v>
      </c>
      <c r="K24" s="2" t="s">
        <v>29</v>
      </c>
      <c r="L24" s="2">
        <v>106</v>
      </c>
      <c r="M24" s="2" t="s">
        <v>157</v>
      </c>
      <c r="N24" s="2">
        <v>9</v>
      </c>
      <c r="O24" s="2">
        <v>140026.14000000001</v>
      </c>
      <c r="P24" s="2">
        <v>15558.46</v>
      </c>
    </row>
    <row r="25" spans="1:16" outlineLevel="2" x14ac:dyDescent="0.2">
      <c r="A25" s="5">
        <v>46246</v>
      </c>
      <c r="B25" s="2">
        <v>161679</v>
      </c>
      <c r="C25" s="2">
        <v>17</v>
      </c>
      <c r="D25" s="2" t="s">
        <v>90</v>
      </c>
      <c r="E25" s="2" t="s">
        <v>177</v>
      </c>
      <c r="F25" s="2" t="s">
        <v>88</v>
      </c>
      <c r="G25" s="2" t="s">
        <v>22</v>
      </c>
      <c r="H25" s="2" t="s">
        <v>23</v>
      </c>
      <c r="I25" s="2" t="s">
        <v>23</v>
      </c>
      <c r="J25" s="2">
        <v>41</v>
      </c>
      <c r="K25" s="2" t="s">
        <v>39</v>
      </c>
      <c r="L25" s="2">
        <v>801</v>
      </c>
      <c r="M25" s="2" t="s">
        <v>89</v>
      </c>
      <c r="N25" s="2">
        <v>9</v>
      </c>
      <c r="O25" s="2">
        <v>184831.25</v>
      </c>
      <c r="P25" s="2">
        <v>20536.810000000001</v>
      </c>
    </row>
    <row r="26" spans="1:16" outlineLevel="2" x14ac:dyDescent="0.2">
      <c r="A26" s="5">
        <v>46244</v>
      </c>
      <c r="B26" s="2">
        <v>161594</v>
      </c>
      <c r="C26" s="2">
        <v>15</v>
      </c>
      <c r="D26" s="2" t="s">
        <v>90</v>
      </c>
      <c r="E26" s="2" t="s">
        <v>160</v>
      </c>
      <c r="F26" s="2" t="s">
        <v>88</v>
      </c>
      <c r="G26" s="2" t="s">
        <v>22</v>
      </c>
      <c r="H26" s="2" t="s">
        <v>23</v>
      </c>
      <c r="I26" s="2" t="s">
        <v>23</v>
      </c>
      <c r="J26" s="2">
        <v>41</v>
      </c>
      <c r="K26" s="2" t="s">
        <v>39</v>
      </c>
      <c r="L26" s="2">
        <v>106</v>
      </c>
      <c r="M26" s="2" t="s">
        <v>157</v>
      </c>
      <c r="N26" s="2">
        <v>3</v>
      </c>
      <c r="O26" s="2">
        <v>58496.63</v>
      </c>
      <c r="P26" s="2">
        <v>19498.88</v>
      </c>
    </row>
    <row r="27" spans="1:16" outlineLevel="2" x14ac:dyDescent="0.2">
      <c r="A27" s="5">
        <v>46248</v>
      </c>
      <c r="B27" s="2">
        <v>161728</v>
      </c>
      <c r="C27" s="2">
        <v>10</v>
      </c>
      <c r="D27" s="2" t="s">
        <v>90</v>
      </c>
      <c r="E27" s="2" t="s">
        <v>160</v>
      </c>
      <c r="F27" s="2" t="s">
        <v>88</v>
      </c>
      <c r="G27" s="2" t="s">
        <v>22</v>
      </c>
      <c r="H27" s="2" t="s">
        <v>23</v>
      </c>
      <c r="I27" s="2" t="s">
        <v>23</v>
      </c>
      <c r="J27" s="2">
        <v>41</v>
      </c>
      <c r="K27" s="2" t="s">
        <v>39</v>
      </c>
      <c r="L27" s="2">
        <v>801</v>
      </c>
      <c r="M27" s="2" t="s">
        <v>89</v>
      </c>
      <c r="N27" s="2">
        <v>11</v>
      </c>
      <c r="O27" s="2">
        <v>207547.15</v>
      </c>
      <c r="P27" s="2">
        <v>18867.919999999998</v>
      </c>
    </row>
    <row r="28" spans="1:16" outlineLevel="2" x14ac:dyDescent="0.2">
      <c r="A28" s="5">
        <v>46246</v>
      </c>
      <c r="B28" s="2">
        <v>161679</v>
      </c>
      <c r="C28" s="2">
        <v>14</v>
      </c>
      <c r="D28" s="2" t="s">
        <v>90</v>
      </c>
      <c r="E28" s="2" t="s">
        <v>176</v>
      </c>
      <c r="F28" s="2" t="s">
        <v>88</v>
      </c>
      <c r="G28" s="2" t="s">
        <v>22</v>
      </c>
      <c r="H28" s="2" t="s">
        <v>23</v>
      </c>
      <c r="I28" s="2" t="s">
        <v>23</v>
      </c>
      <c r="J28" s="2">
        <v>41</v>
      </c>
      <c r="K28" s="2" t="s">
        <v>39</v>
      </c>
      <c r="L28" s="2">
        <v>801</v>
      </c>
      <c r="M28" s="2" t="s">
        <v>89</v>
      </c>
      <c r="N28" s="2">
        <v>5</v>
      </c>
      <c r="O28" s="2">
        <v>124464.25</v>
      </c>
      <c r="P28" s="2">
        <v>24892.85</v>
      </c>
    </row>
    <row r="29" spans="1:16" outlineLevel="2" x14ac:dyDescent="0.2">
      <c r="A29" s="5">
        <v>46241</v>
      </c>
      <c r="B29" s="2">
        <v>161568</v>
      </c>
      <c r="C29" s="2">
        <v>18</v>
      </c>
      <c r="D29" s="2" t="s">
        <v>90</v>
      </c>
      <c r="E29" s="2" t="s">
        <v>87</v>
      </c>
      <c r="F29" s="2" t="s">
        <v>88</v>
      </c>
      <c r="G29" s="2" t="s">
        <v>22</v>
      </c>
      <c r="H29" s="2" t="s">
        <v>23</v>
      </c>
      <c r="I29" s="2" t="s">
        <v>23</v>
      </c>
      <c r="J29" s="2">
        <v>41</v>
      </c>
      <c r="K29" s="2" t="s">
        <v>39</v>
      </c>
      <c r="L29" s="2">
        <v>25088</v>
      </c>
      <c r="M29" s="2" t="s">
        <v>137</v>
      </c>
      <c r="N29" s="2">
        <v>18</v>
      </c>
      <c r="O29" s="2">
        <v>434689.84</v>
      </c>
      <c r="P29" s="2">
        <v>24149.439999999999</v>
      </c>
    </row>
    <row r="30" spans="1:16" outlineLevel="2" x14ac:dyDescent="0.2">
      <c r="A30" s="5">
        <v>46248</v>
      </c>
      <c r="B30" s="2">
        <v>161728</v>
      </c>
      <c r="C30" s="2">
        <v>14</v>
      </c>
      <c r="D30" s="2" t="s">
        <v>90</v>
      </c>
      <c r="E30" s="2" t="s">
        <v>179</v>
      </c>
      <c r="F30" s="2" t="s">
        <v>88</v>
      </c>
      <c r="G30" s="2" t="s">
        <v>22</v>
      </c>
      <c r="H30" s="2" t="s">
        <v>23</v>
      </c>
      <c r="I30" s="2" t="s">
        <v>23</v>
      </c>
      <c r="J30" s="2">
        <v>41</v>
      </c>
      <c r="K30" s="2" t="s">
        <v>39</v>
      </c>
      <c r="L30" s="2">
        <v>801</v>
      </c>
      <c r="M30" s="2" t="s">
        <v>89</v>
      </c>
      <c r="N30" s="2">
        <v>11</v>
      </c>
      <c r="O30" s="2">
        <v>187011.55</v>
      </c>
      <c r="P30" s="2">
        <v>17001.05</v>
      </c>
    </row>
    <row r="31" spans="1:16" outlineLevel="1" x14ac:dyDescent="0.2">
      <c r="A31" s="5"/>
      <c r="D31" s="3" t="s">
        <v>184</v>
      </c>
      <c r="N31" s="2">
        <f>SUBTOTAL(9,N21:N30)</f>
        <v>98</v>
      </c>
      <c r="O31" s="2">
        <f>SUBTOTAL(9,O21:O30)</f>
        <v>1846758.7200000002</v>
      </c>
    </row>
    <row r="32" spans="1:16" outlineLevel="2" x14ac:dyDescent="0.2">
      <c r="A32" s="5">
        <v>46244</v>
      </c>
      <c r="B32" s="2">
        <v>161585</v>
      </c>
      <c r="C32" s="2">
        <v>7</v>
      </c>
      <c r="D32" s="2" t="s">
        <v>151</v>
      </c>
      <c r="E32" s="2" t="s">
        <v>152</v>
      </c>
      <c r="F32" s="2" t="s">
        <v>153</v>
      </c>
      <c r="G32" s="2" t="s">
        <v>22</v>
      </c>
      <c r="H32" s="2" t="s">
        <v>23</v>
      </c>
      <c r="I32" s="2" t="s">
        <v>154</v>
      </c>
      <c r="J32" s="2">
        <v>1</v>
      </c>
      <c r="K32" s="2" t="s">
        <v>34</v>
      </c>
      <c r="L32" s="2">
        <v>25249</v>
      </c>
      <c r="M32" s="2" t="s">
        <v>155</v>
      </c>
      <c r="N32" s="2">
        <v>36</v>
      </c>
      <c r="O32" s="2">
        <v>2028713.88</v>
      </c>
      <c r="P32" s="2">
        <v>56353.16</v>
      </c>
    </row>
    <row r="33" spans="1:16" outlineLevel="1" x14ac:dyDescent="0.2">
      <c r="A33" s="5"/>
      <c r="D33" s="3" t="s">
        <v>185</v>
      </c>
      <c r="N33" s="2">
        <f>SUBTOTAL(9,N32:N32)</f>
        <v>36</v>
      </c>
      <c r="O33" s="2">
        <f>SUBTOTAL(9,O32:O32)</f>
        <v>2028713.88</v>
      </c>
    </row>
    <row r="34" spans="1:16" outlineLevel="2" x14ac:dyDescent="0.2">
      <c r="A34" s="5">
        <v>46237</v>
      </c>
      <c r="B34" s="2">
        <v>161052</v>
      </c>
      <c r="C34" s="2">
        <v>1</v>
      </c>
      <c r="D34" s="2" t="s">
        <v>67</v>
      </c>
      <c r="E34" s="2" t="s">
        <v>68</v>
      </c>
      <c r="F34" s="2" t="s">
        <v>38</v>
      </c>
      <c r="G34" s="2" t="s">
        <v>22</v>
      </c>
      <c r="H34" s="2" t="s">
        <v>23</v>
      </c>
      <c r="I34" s="2" t="s">
        <v>23</v>
      </c>
      <c r="J34" s="2">
        <v>5</v>
      </c>
      <c r="K34" s="2" t="s">
        <v>69</v>
      </c>
      <c r="L34" s="2">
        <v>2521</v>
      </c>
      <c r="M34" s="2" t="s">
        <v>62</v>
      </c>
      <c r="N34" s="2">
        <v>9</v>
      </c>
      <c r="O34" s="2">
        <v>203500.06</v>
      </c>
      <c r="P34" s="2">
        <v>22611.119999999999</v>
      </c>
    </row>
    <row r="35" spans="1:16" outlineLevel="1" x14ac:dyDescent="0.2">
      <c r="A35" s="5"/>
      <c r="D35" s="3" t="s">
        <v>186</v>
      </c>
      <c r="N35" s="2">
        <f>SUBTOTAL(9,N34:N34)</f>
        <v>9</v>
      </c>
      <c r="O35" s="2">
        <f>SUBTOTAL(9,O34:O34)</f>
        <v>203500.06</v>
      </c>
    </row>
    <row r="36" spans="1:16" outlineLevel="2" x14ac:dyDescent="0.2">
      <c r="A36" s="5">
        <v>46230</v>
      </c>
      <c r="B36" s="2">
        <v>161207</v>
      </c>
      <c r="C36" s="2">
        <v>200</v>
      </c>
      <c r="D36" s="2" t="s">
        <v>20</v>
      </c>
      <c r="E36" s="2" t="s">
        <v>82</v>
      </c>
      <c r="F36" s="2" t="s">
        <v>23</v>
      </c>
      <c r="G36" s="2" t="s">
        <v>22</v>
      </c>
      <c r="H36" s="2" t="s">
        <v>23</v>
      </c>
      <c r="I36" s="2" t="s">
        <v>23</v>
      </c>
      <c r="J36" s="2">
        <v>39</v>
      </c>
      <c r="K36" s="2" t="s">
        <v>83</v>
      </c>
      <c r="L36" s="2">
        <v>25205</v>
      </c>
      <c r="M36" s="2" t="s">
        <v>84</v>
      </c>
      <c r="N36" s="2">
        <v>19</v>
      </c>
      <c r="O36" s="2">
        <v>35181.360000000001</v>
      </c>
      <c r="P36" s="2">
        <v>1851.65</v>
      </c>
    </row>
    <row r="37" spans="1:16" outlineLevel="2" x14ac:dyDescent="0.2">
      <c r="A37" s="5">
        <v>46244</v>
      </c>
      <c r="B37" s="2">
        <v>161326</v>
      </c>
      <c r="C37" s="2">
        <v>2</v>
      </c>
      <c r="D37" s="2" t="s">
        <v>20</v>
      </c>
      <c r="E37" s="2" t="s">
        <v>98</v>
      </c>
      <c r="F37" s="2" t="s">
        <v>99</v>
      </c>
      <c r="G37" s="2" t="s">
        <v>22</v>
      </c>
      <c r="H37" s="2" t="s">
        <v>23</v>
      </c>
      <c r="I37" s="2" t="s">
        <v>23</v>
      </c>
      <c r="J37" s="2">
        <v>1</v>
      </c>
      <c r="K37" s="2" t="s">
        <v>34</v>
      </c>
      <c r="L37" s="2">
        <v>25205</v>
      </c>
      <c r="M37" s="2" t="s">
        <v>84</v>
      </c>
      <c r="N37" s="2">
        <v>1</v>
      </c>
      <c r="O37" s="2">
        <v>65030.73</v>
      </c>
      <c r="P37" s="2">
        <v>65030.73</v>
      </c>
    </row>
    <row r="38" spans="1:16" outlineLevel="2" x14ac:dyDescent="0.2">
      <c r="A38" s="5">
        <v>46240</v>
      </c>
      <c r="B38" s="2">
        <v>161455</v>
      </c>
      <c r="C38" s="2">
        <v>1</v>
      </c>
      <c r="D38" s="2" t="s">
        <v>20</v>
      </c>
      <c r="E38" s="2" t="s">
        <v>98</v>
      </c>
      <c r="F38" s="2" t="s">
        <v>21</v>
      </c>
      <c r="G38" s="2" t="s">
        <v>22</v>
      </c>
      <c r="H38" s="2" t="s">
        <v>23</v>
      </c>
      <c r="I38" s="2" t="s">
        <v>23</v>
      </c>
      <c r="J38" s="2">
        <v>1</v>
      </c>
      <c r="K38" s="2" t="s">
        <v>34</v>
      </c>
      <c r="L38" s="2">
        <v>1829</v>
      </c>
      <c r="M38" s="2" t="s">
        <v>25</v>
      </c>
      <c r="N38" s="2">
        <v>49</v>
      </c>
      <c r="O38" s="2">
        <v>2168123.4</v>
      </c>
      <c r="P38" s="2">
        <v>44247.42</v>
      </c>
    </row>
    <row r="39" spans="1:16" outlineLevel="2" x14ac:dyDescent="0.2">
      <c r="A39" s="5">
        <v>46246</v>
      </c>
      <c r="B39" s="2">
        <v>161563</v>
      </c>
      <c r="C39" s="2">
        <v>1</v>
      </c>
      <c r="D39" s="2" t="s">
        <v>20</v>
      </c>
      <c r="E39" s="2" t="s">
        <v>98</v>
      </c>
      <c r="F39" s="2" t="s">
        <v>99</v>
      </c>
      <c r="G39" s="2" t="s">
        <v>22</v>
      </c>
      <c r="H39" s="2" t="s">
        <v>23</v>
      </c>
      <c r="I39" s="2" t="s">
        <v>23</v>
      </c>
      <c r="J39" s="2">
        <v>1</v>
      </c>
      <c r="K39" s="2" t="s">
        <v>34</v>
      </c>
      <c r="L39" s="2">
        <v>25205</v>
      </c>
      <c r="M39" s="2" t="s">
        <v>84</v>
      </c>
      <c r="N39" s="2">
        <v>21</v>
      </c>
      <c r="O39" s="2">
        <v>1348663.33</v>
      </c>
      <c r="P39" s="2">
        <v>64222.06</v>
      </c>
    </row>
    <row r="40" spans="1:16" outlineLevel="1" x14ac:dyDescent="0.2">
      <c r="A40" s="5"/>
      <c r="D40" s="3" t="s">
        <v>187</v>
      </c>
      <c r="N40" s="2">
        <f>SUBTOTAL(9,N36:N39)</f>
        <v>90</v>
      </c>
      <c r="O40" s="2">
        <f>SUBTOTAL(9,O36:O39)</f>
        <v>3616998.82</v>
      </c>
    </row>
    <row r="41" spans="1:16" outlineLevel="2" x14ac:dyDescent="0.2">
      <c r="A41" s="5">
        <v>46127</v>
      </c>
      <c r="B41" s="2">
        <v>158600</v>
      </c>
      <c r="C41" s="2">
        <v>1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23</v>
      </c>
      <c r="J41" s="2">
        <v>130</v>
      </c>
      <c r="K41" s="2" t="s">
        <v>24</v>
      </c>
      <c r="L41" s="2">
        <v>1829</v>
      </c>
      <c r="M41" s="2" t="s">
        <v>25</v>
      </c>
      <c r="N41" s="2">
        <v>4</v>
      </c>
      <c r="O41" s="2">
        <v>28630.04</v>
      </c>
      <c r="P41" s="2">
        <v>7157.51</v>
      </c>
    </row>
    <row r="42" spans="1:16" outlineLevel="1" x14ac:dyDescent="0.2">
      <c r="A42" s="5"/>
      <c r="D42" s="3" t="s">
        <v>188</v>
      </c>
      <c r="N42" s="2">
        <f>SUBTOTAL(9,N41:N41)</f>
        <v>4</v>
      </c>
      <c r="O42" s="2">
        <f>SUBTOTAL(9,O41:O41)</f>
        <v>28630.04</v>
      </c>
    </row>
    <row r="43" spans="1:16" outlineLevel="2" x14ac:dyDescent="0.2">
      <c r="A43" s="5">
        <v>46248</v>
      </c>
      <c r="B43" s="2">
        <v>161618</v>
      </c>
      <c r="C43" s="2">
        <v>1</v>
      </c>
      <c r="D43" s="2" t="s">
        <v>166</v>
      </c>
      <c r="E43" s="2" t="s">
        <v>23</v>
      </c>
      <c r="F43" s="2" t="s">
        <v>167</v>
      </c>
      <c r="G43" s="2" t="s">
        <v>22</v>
      </c>
      <c r="H43" s="2" t="s">
        <v>23</v>
      </c>
      <c r="I43" s="2" t="s">
        <v>23</v>
      </c>
      <c r="J43" s="2">
        <v>1</v>
      </c>
      <c r="K43" s="2" t="s">
        <v>34</v>
      </c>
      <c r="L43" s="2">
        <v>25190</v>
      </c>
      <c r="M43" s="2" t="s">
        <v>168</v>
      </c>
      <c r="N43" s="2">
        <v>21</v>
      </c>
      <c r="O43" s="2">
        <v>630095.35</v>
      </c>
      <c r="P43" s="2">
        <v>30004.54</v>
      </c>
    </row>
    <row r="44" spans="1:16" outlineLevel="1" x14ac:dyDescent="0.2">
      <c r="A44" s="5"/>
      <c r="D44" s="3" t="s">
        <v>189</v>
      </c>
      <c r="N44" s="2">
        <f>SUBTOTAL(9,N43:N43)</f>
        <v>21</v>
      </c>
      <c r="O44" s="2">
        <f>SUBTOTAL(9,O43:O43)</f>
        <v>630095.35</v>
      </c>
    </row>
    <row r="45" spans="1:16" outlineLevel="2" x14ac:dyDescent="0.2">
      <c r="A45" s="5">
        <v>46237</v>
      </c>
      <c r="B45" s="2">
        <v>161007</v>
      </c>
      <c r="C45" s="2">
        <v>1</v>
      </c>
      <c r="D45" s="2" t="s">
        <v>61</v>
      </c>
      <c r="E45" s="2" t="s">
        <v>23</v>
      </c>
      <c r="F45" s="2" t="s">
        <v>38</v>
      </c>
      <c r="G45" s="2" t="s">
        <v>22</v>
      </c>
      <c r="H45" s="2" t="s">
        <v>23</v>
      </c>
      <c r="I45" s="2" t="s">
        <v>23</v>
      </c>
      <c r="J45" s="2">
        <v>1</v>
      </c>
      <c r="K45" s="2" t="s">
        <v>34</v>
      </c>
      <c r="L45" s="2">
        <v>2521</v>
      </c>
      <c r="M45" s="2" t="s">
        <v>62</v>
      </c>
      <c r="N45" s="2">
        <v>29</v>
      </c>
      <c r="O45" s="2">
        <v>914066.46</v>
      </c>
      <c r="P45" s="2">
        <v>31519.53</v>
      </c>
    </row>
    <row r="46" spans="1:16" outlineLevel="1" x14ac:dyDescent="0.2">
      <c r="A46" s="5"/>
      <c r="D46" s="3" t="s">
        <v>190</v>
      </c>
      <c r="N46" s="2">
        <f>SUBTOTAL(9,N45:N45)</f>
        <v>29</v>
      </c>
      <c r="O46" s="2">
        <f>SUBTOTAL(9,O45:O45)</f>
        <v>914066.46</v>
      </c>
    </row>
    <row r="47" spans="1:16" outlineLevel="2" x14ac:dyDescent="0.2">
      <c r="A47" s="5">
        <v>46230</v>
      </c>
      <c r="B47" s="2">
        <v>161125</v>
      </c>
      <c r="C47" s="2">
        <v>1</v>
      </c>
      <c r="D47" s="2" t="s">
        <v>71</v>
      </c>
      <c r="E47" s="2" t="s">
        <v>72</v>
      </c>
      <c r="F47" s="2" t="s">
        <v>73</v>
      </c>
      <c r="G47" s="2" t="s">
        <v>22</v>
      </c>
      <c r="H47" s="2" t="s">
        <v>23</v>
      </c>
      <c r="I47" s="2" t="s">
        <v>74</v>
      </c>
      <c r="J47" s="2">
        <v>1</v>
      </c>
      <c r="K47" s="2" t="s">
        <v>34</v>
      </c>
      <c r="L47" s="2">
        <v>2535</v>
      </c>
      <c r="M47" s="2" t="s">
        <v>75</v>
      </c>
      <c r="N47" s="2">
        <v>127</v>
      </c>
      <c r="O47" s="2">
        <v>6004629.4100000001</v>
      </c>
      <c r="P47" s="2">
        <v>47280.55</v>
      </c>
    </row>
    <row r="48" spans="1:16" outlineLevel="2" x14ac:dyDescent="0.2">
      <c r="A48" s="5">
        <v>46246</v>
      </c>
      <c r="B48" s="2">
        <v>161125</v>
      </c>
      <c r="C48" s="2">
        <v>4</v>
      </c>
      <c r="D48" s="2" t="s">
        <v>71</v>
      </c>
      <c r="E48" s="2" t="s">
        <v>72</v>
      </c>
      <c r="F48" s="2" t="s">
        <v>73</v>
      </c>
      <c r="G48" s="2" t="s">
        <v>22</v>
      </c>
      <c r="H48" s="2" t="s">
        <v>23</v>
      </c>
      <c r="I48" s="2" t="s">
        <v>76</v>
      </c>
      <c r="J48" s="2">
        <v>1</v>
      </c>
      <c r="K48" s="2" t="s">
        <v>34</v>
      </c>
      <c r="L48" s="2">
        <v>2535</v>
      </c>
      <c r="M48" s="2" t="s">
        <v>75</v>
      </c>
      <c r="N48" s="2">
        <v>33</v>
      </c>
      <c r="O48" s="2">
        <v>1497273.68</v>
      </c>
      <c r="P48" s="2">
        <v>45371.93</v>
      </c>
    </row>
    <row r="49" spans="1:16" outlineLevel="1" x14ac:dyDescent="0.2">
      <c r="A49" s="5"/>
      <c r="D49" s="3" t="s">
        <v>191</v>
      </c>
      <c r="N49" s="2">
        <f>SUBTOTAL(9,N47:N48)</f>
        <v>160</v>
      </c>
      <c r="O49" s="2">
        <f>SUBTOTAL(9,O47:O48)</f>
        <v>7501903.0899999999</v>
      </c>
    </row>
    <row r="50" spans="1:16" outlineLevel="2" x14ac:dyDescent="0.2">
      <c r="A50" s="5">
        <v>46246</v>
      </c>
      <c r="B50" s="2">
        <v>161138</v>
      </c>
      <c r="C50" s="2">
        <v>1</v>
      </c>
      <c r="D50" s="2" t="s">
        <v>77</v>
      </c>
      <c r="E50" s="2" t="s">
        <v>78</v>
      </c>
      <c r="F50" s="2" t="s">
        <v>38</v>
      </c>
      <c r="G50" s="2" t="s">
        <v>22</v>
      </c>
      <c r="H50" s="2" t="s">
        <v>23</v>
      </c>
      <c r="I50" s="2" t="s">
        <v>23</v>
      </c>
      <c r="J50" s="2">
        <v>1</v>
      </c>
      <c r="K50" s="2" t="s">
        <v>34</v>
      </c>
      <c r="L50" s="2">
        <v>2521</v>
      </c>
      <c r="M50" s="2" t="s">
        <v>62</v>
      </c>
      <c r="N50" s="2">
        <v>27</v>
      </c>
      <c r="O50" s="2">
        <v>490274.38</v>
      </c>
      <c r="P50" s="2">
        <v>18158.310000000001</v>
      </c>
    </row>
    <row r="51" spans="1:16" outlineLevel="1" x14ac:dyDescent="0.2">
      <c r="A51" s="5"/>
      <c r="D51" s="3" t="s">
        <v>192</v>
      </c>
      <c r="N51" s="2">
        <f>SUBTOTAL(9,N50:N50)</f>
        <v>27</v>
      </c>
      <c r="O51" s="2">
        <f>SUBTOTAL(9,O50:O50)</f>
        <v>490274.38</v>
      </c>
    </row>
    <row r="52" spans="1:16" outlineLevel="2" x14ac:dyDescent="0.2">
      <c r="A52" s="5">
        <v>46246</v>
      </c>
      <c r="B52" s="2">
        <v>161522</v>
      </c>
      <c r="C52" s="2">
        <v>1</v>
      </c>
      <c r="D52" s="2" t="s">
        <v>127</v>
      </c>
      <c r="E52" s="2" t="s">
        <v>128</v>
      </c>
      <c r="F52" s="2" t="s">
        <v>123</v>
      </c>
      <c r="G52" s="2" t="s">
        <v>22</v>
      </c>
      <c r="H52" s="2" t="s">
        <v>23</v>
      </c>
      <c r="I52" s="2" t="s">
        <v>23</v>
      </c>
      <c r="J52" s="2">
        <v>1</v>
      </c>
      <c r="K52" s="2" t="s">
        <v>34</v>
      </c>
      <c r="L52" s="2">
        <v>2602</v>
      </c>
      <c r="M52" s="2" t="s">
        <v>129</v>
      </c>
      <c r="N52" s="2">
        <v>15</v>
      </c>
      <c r="O52" s="2">
        <v>107392.41</v>
      </c>
      <c r="P52" s="2">
        <v>7159.49</v>
      </c>
    </row>
    <row r="53" spans="1:16" outlineLevel="1" x14ac:dyDescent="0.2">
      <c r="A53" s="5"/>
      <c r="D53" s="3" t="s">
        <v>193</v>
      </c>
      <c r="N53" s="2">
        <f>SUBTOTAL(9,N52:N52)</f>
        <v>15</v>
      </c>
      <c r="O53" s="2">
        <f>SUBTOTAL(9,O52:O52)</f>
        <v>107392.41</v>
      </c>
    </row>
    <row r="54" spans="1:16" outlineLevel="2" x14ac:dyDescent="0.2">
      <c r="A54" s="5">
        <v>46237</v>
      </c>
      <c r="B54" s="2">
        <v>161333</v>
      </c>
      <c r="C54" s="2">
        <v>1</v>
      </c>
      <c r="D54" s="2" t="s">
        <v>107</v>
      </c>
      <c r="E54" s="2" t="s">
        <v>108</v>
      </c>
      <c r="F54" s="2" t="s">
        <v>38</v>
      </c>
      <c r="G54" s="2" t="s">
        <v>22</v>
      </c>
      <c r="H54" s="2" t="s">
        <v>23</v>
      </c>
      <c r="I54" s="2" t="s">
        <v>23</v>
      </c>
      <c r="J54" s="2">
        <v>1</v>
      </c>
      <c r="K54" s="2" t="s">
        <v>34</v>
      </c>
      <c r="L54" s="2">
        <v>2521</v>
      </c>
      <c r="M54" s="2" t="s">
        <v>62</v>
      </c>
      <c r="N54" s="2">
        <v>2</v>
      </c>
      <c r="O54" s="2">
        <v>18048.78</v>
      </c>
      <c r="P54" s="2">
        <v>9024.39</v>
      </c>
    </row>
    <row r="55" spans="1:16" outlineLevel="1" x14ac:dyDescent="0.2">
      <c r="A55" s="5"/>
      <c r="D55" s="3" t="s">
        <v>194</v>
      </c>
      <c r="N55" s="2">
        <f>SUBTOTAL(9,N54:N54)</f>
        <v>2</v>
      </c>
      <c r="O55" s="2">
        <f>SUBTOTAL(9,O54:O54)</f>
        <v>18048.78</v>
      </c>
    </row>
    <row r="56" spans="1:16" outlineLevel="2" x14ac:dyDescent="0.2">
      <c r="A56" s="5">
        <v>46244</v>
      </c>
      <c r="B56" s="2">
        <v>161570</v>
      </c>
      <c r="C56" s="2">
        <v>1</v>
      </c>
      <c r="D56" s="2" t="s">
        <v>140</v>
      </c>
      <c r="E56" s="2" t="s">
        <v>141</v>
      </c>
      <c r="F56" s="2" t="s">
        <v>38</v>
      </c>
      <c r="G56" s="2" t="s">
        <v>22</v>
      </c>
      <c r="H56" s="2" t="s">
        <v>23</v>
      </c>
      <c r="I56" s="2" t="s">
        <v>53</v>
      </c>
      <c r="J56" s="2">
        <v>1</v>
      </c>
      <c r="K56" s="2" t="s">
        <v>34</v>
      </c>
      <c r="L56" s="2">
        <v>331</v>
      </c>
      <c r="M56" s="2" t="s">
        <v>142</v>
      </c>
      <c r="N56" s="2">
        <v>3</v>
      </c>
      <c r="O56" s="2">
        <v>41074.74</v>
      </c>
      <c r="P56" s="2">
        <v>13691.58</v>
      </c>
    </row>
    <row r="57" spans="1:16" outlineLevel="2" x14ac:dyDescent="0.2">
      <c r="A57" s="5">
        <v>46244</v>
      </c>
      <c r="B57" s="2">
        <v>161570</v>
      </c>
      <c r="C57" s="2">
        <v>3</v>
      </c>
      <c r="D57" s="2" t="s">
        <v>140</v>
      </c>
      <c r="E57" s="2" t="s">
        <v>141</v>
      </c>
      <c r="F57" s="2" t="s">
        <v>38</v>
      </c>
      <c r="G57" s="2" t="s">
        <v>22</v>
      </c>
      <c r="H57" s="2" t="s">
        <v>23</v>
      </c>
      <c r="I57" s="2" t="s">
        <v>143</v>
      </c>
      <c r="J57" s="2">
        <v>1</v>
      </c>
      <c r="K57" s="2" t="s">
        <v>34</v>
      </c>
      <c r="L57" s="2">
        <v>331</v>
      </c>
      <c r="M57" s="2" t="s">
        <v>142</v>
      </c>
      <c r="N57" s="2">
        <v>50</v>
      </c>
      <c r="O57" s="2">
        <v>647492.16</v>
      </c>
      <c r="P57" s="2">
        <v>12949.84</v>
      </c>
    </row>
    <row r="58" spans="1:16" outlineLevel="2" x14ac:dyDescent="0.2">
      <c r="A58" s="5">
        <v>46248</v>
      </c>
      <c r="B58" s="2">
        <v>161570</v>
      </c>
      <c r="C58" s="2">
        <v>4</v>
      </c>
      <c r="D58" s="2" t="s">
        <v>140</v>
      </c>
      <c r="E58" s="2" t="s">
        <v>141</v>
      </c>
      <c r="F58" s="2" t="s">
        <v>38</v>
      </c>
      <c r="G58" s="2" t="s">
        <v>22</v>
      </c>
      <c r="H58" s="2" t="s">
        <v>23</v>
      </c>
      <c r="I58" s="2" t="s">
        <v>144</v>
      </c>
      <c r="J58" s="2">
        <v>1</v>
      </c>
      <c r="K58" s="2" t="s">
        <v>34</v>
      </c>
      <c r="L58" s="2">
        <v>331</v>
      </c>
      <c r="M58" s="2" t="s">
        <v>142</v>
      </c>
      <c r="N58" s="2">
        <v>30</v>
      </c>
      <c r="O58" s="2">
        <v>392388.6</v>
      </c>
      <c r="P58" s="2">
        <v>13079.62</v>
      </c>
    </row>
    <row r="59" spans="1:16" outlineLevel="1" x14ac:dyDescent="0.2">
      <c r="A59" s="5"/>
      <c r="D59" s="3" t="s">
        <v>195</v>
      </c>
      <c r="N59" s="2">
        <f>SUBTOTAL(9,N56:N58)</f>
        <v>83</v>
      </c>
      <c r="O59" s="2">
        <f>SUBTOTAL(9,O56:O58)</f>
        <v>1080955.5</v>
      </c>
    </row>
    <row r="60" spans="1:16" outlineLevel="2" x14ac:dyDescent="0.2">
      <c r="A60" s="5">
        <v>46176</v>
      </c>
      <c r="B60" s="2">
        <v>159508</v>
      </c>
      <c r="C60" s="2">
        <v>4</v>
      </c>
      <c r="D60" s="2" t="s">
        <v>31</v>
      </c>
      <c r="E60" s="2" t="s">
        <v>32</v>
      </c>
      <c r="F60" s="2" t="s">
        <v>33</v>
      </c>
      <c r="G60" s="2" t="s">
        <v>22</v>
      </c>
      <c r="H60" s="2" t="s">
        <v>23</v>
      </c>
      <c r="I60" s="2" t="s">
        <v>23</v>
      </c>
      <c r="J60" s="2">
        <v>1</v>
      </c>
      <c r="K60" s="2" t="s">
        <v>34</v>
      </c>
      <c r="L60" s="2">
        <v>226</v>
      </c>
      <c r="M60" s="2" t="s">
        <v>35</v>
      </c>
      <c r="N60" s="2">
        <v>2</v>
      </c>
      <c r="O60" s="2">
        <v>36717.54</v>
      </c>
      <c r="P60" s="2">
        <v>18358.77</v>
      </c>
    </row>
    <row r="61" spans="1:16" outlineLevel="2" x14ac:dyDescent="0.2">
      <c r="A61" s="5">
        <v>46246</v>
      </c>
      <c r="B61" s="2">
        <v>160912</v>
      </c>
      <c r="C61" s="2">
        <v>2</v>
      </c>
      <c r="D61" s="2" t="s">
        <v>31</v>
      </c>
      <c r="E61" s="2" t="s">
        <v>56</v>
      </c>
      <c r="F61" s="2" t="s">
        <v>33</v>
      </c>
      <c r="G61" s="2" t="s">
        <v>22</v>
      </c>
      <c r="H61" s="2" t="s">
        <v>23</v>
      </c>
      <c r="I61" s="2" t="s">
        <v>23</v>
      </c>
      <c r="J61" s="2">
        <v>1</v>
      </c>
      <c r="K61" s="2" t="s">
        <v>34</v>
      </c>
      <c r="L61" s="2">
        <v>1857</v>
      </c>
      <c r="M61" s="2" t="s">
        <v>57</v>
      </c>
      <c r="N61" s="2">
        <v>25</v>
      </c>
      <c r="O61" s="2">
        <v>377760.09</v>
      </c>
      <c r="P61" s="2">
        <v>15110.4</v>
      </c>
    </row>
    <row r="62" spans="1:16" outlineLevel="2" x14ac:dyDescent="0.2">
      <c r="A62" s="5">
        <v>46204</v>
      </c>
      <c r="B62" s="2">
        <v>160576</v>
      </c>
      <c r="C62" s="2">
        <v>1</v>
      </c>
      <c r="D62" s="2" t="s">
        <v>31</v>
      </c>
      <c r="E62" s="2" t="s">
        <v>45</v>
      </c>
      <c r="F62" s="2" t="s">
        <v>23</v>
      </c>
      <c r="G62" s="2" t="s">
        <v>22</v>
      </c>
      <c r="H62" s="2" t="s">
        <v>23</v>
      </c>
      <c r="I62" s="2" t="s">
        <v>46</v>
      </c>
      <c r="J62" s="2">
        <v>1</v>
      </c>
      <c r="K62" s="2" t="s">
        <v>34</v>
      </c>
      <c r="L62" s="2">
        <v>226</v>
      </c>
      <c r="M62" s="2" t="s">
        <v>35</v>
      </c>
      <c r="N62" s="2">
        <v>10</v>
      </c>
      <c r="O62" s="2">
        <v>331071.15999999997</v>
      </c>
      <c r="P62" s="2">
        <v>33107.120000000003</v>
      </c>
    </row>
    <row r="63" spans="1:16" outlineLevel="2" x14ac:dyDescent="0.2">
      <c r="A63" s="5">
        <v>46241</v>
      </c>
      <c r="B63" s="2">
        <v>161462</v>
      </c>
      <c r="C63" s="2">
        <v>1</v>
      </c>
      <c r="D63" s="2" t="s">
        <v>31</v>
      </c>
      <c r="E63" s="2" t="s">
        <v>121</v>
      </c>
      <c r="F63" s="2" t="s">
        <v>33</v>
      </c>
      <c r="G63" s="2" t="s">
        <v>22</v>
      </c>
      <c r="H63" s="2" t="s">
        <v>122</v>
      </c>
      <c r="I63" s="2" t="s">
        <v>23</v>
      </c>
      <c r="J63" s="2">
        <v>1</v>
      </c>
      <c r="K63" s="2" t="s">
        <v>34</v>
      </c>
      <c r="L63" s="2">
        <v>226</v>
      </c>
      <c r="M63" s="2" t="s">
        <v>35</v>
      </c>
      <c r="N63" s="2">
        <v>2</v>
      </c>
      <c r="O63" s="2">
        <v>83389.5</v>
      </c>
      <c r="P63" s="2">
        <v>41694.75</v>
      </c>
    </row>
    <row r="64" spans="1:16" outlineLevel="1" x14ac:dyDescent="0.2">
      <c r="A64" s="5"/>
      <c r="D64" s="3" t="s">
        <v>196</v>
      </c>
      <c r="N64" s="2">
        <f>SUBTOTAL(9,N60:N63)</f>
        <v>39</v>
      </c>
      <c r="O64" s="2">
        <f>SUBTOTAL(9,O60:O63)</f>
        <v>828938.29</v>
      </c>
    </row>
    <row r="65" spans="1:16" outlineLevel="2" x14ac:dyDescent="0.2">
      <c r="A65" s="5">
        <v>46246</v>
      </c>
      <c r="B65" s="2">
        <v>160714</v>
      </c>
      <c r="C65" s="2">
        <v>4</v>
      </c>
      <c r="D65" s="2" t="s">
        <v>47</v>
      </c>
      <c r="E65" s="2" t="s">
        <v>51</v>
      </c>
      <c r="F65" s="2" t="s">
        <v>38</v>
      </c>
      <c r="G65" s="2" t="s">
        <v>52</v>
      </c>
      <c r="H65" s="2" t="s">
        <v>23</v>
      </c>
      <c r="I65" s="2" t="s">
        <v>53</v>
      </c>
      <c r="J65" s="2">
        <v>1</v>
      </c>
      <c r="K65" s="2" t="s">
        <v>34</v>
      </c>
      <c r="L65" s="2">
        <v>25077</v>
      </c>
      <c r="M65" s="2" t="s">
        <v>50</v>
      </c>
      <c r="N65" s="2">
        <v>2</v>
      </c>
      <c r="O65" s="2">
        <v>43251.64</v>
      </c>
      <c r="P65" s="2">
        <v>21625.82</v>
      </c>
    </row>
    <row r="66" spans="1:16" outlineLevel="2" x14ac:dyDescent="0.2">
      <c r="A66" s="5">
        <v>46239</v>
      </c>
      <c r="B66" s="2">
        <v>160834</v>
      </c>
      <c r="C66" s="2">
        <v>2</v>
      </c>
      <c r="D66" s="2" t="s">
        <v>47</v>
      </c>
      <c r="E66" s="2" t="s">
        <v>51</v>
      </c>
      <c r="F66" s="2" t="s">
        <v>38</v>
      </c>
      <c r="G66" s="2" t="s">
        <v>22</v>
      </c>
      <c r="H66" s="2" t="s">
        <v>23</v>
      </c>
      <c r="I66" s="2" t="s">
        <v>54</v>
      </c>
      <c r="J66" s="2">
        <v>1</v>
      </c>
      <c r="K66" s="2" t="s">
        <v>34</v>
      </c>
      <c r="L66" s="2">
        <v>634</v>
      </c>
      <c r="M66" s="2" t="s">
        <v>55</v>
      </c>
      <c r="N66" s="2">
        <v>16</v>
      </c>
      <c r="O66" s="2">
        <v>343882.92</v>
      </c>
      <c r="P66" s="2">
        <v>21492.68</v>
      </c>
    </row>
    <row r="67" spans="1:16" outlineLevel="2" x14ac:dyDescent="0.2">
      <c r="A67" s="5">
        <v>46232</v>
      </c>
      <c r="B67" s="2">
        <v>161094</v>
      </c>
      <c r="C67" s="2">
        <v>1</v>
      </c>
      <c r="D67" s="2" t="s">
        <v>47</v>
      </c>
      <c r="E67" s="2" t="s">
        <v>51</v>
      </c>
      <c r="F67" s="2" t="s">
        <v>38</v>
      </c>
      <c r="G67" s="2" t="s">
        <v>22</v>
      </c>
      <c r="H67" s="2" t="s">
        <v>23</v>
      </c>
      <c r="I67" s="2" t="s">
        <v>23</v>
      </c>
      <c r="J67" s="2">
        <v>1</v>
      </c>
      <c r="K67" s="2" t="s">
        <v>34</v>
      </c>
      <c r="L67" s="2">
        <v>634</v>
      </c>
      <c r="M67" s="2" t="s">
        <v>55</v>
      </c>
      <c r="N67" s="2">
        <v>-33</v>
      </c>
      <c r="O67" s="2">
        <v>-112983.75</v>
      </c>
      <c r="P67" s="2">
        <v>3423.75</v>
      </c>
    </row>
    <row r="68" spans="1:16" outlineLevel="2" x14ac:dyDescent="0.2">
      <c r="A68" s="5">
        <v>46208</v>
      </c>
      <c r="B68" s="2">
        <v>160714</v>
      </c>
      <c r="C68" s="2">
        <v>1</v>
      </c>
      <c r="D68" s="2" t="s">
        <v>47</v>
      </c>
      <c r="E68" s="2" t="s">
        <v>48</v>
      </c>
      <c r="F68" s="2" t="s">
        <v>38</v>
      </c>
      <c r="G68" s="2" t="s">
        <v>22</v>
      </c>
      <c r="H68" s="2" t="s">
        <v>23</v>
      </c>
      <c r="I68" s="2" t="s">
        <v>49</v>
      </c>
      <c r="J68" s="2">
        <v>1</v>
      </c>
      <c r="K68" s="2" t="s">
        <v>34</v>
      </c>
      <c r="L68" s="2">
        <v>25077</v>
      </c>
      <c r="M68" s="2" t="s">
        <v>50</v>
      </c>
      <c r="N68" s="2">
        <v>15</v>
      </c>
      <c r="O68" s="2">
        <v>185771.53</v>
      </c>
      <c r="P68" s="2">
        <v>12384.77</v>
      </c>
    </row>
    <row r="69" spans="1:16" outlineLevel="1" x14ac:dyDescent="0.2">
      <c r="A69" s="5"/>
      <c r="D69" s="3" t="s">
        <v>197</v>
      </c>
      <c r="N69" s="2">
        <f>SUBTOTAL(9,N65:N68)</f>
        <v>0</v>
      </c>
      <c r="O69" s="2">
        <f>SUBTOTAL(9,O65:O68)</f>
        <v>459922.33999999997</v>
      </c>
      <c r="P69" s="2">
        <v>0</v>
      </c>
    </row>
    <row r="70" spans="1:16" outlineLevel="2" x14ac:dyDescent="0.2">
      <c r="A70" s="5">
        <v>46248</v>
      </c>
      <c r="B70" s="2">
        <v>161728</v>
      </c>
      <c r="C70" s="2">
        <v>300</v>
      </c>
      <c r="D70" s="2" t="s">
        <v>131</v>
      </c>
      <c r="E70" s="2" t="s">
        <v>51</v>
      </c>
      <c r="F70" s="2" t="s">
        <v>88</v>
      </c>
      <c r="G70" s="2" t="s">
        <v>22</v>
      </c>
      <c r="H70" s="2" t="s">
        <v>23</v>
      </c>
      <c r="I70" s="2" t="s">
        <v>23</v>
      </c>
      <c r="J70" s="2">
        <v>2</v>
      </c>
      <c r="K70" s="2" t="s">
        <v>29</v>
      </c>
      <c r="L70" s="2">
        <v>801</v>
      </c>
      <c r="M70" s="2" t="s">
        <v>89</v>
      </c>
      <c r="N70" s="2">
        <v>1</v>
      </c>
      <c r="O70" s="2">
        <v>7157.51</v>
      </c>
      <c r="P70" s="2">
        <v>7157.51</v>
      </c>
    </row>
    <row r="71" spans="1:16" outlineLevel="2" x14ac:dyDescent="0.2">
      <c r="A71" s="5">
        <v>46246</v>
      </c>
      <c r="B71" s="2">
        <v>161594</v>
      </c>
      <c r="C71" s="2">
        <v>311</v>
      </c>
      <c r="D71" s="2" t="s">
        <v>131</v>
      </c>
      <c r="E71" s="2" t="s">
        <v>162</v>
      </c>
      <c r="F71" s="2" t="s">
        <v>88</v>
      </c>
      <c r="G71" s="2" t="s">
        <v>22</v>
      </c>
      <c r="H71" s="2" t="s">
        <v>23</v>
      </c>
      <c r="I71" s="2" t="s">
        <v>23</v>
      </c>
      <c r="J71" s="2">
        <v>2</v>
      </c>
      <c r="K71" s="2" t="s">
        <v>29</v>
      </c>
      <c r="L71" s="2">
        <v>801</v>
      </c>
      <c r="M71" s="2" t="s">
        <v>89</v>
      </c>
      <c r="N71" s="2">
        <v>13</v>
      </c>
      <c r="O71" s="2">
        <v>99581.68</v>
      </c>
      <c r="P71" s="2">
        <v>7660.13</v>
      </c>
    </row>
    <row r="72" spans="1:16" outlineLevel="2" x14ac:dyDescent="0.2">
      <c r="A72" s="5">
        <v>46248</v>
      </c>
      <c r="B72" s="2">
        <v>161535</v>
      </c>
      <c r="C72" s="2">
        <v>303</v>
      </c>
      <c r="D72" s="2" t="s">
        <v>131</v>
      </c>
      <c r="E72" s="2" t="s">
        <v>98</v>
      </c>
      <c r="F72" s="2" t="s">
        <v>80</v>
      </c>
      <c r="G72" s="2" t="s">
        <v>23</v>
      </c>
      <c r="H72" s="2" t="s">
        <v>23</v>
      </c>
      <c r="I72" s="2" t="s">
        <v>23</v>
      </c>
      <c r="J72" s="2">
        <v>2</v>
      </c>
      <c r="K72" s="2" t="s">
        <v>29</v>
      </c>
      <c r="L72" s="2">
        <v>1557</v>
      </c>
      <c r="M72" s="2" t="s">
        <v>130</v>
      </c>
      <c r="N72" s="2">
        <v>3</v>
      </c>
      <c r="O72" s="2">
        <v>19605.650000000001</v>
      </c>
      <c r="P72" s="2">
        <v>6535.22</v>
      </c>
    </row>
    <row r="73" spans="1:16" outlineLevel="1" x14ac:dyDescent="0.2">
      <c r="A73" s="5"/>
      <c r="D73" s="3" t="s">
        <v>198</v>
      </c>
      <c r="N73" s="2">
        <f>SUBTOTAL(9,N70:N72)</f>
        <v>17</v>
      </c>
      <c r="O73" s="2">
        <f>SUBTOTAL(9,O70:O72)</f>
        <v>126344.84</v>
      </c>
      <c r="P73" s="2">
        <f>+O73/N73</f>
        <v>7432.0494117647058</v>
      </c>
    </row>
    <row r="74" spans="1:16" outlineLevel="2" x14ac:dyDescent="0.2">
      <c r="A74" s="5">
        <v>46164</v>
      </c>
      <c r="B74" s="2">
        <v>158828</v>
      </c>
      <c r="C74" s="2">
        <v>315</v>
      </c>
      <c r="D74" s="2" t="s">
        <v>26</v>
      </c>
      <c r="E74" s="2" t="s">
        <v>27</v>
      </c>
      <c r="F74" s="2" t="s">
        <v>28</v>
      </c>
      <c r="G74" s="2" t="s">
        <v>23</v>
      </c>
      <c r="H74" s="2" t="s">
        <v>23</v>
      </c>
      <c r="I74" s="2" t="s">
        <v>23</v>
      </c>
      <c r="J74" s="2">
        <v>2</v>
      </c>
      <c r="K74" s="2" t="s">
        <v>29</v>
      </c>
      <c r="L74" s="2">
        <v>1921</v>
      </c>
      <c r="M74" s="2" t="s">
        <v>30</v>
      </c>
      <c r="N74" s="2">
        <v>2</v>
      </c>
      <c r="O74" s="2">
        <v>6847.5</v>
      </c>
      <c r="P74" s="2">
        <v>3423.75</v>
      </c>
    </row>
    <row r="75" spans="1:16" outlineLevel="2" x14ac:dyDescent="0.2">
      <c r="A75" s="5">
        <v>46248</v>
      </c>
      <c r="B75" s="2">
        <v>159984</v>
      </c>
      <c r="C75" s="2">
        <v>315</v>
      </c>
      <c r="D75" s="2" t="s">
        <v>26</v>
      </c>
      <c r="E75" s="2" t="s">
        <v>27</v>
      </c>
      <c r="F75" s="2" t="s">
        <v>41</v>
      </c>
      <c r="G75" s="2" t="s">
        <v>23</v>
      </c>
      <c r="H75" s="2" t="s">
        <v>23</v>
      </c>
      <c r="I75" s="2" t="s">
        <v>23</v>
      </c>
      <c r="J75" s="2">
        <v>2</v>
      </c>
      <c r="K75" s="2" t="s">
        <v>29</v>
      </c>
      <c r="L75" s="2">
        <v>1921</v>
      </c>
      <c r="M75" s="2" t="s">
        <v>30</v>
      </c>
      <c r="N75" s="2">
        <v>3</v>
      </c>
      <c r="O75" s="2">
        <v>15871.89</v>
      </c>
      <c r="P75" s="2">
        <v>5290.63</v>
      </c>
    </row>
    <row r="76" spans="1:16" outlineLevel="1" x14ac:dyDescent="0.2">
      <c r="A76" s="5"/>
      <c r="D76" s="3" t="s">
        <v>199</v>
      </c>
      <c r="N76" s="2">
        <f>SUBTOTAL(9,N74:N75)</f>
        <v>5</v>
      </c>
      <c r="O76" s="2">
        <f>SUBTOTAL(9,O74:O75)</f>
        <v>22719.39</v>
      </c>
      <c r="P76" s="2">
        <f>+O76/N76</f>
        <v>4543.8779999999997</v>
      </c>
    </row>
    <row r="77" spans="1:16" outlineLevel="2" x14ac:dyDescent="0.2">
      <c r="A77" s="5">
        <v>46223</v>
      </c>
      <c r="B77" s="2">
        <v>161009</v>
      </c>
      <c r="C77" s="2">
        <v>3</v>
      </c>
      <c r="D77" s="2" t="s">
        <v>63</v>
      </c>
      <c r="E77" s="2" t="s">
        <v>37</v>
      </c>
      <c r="F77" s="2" t="s">
        <v>64</v>
      </c>
      <c r="G77" s="2" t="s">
        <v>22</v>
      </c>
      <c r="H77" s="2" t="s">
        <v>23</v>
      </c>
      <c r="I77" s="2" t="s">
        <v>65</v>
      </c>
      <c r="J77" s="2">
        <v>1</v>
      </c>
      <c r="K77" s="2" t="s">
        <v>34</v>
      </c>
      <c r="L77" s="2">
        <v>1846</v>
      </c>
      <c r="M77" s="2" t="s">
        <v>66</v>
      </c>
      <c r="N77" s="2">
        <v>149</v>
      </c>
      <c r="O77" s="2">
        <v>7755491.5199999996</v>
      </c>
      <c r="P77" s="2">
        <v>52050.28</v>
      </c>
    </row>
    <row r="78" spans="1:16" outlineLevel="2" x14ac:dyDescent="0.2">
      <c r="A78" s="5">
        <v>46238</v>
      </c>
      <c r="B78" s="2">
        <v>161286</v>
      </c>
      <c r="C78" s="2">
        <v>2</v>
      </c>
      <c r="D78" s="2" t="s">
        <v>63</v>
      </c>
      <c r="E78" s="2" t="s">
        <v>37</v>
      </c>
      <c r="F78" s="2" t="s">
        <v>38</v>
      </c>
      <c r="G78" s="2" t="s">
        <v>93</v>
      </c>
      <c r="H78" s="2" t="s">
        <v>23</v>
      </c>
      <c r="I78" s="2" t="s">
        <v>94</v>
      </c>
      <c r="J78" s="2">
        <v>40</v>
      </c>
      <c r="K78" s="2" t="s">
        <v>95</v>
      </c>
      <c r="L78" s="2">
        <v>2813</v>
      </c>
      <c r="M78" s="2" t="s">
        <v>96</v>
      </c>
      <c r="N78" s="2">
        <v>16</v>
      </c>
      <c r="O78" s="2">
        <v>590567.18999999994</v>
      </c>
      <c r="P78" s="2">
        <v>36910.449999999997</v>
      </c>
    </row>
    <row r="79" spans="1:16" outlineLevel="2" x14ac:dyDescent="0.2">
      <c r="A79" s="5">
        <v>46244</v>
      </c>
      <c r="B79" s="2">
        <v>161287</v>
      </c>
      <c r="C79" s="2">
        <v>6</v>
      </c>
      <c r="D79" s="2" t="s">
        <v>63</v>
      </c>
      <c r="E79" s="2" t="s">
        <v>37</v>
      </c>
      <c r="F79" s="2" t="s">
        <v>38</v>
      </c>
      <c r="G79" s="2" t="s">
        <v>93</v>
      </c>
      <c r="H79" s="2" t="s">
        <v>23</v>
      </c>
      <c r="I79" s="2" t="s">
        <v>97</v>
      </c>
      <c r="J79" s="2">
        <v>40</v>
      </c>
      <c r="K79" s="2" t="s">
        <v>95</v>
      </c>
      <c r="L79" s="2">
        <v>2813</v>
      </c>
      <c r="M79" s="2" t="s">
        <v>96</v>
      </c>
      <c r="N79" s="2">
        <v>3</v>
      </c>
      <c r="O79" s="2">
        <v>116683.29</v>
      </c>
      <c r="P79" s="2">
        <v>38894.43</v>
      </c>
    </row>
    <row r="80" spans="1:16" outlineLevel="2" x14ac:dyDescent="0.2">
      <c r="A80" s="5">
        <v>46244</v>
      </c>
      <c r="B80" s="2">
        <v>161331</v>
      </c>
      <c r="C80" s="2">
        <v>6</v>
      </c>
      <c r="D80" s="2" t="s">
        <v>63</v>
      </c>
      <c r="E80" s="2" t="s">
        <v>37</v>
      </c>
      <c r="F80" s="2" t="s">
        <v>38</v>
      </c>
      <c r="G80" s="2" t="s">
        <v>93</v>
      </c>
      <c r="H80" s="2" t="s">
        <v>23</v>
      </c>
      <c r="I80" s="2" t="s">
        <v>104</v>
      </c>
      <c r="J80" s="2">
        <v>40</v>
      </c>
      <c r="K80" s="2" t="s">
        <v>95</v>
      </c>
      <c r="L80" s="2">
        <v>2813</v>
      </c>
      <c r="M80" s="2" t="s">
        <v>96</v>
      </c>
      <c r="N80" s="2">
        <v>136</v>
      </c>
      <c r="O80" s="2">
        <v>5279375.0599999996</v>
      </c>
      <c r="P80" s="2">
        <v>38818.93</v>
      </c>
    </row>
    <row r="81" spans="1:16" outlineLevel="2" x14ac:dyDescent="0.2">
      <c r="A81" s="5">
        <v>46244</v>
      </c>
      <c r="B81" s="2">
        <v>161331</v>
      </c>
      <c r="C81" s="2">
        <v>8</v>
      </c>
      <c r="D81" s="2" t="s">
        <v>63</v>
      </c>
      <c r="E81" s="2" t="s">
        <v>37</v>
      </c>
      <c r="F81" s="2" t="s">
        <v>38</v>
      </c>
      <c r="G81" s="2" t="s">
        <v>93</v>
      </c>
      <c r="H81" s="2" t="s">
        <v>23</v>
      </c>
      <c r="I81" s="2" t="s">
        <v>105</v>
      </c>
      <c r="J81" s="2">
        <v>40</v>
      </c>
      <c r="K81" s="2" t="s">
        <v>95</v>
      </c>
      <c r="L81" s="2">
        <v>2813</v>
      </c>
      <c r="M81" s="2" t="s">
        <v>96</v>
      </c>
      <c r="N81" s="2">
        <v>9</v>
      </c>
      <c r="O81" s="2">
        <v>331381.15999999997</v>
      </c>
      <c r="P81" s="2">
        <v>36820.129999999997</v>
      </c>
    </row>
    <row r="82" spans="1:16" outlineLevel="2" x14ac:dyDescent="0.2">
      <c r="A82" s="5">
        <v>46237</v>
      </c>
      <c r="B82" s="2">
        <v>161332</v>
      </c>
      <c r="C82" s="2">
        <v>1</v>
      </c>
      <c r="D82" s="2" t="s">
        <v>63</v>
      </c>
      <c r="E82" s="2" t="s">
        <v>37</v>
      </c>
      <c r="F82" s="2" t="s">
        <v>64</v>
      </c>
      <c r="G82" s="2" t="s">
        <v>52</v>
      </c>
      <c r="H82" s="2" t="s">
        <v>23</v>
      </c>
      <c r="I82" s="2" t="s">
        <v>106</v>
      </c>
      <c r="J82" s="2">
        <v>1</v>
      </c>
      <c r="K82" s="2" t="s">
        <v>34</v>
      </c>
      <c r="L82" s="2">
        <v>1846</v>
      </c>
      <c r="M82" s="2" t="s">
        <v>66</v>
      </c>
      <c r="N82" s="2">
        <v>4</v>
      </c>
      <c r="O82" s="2">
        <v>204116.56</v>
      </c>
      <c r="P82" s="2">
        <v>51029.14</v>
      </c>
    </row>
    <row r="83" spans="1:16" outlineLevel="2" x14ac:dyDescent="0.2">
      <c r="A83" s="5">
        <v>46237</v>
      </c>
      <c r="B83" s="2">
        <v>161332</v>
      </c>
      <c r="C83" s="2">
        <v>2</v>
      </c>
      <c r="D83" s="2" t="s">
        <v>63</v>
      </c>
      <c r="E83" s="2" t="s">
        <v>37</v>
      </c>
      <c r="F83" s="2" t="s">
        <v>64</v>
      </c>
      <c r="G83" s="2" t="s">
        <v>52</v>
      </c>
      <c r="H83" s="2" t="s">
        <v>23</v>
      </c>
      <c r="I83" s="2" t="s">
        <v>65</v>
      </c>
      <c r="J83" s="2">
        <v>1</v>
      </c>
      <c r="K83" s="2" t="s">
        <v>34</v>
      </c>
      <c r="L83" s="2">
        <v>1846</v>
      </c>
      <c r="M83" s="2" t="s">
        <v>66</v>
      </c>
      <c r="N83" s="2">
        <v>164</v>
      </c>
      <c r="O83" s="2">
        <v>9697371.3200000003</v>
      </c>
      <c r="P83" s="2">
        <v>59130.31</v>
      </c>
    </row>
    <row r="84" spans="1:16" outlineLevel="2" x14ac:dyDescent="0.2">
      <c r="A84" s="5">
        <v>46246</v>
      </c>
      <c r="B84" s="2">
        <v>161408</v>
      </c>
      <c r="C84" s="2">
        <v>1</v>
      </c>
      <c r="D84" s="2" t="s">
        <v>63</v>
      </c>
      <c r="E84" s="2" t="s">
        <v>37</v>
      </c>
      <c r="F84" s="2" t="s">
        <v>38</v>
      </c>
      <c r="G84" s="2" t="s">
        <v>93</v>
      </c>
      <c r="H84" s="2" t="s">
        <v>23</v>
      </c>
      <c r="I84" s="2" t="s">
        <v>113</v>
      </c>
      <c r="J84" s="2">
        <v>40</v>
      </c>
      <c r="K84" s="2" t="s">
        <v>95</v>
      </c>
      <c r="L84" s="2">
        <v>1502</v>
      </c>
      <c r="M84" s="2" t="s">
        <v>114</v>
      </c>
      <c r="N84" s="2">
        <v>144</v>
      </c>
      <c r="O84" s="2">
        <v>5630980.96</v>
      </c>
      <c r="P84" s="2">
        <v>39104.03</v>
      </c>
    </row>
    <row r="85" spans="1:16" outlineLevel="2" x14ac:dyDescent="0.2">
      <c r="A85" s="5">
        <v>46246</v>
      </c>
      <c r="B85" s="2">
        <v>161408</v>
      </c>
      <c r="C85" s="2">
        <v>2</v>
      </c>
      <c r="D85" s="2" t="s">
        <v>63</v>
      </c>
      <c r="E85" s="2" t="s">
        <v>37</v>
      </c>
      <c r="F85" s="2" t="s">
        <v>38</v>
      </c>
      <c r="G85" s="2" t="s">
        <v>93</v>
      </c>
      <c r="H85" s="2" t="s">
        <v>23</v>
      </c>
      <c r="I85" s="2" t="s">
        <v>94</v>
      </c>
      <c r="J85" s="2">
        <v>40</v>
      </c>
      <c r="K85" s="2" t="s">
        <v>95</v>
      </c>
      <c r="L85" s="2">
        <v>1502</v>
      </c>
      <c r="M85" s="2" t="s">
        <v>114</v>
      </c>
      <c r="N85" s="2">
        <v>50</v>
      </c>
      <c r="O85" s="2">
        <v>1959656.65</v>
      </c>
      <c r="P85" s="2">
        <v>39193.129999999997</v>
      </c>
    </row>
    <row r="86" spans="1:16" outlineLevel="2" x14ac:dyDescent="0.2">
      <c r="A86" s="5">
        <v>46241</v>
      </c>
      <c r="B86" s="2">
        <v>161467</v>
      </c>
      <c r="C86" s="2">
        <v>1</v>
      </c>
      <c r="D86" s="2" t="s">
        <v>63</v>
      </c>
      <c r="E86" s="2" t="s">
        <v>37</v>
      </c>
      <c r="F86" s="2" t="s">
        <v>123</v>
      </c>
      <c r="G86" s="2" t="s">
        <v>22</v>
      </c>
      <c r="H86" s="2" t="s">
        <v>23</v>
      </c>
      <c r="I86" s="2" t="s">
        <v>23</v>
      </c>
      <c r="J86" s="2">
        <v>1</v>
      </c>
      <c r="K86" s="2" t="s">
        <v>34</v>
      </c>
      <c r="L86" s="2">
        <v>206</v>
      </c>
      <c r="M86" s="2" t="s">
        <v>124</v>
      </c>
      <c r="N86" s="2">
        <v>14</v>
      </c>
      <c r="O86" s="2">
        <v>100205.14</v>
      </c>
      <c r="P86" s="2">
        <v>7157.51</v>
      </c>
    </row>
    <row r="87" spans="1:16" outlineLevel="2" x14ac:dyDescent="0.2">
      <c r="A87" s="5">
        <v>46248</v>
      </c>
      <c r="B87" s="2">
        <v>161518</v>
      </c>
      <c r="C87" s="2">
        <v>1</v>
      </c>
      <c r="D87" s="2" t="s">
        <v>63</v>
      </c>
      <c r="E87" s="2" t="s">
        <v>37</v>
      </c>
      <c r="F87" s="2" t="s">
        <v>38</v>
      </c>
      <c r="G87" s="2" t="s">
        <v>22</v>
      </c>
      <c r="H87" s="2" t="s">
        <v>23</v>
      </c>
      <c r="I87" s="2" t="s">
        <v>125</v>
      </c>
      <c r="J87" s="2">
        <v>40</v>
      </c>
      <c r="K87" s="2" t="s">
        <v>95</v>
      </c>
      <c r="L87" s="2">
        <v>1502</v>
      </c>
      <c r="M87" s="2" t="s">
        <v>114</v>
      </c>
      <c r="N87" s="2">
        <v>143</v>
      </c>
      <c r="O87" s="2">
        <v>5789663.4000000004</v>
      </c>
      <c r="P87" s="2">
        <v>40487.160000000003</v>
      </c>
    </row>
    <row r="88" spans="1:16" outlineLevel="2" x14ac:dyDescent="0.2">
      <c r="A88" s="5">
        <v>46248</v>
      </c>
      <c r="B88" s="2">
        <v>161518</v>
      </c>
      <c r="C88" s="2">
        <v>2</v>
      </c>
      <c r="D88" s="2" t="s">
        <v>63</v>
      </c>
      <c r="E88" s="2" t="s">
        <v>37</v>
      </c>
      <c r="F88" s="2" t="s">
        <v>23</v>
      </c>
      <c r="G88" s="2" t="s">
        <v>22</v>
      </c>
      <c r="H88" s="2" t="s">
        <v>23</v>
      </c>
      <c r="I88" s="2" t="s">
        <v>126</v>
      </c>
      <c r="J88" s="2">
        <v>1</v>
      </c>
      <c r="K88" s="2" t="s">
        <v>34</v>
      </c>
      <c r="L88" s="2">
        <v>1502</v>
      </c>
      <c r="M88" s="2" t="s">
        <v>114</v>
      </c>
      <c r="N88" s="2">
        <v>88</v>
      </c>
      <c r="O88" s="2">
        <v>2929854.4</v>
      </c>
      <c r="P88" s="2">
        <v>33293.800000000003</v>
      </c>
    </row>
    <row r="89" spans="1:16" outlineLevel="2" x14ac:dyDescent="0.2">
      <c r="A89" s="5">
        <v>46246</v>
      </c>
      <c r="B89" s="2">
        <v>161518</v>
      </c>
      <c r="C89" s="2">
        <v>3</v>
      </c>
      <c r="D89" s="2" t="s">
        <v>63</v>
      </c>
      <c r="E89" s="2" t="s">
        <v>37</v>
      </c>
      <c r="F89" s="2" t="s">
        <v>38</v>
      </c>
      <c r="G89" s="2" t="s">
        <v>22</v>
      </c>
      <c r="H89" s="2" t="s">
        <v>23</v>
      </c>
      <c r="I89" s="2" t="s">
        <v>23</v>
      </c>
      <c r="J89" s="2">
        <v>40</v>
      </c>
      <c r="K89" s="2" t="s">
        <v>95</v>
      </c>
      <c r="L89" s="2">
        <v>1502</v>
      </c>
      <c r="M89" s="2" t="s">
        <v>114</v>
      </c>
      <c r="N89" s="2">
        <v>54</v>
      </c>
      <c r="O89" s="2">
        <v>2081930.43</v>
      </c>
      <c r="P89" s="2">
        <v>38554.269999999997</v>
      </c>
    </row>
    <row r="90" spans="1:16" outlineLevel="2" x14ac:dyDescent="0.2">
      <c r="A90" s="5">
        <v>46246</v>
      </c>
      <c r="B90" s="2">
        <v>161589</v>
      </c>
      <c r="C90" s="2">
        <v>3</v>
      </c>
      <c r="D90" s="2" t="s">
        <v>63</v>
      </c>
      <c r="E90" s="2" t="s">
        <v>37</v>
      </c>
      <c r="F90" s="2" t="s">
        <v>99</v>
      </c>
      <c r="G90" s="2" t="s">
        <v>22</v>
      </c>
      <c r="H90" s="2" t="s">
        <v>23</v>
      </c>
      <c r="I90" s="2" t="s">
        <v>65</v>
      </c>
      <c r="J90" s="2">
        <v>1</v>
      </c>
      <c r="K90" s="2" t="s">
        <v>34</v>
      </c>
      <c r="L90" s="2">
        <v>2814</v>
      </c>
      <c r="M90" s="2" t="s">
        <v>159</v>
      </c>
      <c r="N90" s="2">
        <v>15</v>
      </c>
      <c r="O90" s="2">
        <v>555413.4</v>
      </c>
      <c r="P90" s="2">
        <v>37027.56</v>
      </c>
    </row>
    <row r="91" spans="1:16" outlineLevel="1" x14ac:dyDescent="0.2">
      <c r="A91" s="5"/>
      <c r="D91" s="3" t="s">
        <v>200</v>
      </c>
      <c r="N91" s="2">
        <f>SUBTOTAL(9,N77:N90)</f>
        <v>989</v>
      </c>
      <c r="O91" s="2">
        <f>SUBTOTAL(9,O77:O90)</f>
        <v>43022690.479999997</v>
      </c>
      <c r="P91" s="2">
        <f>+O91/N91</f>
        <v>43501.203720930229</v>
      </c>
    </row>
    <row r="92" spans="1:16" outlineLevel="2" x14ac:dyDescent="0.2">
      <c r="A92" s="5">
        <v>46181</v>
      </c>
      <c r="B92" s="2">
        <v>159851</v>
      </c>
      <c r="C92" s="2">
        <v>300</v>
      </c>
      <c r="D92" s="2" t="s">
        <v>36</v>
      </c>
      <c r="E92" s="2" t="s">
        <v>37</v>
      </c>
      <c r="F92" s="2" t="s">
        <v>38</v>
      </c>
      <c r="G92" s="2" t="s">
        <v>22</v>
      </c>
      <c r="H92" s="2" t="s">
        <v>23</v>
      </c>
      <c r="I92" s="2" t="s">
        <v>23</v>
      </c>
      <c r="J92" s="2">
        <v>41</v>
      </c>
      <c r="K92" s="2" t="s">
        <v>39</v>
      </c>
      <c r="L92" s="2">
        <v>2579</v>
      </c>
      <c r="M92" s="2" t="s">
        <v>40</v>
      </c>
      <c r="N92" s="2">
        <v>10</v>
      </c>
      <c r="O92" s="2">
        <v>34237.5</v>
      </c>
      <c r="P92" s="2">
        <v>3423.75</v>
      </c>
    </row>
    <row r="93" spans="1:16" outlineLevel="2" x14ac:dyDescent="0.2">
      <c r="A93" s="5">
        <v>46244</v>
      </c>
      <c r="B93" s="2">
        <v>161408</v>
      </c>
      <c r="C93" s="2">
        <v>300</v>
      </c>
      <c r="D93" s="2" t="s">
        <v>36</v>
      </c>
      <c r="E93" s="2" t="s">
        <v>37</v>
      </c>
      <c r="F93" s="2" t="s">
        <v>59</v>
      </c>
      <c r="G93" s="2" t="s">
        <v>23</v>
      </c>
      <c r="H93" s="2" t="s">
        <v>23</v>
      </c>
      <c r="I93" s="2" t="s">
        <v>23</v>
      </c>
      <c r="J93" s="2">
        <v>40</v>
      </c>
      <c r="K93" s="2" t="s">
        <v>95</v>
      </c>
      <c r="L93" s="2">
        <v>133</v>
      </c>
      <c r="M93" s="2" t="s">
        <v>115</v>
      </c>
      <c r="N93" s="2">
        <v>73</v>
      </c>
      <c r="O93" s="2">
        <v>2731014.91</v>
      </c>
      <c r="P93" s="2">
        <v>37411.160000000003</v>
      </c>
    </row>
    <row r="94" spans="1:16" outlineLevel="1" x14ac:dyDescent="0.2">
      <c r="A94" s="5"/>
      <c r="D94" s="3" t="s">
        <v>201</v>
      </c>
      <c r="N94" s="2">
        <f>SUBTOTAL(9,N92:N93)</f>
        <v>83</v>
      </c>
      <c r="O94" s="2">
        <f>SUBTOTAL(9,O92:O93)</f>
        <v>2765252.41</v>
      </c>
      <c r="P94" s="2">
        <f>+O94/N94</f>
        <v>33316.294096385544</v>
      </c>
    </row>
    <row r="95" spans="1:16" outlineLevel="2" x14ac:dyDescent="0.2">
      <c r="A95" s="5">
        <v>46246</v>
      </c>
      <c r="B95" s="2">
        <v>161584</v>
      </c>
      <c r="C95" s="2">
        <v>2</v>
      </c>
      <c r="D95" s="2" t="s">
        <v>149</v>
      </c>
      <c r="E95" s="2" t="s">
        <v>150</v>
      </c>
      <c r="F95" s="2" t="s">
        <v>38</v>
      </c>
      <c r="G95" s="2" t="s">
        <v>22</v>
      </c>
      <c r="H95" s="2" t="s">
        <v>23</v>
      </c>
      <c r="I95" s="2" t="s">
        <v>23</v>
      </c>
      <c r="J95" s="2">
        <v>5</v>
      </c>
      <c r="K95" s="2" t="s">
        <v>69</v>
      </c>
      <c r="L95" s="2">
        <v>2521</v>
      </c>
      <c r="M95" s="2" t="s">
        <v>62</v>
      </c>
      <c r="N95" s="2">
        <v>164</v>
      </c>
      <c r="O95" s="2">
        <v>5103254.96</v>
      </c>
      <c r="P95" s="2">
        <v>31117.41</v>
      </c>
    </row>
    <row r="96" spans="1:16" outlineLevel="1" x14ac:dyDescent="0.2">
      <c r="A96" s="5"/>
      <c r="D96" s="3" t="s">
        <v>202</v>
      </c>
      <c r="N96" s="2">
        <f>SUBTOTAL(9,N95:N95)</f>
        <v>164</v>
      </c>
      <c r="O96" s="2">
        <f>SUBTOTAL(9,O95:O95)</f>
        <v>5103254.96</v>
      </c>
      <c r="P96" s="2">
        <f>+O96/N96</f>
        <v>31117.408292682925</v>
      </c>
    </row>
    <row r="97" spans="1:16" outlineLevel="2" x14ac:dyDescent="0.2">
      <c r="A97" s="5">
        <v>46238</v>
      </c>
      <c r="B97" s="2">
        <v>161400</v>
      </c>
      <c r="C97" s="2">
        <v>2</v>
      </c>
      <c r="D97" s="2" t="s">
        <v>111</v>
      </c>
      <c r="E97" s="2" t="s">
        <v>112</v>
      </c>
      <c r="F97" s="2" t="s">
        <v>38</v>
      </c>
      <c r="G97" s="2" t="s">
        <v>22</v>
      </c>
      <c r="H97" s="2" t="s">
        <v>23</v>
      </c>
      <c r="I97" s="2" t="s">
        <v>23</v>
      </c>
      <c r="J97" s="2">
        <v>5</v>
      </c>
      <c r="K97" s="2" t="s">
        <v>69</v>
      </c>
      <c r="L97" s="2">
        <v>2521</v>
      </c>
      <c r="M97" s="2" t="s">
        <v>62</v>
      </c>
      <c r="N97" s="2">
        <v>10</v>
      </c>
      <c r="O97" s="2">
        <v>290933.3</v>
      </c>
      <c r="P97" s="2">
        <v>29093.33</v>
      </c>
    </row>
    <row r="98" spans="1:16" outlineLevel="1" x14ac:dyDescent="0.2">
      <c r="A98" s="5"/>
      <c r="D98" s="3" t="s">
        <v>203</v>
      </c>
      <c r="N98" s="2">
        <f>SUBTOTAL(9,N97:N97)</f>
        <v>10</v>
      </c>
      <c r="O98" s="2">
        <f>SUBTOTAL(9,O97:O97)</f>
        <v>290933.3</v>
      </c>
      <c r="P98" s="2">
        <f>+O98/N98</f>
        <v>29093.329999999998</v>
      </c>
    </row>
    <row r="99" spans="1:16" outlineLevel="2" x14ac:dyDescent="0.2">
      <c r="A99" s="5">
        <v>46239</v>
      </c>
      <c r="B99" s="2">
        <v>161437</v>
      </c>
      <c r="C99" s="2">
        <v>4</v>
      </c>
      <c r="D99" s="2" t="s">
        <v>119</v>
      </c>
      <c r="E99" s="2" t="s">
        <v>23</v>
      </c>
      <c r="F99" s="2" t="s">
        <v>80</v>
      </c>
      <c r="G99" s="2" t="s">
        <v>22</v>
      </c>
      <c r="H99" s="2" t="s">
        <v>23</v>
      </c>
      <c r="I99" s="2" t="s">
        <v>23</v>
      </c>
      <c r="J99" s="2">
        <v>41</v>
      </c>
      <c r="K99" s="2" t="s">
        <v>39</v>
      </c>
      <c r="L99" s="2">
        <v>25213</v>
      </c>
      <c r="M99" s="2" t="s">
        <v>120</v>
      </c>
      <c r="N99" s="2">
        <v>2</v>
      </c>
      <c r="O99" s="2">
        <v>7220.88</v>
      </c>
      <c r="P99" s="2">
        <v>3610.44</v>
      </c>
    </row>
    <row r="100" spans="1:16" outlineLevel="1" x14ac:dyDescent="0.2">
      <c r="A100" s="5"/>
      <c r="D100" s="3" t="s">
        <v>204</v>
      </c>
      <c r="N100" s="2">
        <f>SUBTOTAL(9,N99:N99)</f>
        <v>2</v>
      </c>
      <c r="O100" s="2">
        <f>SUBTOTAL(9,O99:O99)</f>
        <v>7220.88</v>
      </c>
      <c r="P100" s="2">
        <f>+O100/N100</f>
        <v>3610.44</v>
      </c>
    </row>
    <row r="101" spans="1:16" outlineLevel="2" x14ac:dyDescent="0.2">
      <c r="A101" s="5">
        <v>46248</v>
      </c>
      <c r="B101" s="2">
        <v>161177</v>
      </c>
      <c r="C101" s="2">
        <v>305</v>
      </c>
      <c r="D101" s="2" t="s">
        <v>79</v>
      </c>
      <c r="E101" s="2" t="s">
        <v>23</v>
      </c>
      <c r="F101" s="2" t="s">
        <v>80</v>
      </c>
      <c r="G101" s="2" t="s">
        <v>23</v>
      </c>
      <c r="H101" s="2" t="s">
        <v>23</v>
      </c>
      <c r="I101" s="2" t="s">
        <v>23</v>
      </c>
      <c r="J101" s="2">
        <v>2</v>
      </c>
      <c r="K101" s="2" t="s">
        <v>29</v>
      </c>
      <c r="L101" s="2">
        <v>2252</v>
      </c>
      <c r="M101" s="2" t="s">
        <v>81</v>
      </c>
      <c r="N101" s="2">
        <v>1</v>
      </c>
      <c r="O101" s="2">
        <v>3423.75</v>
      </c>
      <c r="P101" s="2">
        <v>3423.75</v>
      </c>
    </row>
    <row r="102" spans="1:16" outlineLevel="1" x14ac:dyDescent="0.2">
      <c r="A102" s="5"/>
      <c r="D102" s="3" t="s">
        <v>205</v>
      </c>
      <c r="N102" s="2">
        <f>SUBTOTAL(9,N101:N101)</f>
        <v>1</v>
      </c>
      <c r="O102" s="2">
        <f>SUBTOTAL(9,O101:O101)</f>
        <v>3423.75</v>
      </c>
      <c r="P102" s="2">
        <f>+O102/N102</f>
        <v>3423.75</v>
      </c>
    </row>
    <row r="103" spans="1:16" outlineLevel="2" x14ac:dyDescent="0.2">
      <c r="A103" s="5">
        <v>46238</v>
      </c>
      <c r="B103" s="2">
        <v>161330</v>
      </c>
      <c r="C103" s="2">
        <v>300</v>
      </c>
      <c r="D103" s="2" t="s">
        <v>100</v>
      </c>
      <c r="E103" s="2" t="s">
        <v>23</v>
      </c>
      <c r="F103" s="2" t="s">
        <v>101</v>
      </c>
      <c r="G103" s="2" t="s">
        <v>22</v>
      </c>
      <c r="H103" s="2" t="s">
        <v>23</v>
      </c>
      <c r="I103" s="2" t="s">
        <v>23</v>
      </c>
      <c r="J103" s="2">
        <v>94</v>
      </c>
      <c r="K103" s="2" t="s">
        <v>102</v>
      </c>
      <c r="L103" s="2">
        <v>2024</v>
      </c>
      <c r="M103" s="2" t="s">
        <v>103</v>
      </c>
      <c r="N103" s="2">
        <v>1</v>
      </c>
      <c r="O103" s="2">
        <v>22092.54</v>
      </c>
      <c r="P103" s="2">
        <v>22092.54</v>
      </c>
    </row>
    <row r="104" spans="1:16" outlineLevel="2" x14ac:dyDescent="0.2">
      <c r="A104" s="5">
        <v>46239</v>
      </c>
      <c r="B104" s="2">
        <v>161409</v>
      </c>
      <c r="C104" s="2">
        <v>1</v>
      </c>
      <c r="D104" s="2" t="s">
        <v>100</v>
      </c>
      <c r="E104" s="2" t="s">
        <v>23</v>
      </c>
      <c r="F104" s="2" t="s">
        <v>101</v>
      </c>
      <c r="G104" s="2" t="s">
        <v>22</v>
      </c>
      <c r="H104" s="2" t="s">
        <v>23</v>
      </c>
      <c r="I104" s="2" t="s">
        <v>54</v>
      </c>
      <c r="J104" s="2">
        <v>1</v>
      </c>
      <c r="K104" s="2" t="s">
        <v>34</v>
      </c>
      <c r="L104" s="2">
        <v>2024</v>
      </c>
      <c r="M104" s="2" t="s">
        <v>103</v>
      </c>
      <c r="N104" s="2">
        <v>77</v>
      </c>
      <c r="O104" s="2">
        <v>3269612.47</v>
      </c>
      <c r="P104" s="2">
        <v>42462.5</v>
      </c>
    </row>
    <row r="105" spans="1:16" outlineLevel="2" x14ac:dyDescent="0.2">
      <c r="A105" s="5">
        <v>46244</v>
      </c>
      <c r="B105" s="2">
        <v>161409</v>
      </c>
      <c r="C105" s="2">
        <v>2</v>
      </c>
      <c r="D105" s="2" t="s">
        <v>100</v>
      </c>
      <c r="E105" s="2" t="s">
        <v>23</v>
      </c>
      <c r="F105" s="2" t="s">
        <v>101</v>
      </c>
      <c r="G105" s="2" t="s">
        <v>22</v>
      </c>
      <c r="H105" s="2" t="s">
        <v>23</v>
      </c>
      <c r="I105" s="2" t="s">
        <v>23</v>
      </c>
      <c r="J105" s="2">
        <v>1</v>
      </c>
      <c r="K105" s="2" t="s">
        <v>34</v>
      </c>
      <c r="L105" s="2">
        <v>2024</v>
      </c>
      <c r="M105" s="2" t="s">
        <v>103</v>
      </c>
      <c r="N105" s="2">
        <v>30</v>
      </c>
      <c r="O105" s="2">
        <v>1319913.6200000001</v>
      </c>
      <c r="P105" s="2">
        <v>43997.120000000003</v>
      </c>
    </row>
    <row r="106" spans="1:16" outlineLevel="2" x14ac:dyDescent="0.2">
      <c r="A106" s="5">
        <v>46244</v>
      </c>
      <c r="B106" s="2">
        <v>161409</v>
      </c>
      <c r="C106" s="2">
        <v>3</v>
      </c>
      <c r="D106" s="2" t="s">
        <v>100</v>
      </c>
      <c r="E106" s="2" t="s">
        <v>23</v>
      </c>
      <c r="F106" s="2" t="s">
        <v>101</v>
      </c>
      <c r="G106" s="2" t="s">
        <v>22</v>
      </c>
      <c r="H106" s="2" t="s">
        <v>23</v>
      </c>
      <c r="I106" s="2" t="s">
        <v>116</v>
      </c>
      <c r="J106" s="2">
        <v>1</v>
      </c>
      <c r="K106" s="2" t="s">
        <v>34</v>
      </c>
      <c r="L106" s="2">
        <v>2024</v>
      </c>
      <c r="M106" s="2" t="s">
        <v>103</v>
      </c>
      <c r="N106" s="2">
        <v>29</v>
      </c>
      <c r="O106" s="2">
        <v>1159051.99</v>
      </c>
      <c r="P106" s="2">
        <v>39967.31</v>
      </c>
    </row>
    <row r="107" spans="1:16" outlineLevel="1" x14ac:dyDescent="0.2">
      <c r="A107" s="5"/>
      <c r="D107" s="3" t="s">
        <v>206</v>
      </c>
      <c r="N107" s="2">
        <f>SUBTOTAL(9,N103:N106)</f>
        <v>137</v>
      </c>
      <c r="O107" s="2">
        <f>SUBTOTAL(9,O103:O106)</f>
        <v>5770670.620000001</v>
      </c>
      <c r="P107" s="2">
        <f>+O107/N107</f>
        <v>42121.683357664238</v>
      </c>
    </row>
    <row r="108" spans="1:16" outlineLevel="2" x14ac:dyDescent="0.2">
      <c r="A108" s="5">
        <v>46244</v>
      </c>
      <c r="B108" s="2">
        <v>161582</v>
      </c>
      <c r="C108" s="2">
        <v>1</v>
      </c>
      <c r="D108" s="2" t="s">
        <v>145</v>
      </c>
      <c r="E108" s="2" t="s">
        <v>146</v>
      </c>
      <c r="F108" s="2" t="s">
        <v>101</v>
      </c>
      <c r="G108" s="2" t="s">
        <v>22</v>
      </c>
      <c r="H108" s="2" t="s">
        <v>23</v>
      </c>
      <c r="I108" s="2" t="s">
        <v>116</v>
      </c>
      <c r="J108" s="2">
        <v>1</v>
      </c>
      <c r="K108" s="2" t="s">
        <v>34</v>
      </c>
      <c r="L108" s="2">
        <v>1037</v>
      </c>
      <c r="M108" s="2" t="s">
        <v>147</v>
      </c>
      <c r="N108" s="2">
        <v>17</v>
      </c>
      <c r="O108" s="2">
        <v>983241.78</v>
      </c>
      <c r="P108" s="2">
        <v>57837.75</v>
      </c>
    </row>
    <row r="109" spans="1:16" outlineLevel="1" x14ac:dyDescent="0.2">
      <c r="A109" s="5"/>
      <c r="D109" s="3" t="s">
        <v>207</v>
      </c>
      <c r="N109" s="2">
        <f>SUBTOTAL(9,N108:N108)</f>
        <v>17</v>
      </c>
      <c r="O109" s="2">
        <f>SUBTOTAL(9,O108:O108)</f>
        <v>983241.78</v>
      </c>
      <c r="P109" s="2">
        <f>+O109/N109</f>
        <v>57837.751764705885</v>
      </c>
    </row>
    <row r="110" spans="1:16" outlineLevel="2" x14ac:dyDescent="0.2">
      <c r="A110" s="5">
        <v>46246</v>
      </c>
      <c r="B110" s="2">
        <v>161558</v>
      </c>
      <c r="C110" s="2">
        <v>1</v>
      </c>
      <c r="D110" s="2" t="s">
        <v>133</v>
      </c>
      <c r="E110" s="2" t="s">
        <v>23</v>
      </c>
      <c r="F110" s="2" t="s">
        <v>80</v>
      </c>
      <c r="G110" s="2" t="s">
        <v>22</v>
      </c>
      <c r="H110" s="2" t="s">
        <v>23</v>
      </c>
      <c r="I110" s="2" t="s">
        <v>23</v>
      </c>
      <c r="J110" s="2">
        <v>1</v>
      </c>
      <c r="K110" s="2" t="s">
        <v>34</v>
      </c>
      <c r="L110" s="2">
        <v>25213</v>
      </c>
      <c r="M110" s="2" t="s">
        <v>120</v>
      </c>
      <c r="N110" s="2">
        <v>7</v>
      </c>
      <c r="O110" s="2">
        <v>633501.87</v>
      </c>
      <c r="P110" s="2">
        <v>90500.27</v>
      </c>
    </row>
    <row r="111" spans="1:16" outlineLevel="2" x14ac:dyDescent="0.2">
      <c r="A111" s="5">
        <v>46246</v>
      </c>
      <c r="B111" s="2">
        <v>161558</v>
      </c>
      <c r="C111" s="2">
        <v>3</v>
      </c>
      <c r="D111" s="2" t="s">
        <v>133</v>
      </c>
      <c r="E111" s="2" t="s">
        <v>23</v>
      </c>
      <c r="F111" s="2" t="s">
        <v>80</v>
      </c>
      <c r="G111" s="2" t="s">
        <v>22</v>
      </c>
      <c r="H111" s="2" t="s">
        <v>23</v>
      </c>
      <c r="I111" s="2" t="s">
        <v>23</v>
      </c>
      <c r="J111" s="2">
        <v>41</v>
      </c>
      <c r="K111" s="2" t="s">
        <v>39</v>
      </c>
      <c r="L111" s="2">
        <v>25213</v>
      </c>
      <c r="M111" s="2" t="s">
        <v>120</v>
      </c>
      <c r="N111" s="2">
        <v>12</v>
      </c>
      <c r="O111" s="2">
        <v>45192.2</v>
      </c>
      <c r="P111" s="2">
        <v>3766.02</v>
      </c>
    </row>
    <row r="112" spans="1:16" outlineLevel="2" x14ac:dyDescent="0.2">
      <c r="A112" s="5">
        <v>46248</v>
      </c>
      <c r="B112" s="2">
        <v>161627</v>
      </c>
      <c r="C112" s="2">
        <v>1</v>
      </c>
      <c r="D112" s="2" t="s">
        <v>133</v>
      </c>
      <c r="E112" s="2" t="s">
        <v>23</v>
      </c>
      <c r="F112" s="2" t="s">
        <v>80</v>
      </c>
      <c r="G112" s="2" t="s">
        <v>22</v>
      </c>
      <c r="H112" s="2" t="s">
        <v>23</v>
      </c>
      <c r="I112" s="2" t="s">
        <v>23</v>
      </c>
      <c r="J112" s="2">
        <v>41</v>
      </c>
      <c r="K112" s="2" t="s">
        <v>39</v>
      </c>
      <c r="L112" s="2">
        <v>25213</v>
      </c>
      <c r="M112" s="2" t="s">
        <v>120</v>
      </c>
      <c r="N112" s="2">
        <v>61</v>
      </c>
      <c r="O112" s="2">
        <v>302286.11</v>
      </c>
      <c r="P112" s="2">
        <v>4955.51</v>
      </c>
    </row>
    <row r="113" spans="1:16" outlineLevel="2" x14ac:dyDescent="0.2">
      <c r="A113" s="5">
        <v>46248</v>
      </c>
      <c r="B113" s="2">
        <v>161627</v>
      </c>
      <c r="C113" s="2">
        <v>4</v>
      </c>
      <c r="D113" s="2" t="s">
        <v>133</v>
      </c>
      <c r="E113" s="2" t="s">
        <v>23</v>
      </c>
      <c r="F113" s="2" t="s">
        <v>80</v>
      </c>
      <c r="G113" s="2" t="s">
        <v>22</v>
      </c>
      <c r="H113" s="2" t="s">
        <v>23</v>
      </c>
      <c r="I113" s="2" t="s">
        <v>23</v>
      </c>
      <c r="J113" s="2">
        <v>1</v>
      </c>
      <c r="K113" s="2" t="s">
        <v>34</v>
      </c>
      <c r="L113" s="2">
        <v>25213</v>
      </c>
      <c r="M113" s="2" t="s">
        <v>120</v>
      </c>
      <c r="N113" s="2">
        <v>4</v>
      </c>
      <c r="O113" s="2">
        <v>364668.04</v>
      </c>
      <c r="P113" s="2">
        <v>91167.01</v>
      </c>
    </row>
    <row r="114" spans="1:16" outlineLevel="1" x14ac:dyDescent="0.2">
      <c r="A114" s="5"/>
      <c r="D114" s="3" t="s">
        <v>208</v>
      </c>
      <c r="N114" s="2">
        <f>SUBTOTAL(9,N110:N113)</f>
        <v>84</v>
      </c>
      <c r="O114" s="2">
        <f>SUBTOTAL(9,O110:O113)</f>
        <v>1345648.22</v>
      </c>
      <c r="P114" s="2">
        <f>+O114/N114</f>
        <v>16019.621666666666</v>
      </c>
    </row>
    <row r="115" spans="1:16" outlineLevel="2" x14ac:dyDescent="0.2">
      <c r="A115" s="5">
        <v>46248</v>
      </c>
      <c r="B115" s="2">
        <v>161629</v>
      </c>
      <c r="C115" s="2">
        <v>1</v>
      </c>
      <c r="D115" s="2" t="s">
        <v>173</v>
      </c>
      <c r="E115" s="2" t="s">
        <v>174</v>
      </c>
      <c r="F115" s="2" t="s">
        <v>80</v>
      </c>
      <c r="G115" s="2" t="s">
        <v>22</v>
      </c>
      <c r="H115" s="2" t="s">
        <v>23</v>
      </c>
      <c r="I115" s="2" t="s">
        <v>23</v>
      </c>
      <c r="J115" s="2">
        <v>41</v>
      </c>
      <c r="K115" s="2" t="s">
        <v>39</v>
      </c>
      <c r="L115" s="2">
        <v>2338</v>
      </c>
      <c r="M115" s="2" t="s">
        <v>175</v>
      </c>
      <c r="N115" s="2">
        <v>305</v>
      </c>
      <c r="O115" s="2">
        <v>320642.36</v>
      </c>
      <c r="P115" s="2">
        <v>1051.29</v>
      </c>
    </row>
    <row r="116" spans="1:16" outlineLevel="1" x14ac:dyDescent="0.2">
      <c r="A116" s="5"/>
      <c r="D116" s="3" t="s">
        <v>209</v>
      </c>
      <c r="N116" s="2">
        <f>SUBTOTAL(9,N115:N115)</f>
        <v>305</v>
      </c>
      <c r="O116" s="2">
        <f>SUBTOTAL(9,O115:O115)</f>
        <v>320642.36</v>
      </c>
      <c r="P116" s="2">
        <f>+O116/N116</f>
        <v>1051.2864262295082</v>
      </c>
    </row>
    <row r="117" spans="1:16" outlineLevel="2" x14ac:dyDescent="0.2">
      <c r="A117" s="5">
        <v>46248</v>
      </c>
      <c r="B117" s="2">
        <v>161625</v>
      </c>
      <c r="C117" s="2">
        <v>1</v>
      </c>
      <c r="D117" s="2" t="s">
        <v>169</v>
      </c>
      <c r="E117" s="2" t="s">
        <v>170</v>
      </c>
      <c r="F117" s="2" t="s">
        <v>88</v>
      </c>
      <c r="G117" s="2" t="s">
        <v>22</v>
      </c>
      <c r="H117" s="2" t="s">
        <v>23</v>
      </c>
      <c r="I117" s="2" t="s">
        <v>23</v>
      </c>
      <c r="J117" s="2">
        <v>1</v>
      </c>
      <c r="K117" s="2" t="s">
        <v>34</v>
      </c>
      <c r="L117" s="2">
        <v>25145</v>
      </c>
      <c r="M117" s="2" t="s">
        <v>171</v>
      </c>
      <c r="N117" s="2">
        <v>15</v>
      </c>
      <c r="O117" s="2">
        <v>486021.97</v>
      </c>
      <c r="P117" s="2">
        <v>32401.46</v>
      </c>
    </row>
    <row r="118" spans="1:16" outlineLevel="1" x14ac:dyDescent="0.2">
      <c r="A118" s="5"/>
      <c r="D118" s="3" t="s">
        <v>210</v>
      </c>
      <c r="N118" s="2">
        <f>SUBTOTAL(9,N117:N117)</f>
        <v>15</v>
      </c>
      <c r="O118" s="2">
        <f>SUBTOTAL(9,O117:O117)</f>
        <v>486021.97</v>
      </c>
      <c r="P118" s="2">
        <f>+O118/N118</f>
        <v>32401.464666666663</v>
      </c>
    </row>
    <row r="119" spans="1:16" outlineLevel="2" x14ac:dyDescent="0.2">
      <c r="A119" s="5">
        <v>46246</v>
      </c>
      <c r="B119" s="2">
        <v>161568</v>
      </c>
      <c r="C119" s="2">
        <v>319</v>
      </c>
      <c r="D119" s="2" t="s">
        <v>86</v>
      </c>
      <c r="E119" s="2" t="s">
        <v>139</v>
      </c>
      <c r="F119" s="2" t="s">
        <v>88</v>
      </c>
      <c r="G119" s="2" t="s">
        <v>22</v>
      </c>
      <c r="H119" s="2" t="s">
        <v>23</v>
      </c>
      <c r="I119" s="2" t="s">
        <v>23</v>
      </c>
      <c r="J119" s="2">
        <v>41</v>
      </c>
      <c r="K119" s="2" t="s">
        <v>39</v>
      </c>
      <c r="L119" s="2">
        <v>801</v>
      </c>
      <c r="M119" s="2" t="s">
        <v>89</v>
      </c>
      <c r="N119" s="2">
        <v>4</v>
      </c>
      <c r="O119" s="2">
        <v>88680.15</v>
      </c>
      <c r="P119" s="2">
        <v>22170.04</v>
      </c>
    </row>
    <row r="120" spans="1:16" outlineLevel="2" x14ac:dyDescent="0.2">
      <c r="A120" s="5">
        <v>46248</v>
      </c>
      <c r="B120" s="2">
        <v>161268</v>
      </c>
      <c r="C120" s="2">
        <v>305</v>
      </c>
      <c r="D120" s="2" t="s">
        <v>86</v>
      </c>
      <c r="E120" s="2" t="s">
        <v>91</v>
      </c>
      <c r="F120" s="2" t="s">
        <v>59</v>
      </c>
      <c r="G120" s="2" t="s">
        <v>23</v>
      </c>
      <c r="H120" s="2" t="s">
        <v>23</v>
      </c>
      <c r="I120" s="2" t="s">
        <v>23</v>
      </c>
      <c r="J120" s="2">
        <v>2</v>
      </c>
      <c r="K120" s="2" t="s">
        <v>29</v>
      </c>
      <c r="L120" s="2">
        <v>626</v>
      </c>
      <c r="M120" s="2" t="s">
        <v>92</v>
      </c>
      <c r="N120" s="2">
        <v>3</v>
      </c>
      <c r="O120" s="2">
        <v>22405.97</v>
      </c>
      <c r="P120" s="2">
        <v>7468.66</v>
      </c>
    </row>
    <row r="121" spans="1:16" outlineLevel="2" x14ac:dyDescent="0.2">
      <c r="A121" s="5">
        <v>46248</v>
      </c>
      <c r="B121" s="2">
        <v>161279</v>
      </c>
      <c r="C121" s="2">
        <v>304</v>
      </c>
      <c r="D121" s="2" t="s">
        <v>86</v>
      </c>
      <c r="E121" s="2" t="s">
        <v>91</v>
      </c>
      <c r="F121" s="2" t="s">
        <v>59</v>
      </c>
      <c r="G121" s="2" t="s">
        <v>23</v>
      </c>
      <c r="H121" s="2" t="s">
        <v>23</v>
      </c>
      <c r="I121" s="2" t="s">
        <v>23</v>
      </c>
      <c r="J121" s="2">
        <v>2</v>
      </c>
      <c r="K121" s="2" t="s">
        <v>29</v>
      </c>
      <c r="L121" s="2">
        <v>626</v>
      </c>
      <c r="M121" s="2" t="s">
        <v>92</v>
      </c>
      <c r="N121" s="2">
        <v>1</v>
      </c>
      <c r="O121" s="2">
        <v>6224.07</v>
      </c>
      <c r="P121" s="2">
        <v>6224.07</v>
      </c>
    </row>
    <row r="122" spans="1:16" outlineLevel="2" x14ac:dyDescent="0.2">
      <c r="A122" s="5">
        <v>46248</v>
      </c>
      <c r="B122" s="2">
        <v>161535</v>
      </c>
      <c r="C122" s="2">
        <v>302</v>
      </c>
      <c r="D122" s="2" t="s">
        <v>86</v>
      </c>
      <c r="E122" s="2" t="s">
        <v>91</v>
      </c>
      <c r="F122" s="2" t="s">
        <v>59</v>
      </c>
      <c r="G122" s="2" t="s">
        <v>23</v>
      </c>
      <c r="H122" s="2" t="s">
        <v>23</v>
      </c>
      <c r="I122" s="2" t="s">
        <v>23</v>
      </c>
      <c r="J122" s="2">
        <v>2</v>
      </c>
      <c r="K122" s="2" t="s">
        <v>29</v>
      </c>
      <c r="L122" s="2">
        <v>1557</v>
      </c>
      <c r="M122" s="2" t="s">
        <v>130</v>
      </c>
      <c r="N122" s="2">
        <v>2</v>
      </c>
      <c r="O122" s="2">
        <v>15248.46</v>
      </c>
      <c r="P122" s="2">
        <v>7624.23</v>
      </c>
    </row>
    <row r="123" spans="1:16" outlineLevel="2" x14ac:dyDescent="0.2">
      <c r="A123" s="5">
        <v>46237</v>
      </c>
      <c r="B123" s="2">
        <v>161411</v>
      </c>
      <c r="C123" s="2">
        <v>14</v>
      </c>
      <c r="D123" s="2" t="s">
        <v>86</v>
      </c>
      <c r="E123" s="2" t="s">
        <v>117</v>
      </c>
      <c r="F123" s="2" t="s">
        <v>88</v>
      </c>
      <c r="G123" s="2" t="s">
        <v>118</v>
      </c>
      <c r="H123" s="2" t="s">
        <v>23</v>
      </c>
      <c r="I123" s="2" t="s">
        <v>23</v>
      </c>
      <c r="J123" s="2">
        <v>41</v>
      </c>
      <c r="K123" s="2" t="s">
        <v>39</v>
      </c>
      <c r="L123" s="2">
        <v>801</v>
      </c>
      <c r="M123" s="2" t="s">
        <v>89</v>
      </c>
      <c r="N123" s="2">
        <v>13</v>
      </c>
      <c r="O123" s="2">
        <v>79979.490000000005</v>
      </c>
      <c r="P123" s="2">
        <v>6152.27</v>
      </c>
    </row>
    <row r="124" spans="1:16" outlineLevel="2" x14ac:dyDescent="0.2">
      <c r="A124" s="5">
        <v>46232</v>
      </c>
      <c r="B124" s="2">
        <v>161248</v>
      </c>
      <c r="C124" s="2">
        <v>2</v>
      </c>
      <c r="D124" s="2" t="s">
        <v>86</v>
      </c>
      <c r="E124" s="2" t="s">
        <v>87</v>
      </c>
      <c r="F124" s="2" t="s">
        <v>88</v>
      </c>
      <c r="G124" s="2" t="s">
        <v>22</v>
      </c>
      <c r="H124" s="2" t="s">
        <v>23</v>
      </c>
      <c r="I124" s="2" t="s">
        <v>23</v>
      </c>
      <c r="J124" s="2">
        <v>41</v>
      </c>
      <c r="K124" s="2" t="s">
        <v>39</v>
      </c>
      <c r="L124" s="2">
        <v>801</v>
      </c>
      <c r="M124" s="2" t="s">
        <v>89</v>
      </c>
      <c r="N124" s="2">
        <v>3</v>
      </c>
      <c r="O124" s="2">
        <v>34850.67</v>
      </c>
      <c r="P124" s="2">
        <v>11616.89</v>
      </c>
    </row>
    <row r="125" spans="1:16" outlineLevel="2" x14ac:dyDescent="0.2">
      <c r="A125" s="5">
        <v>46246</v>
      </c>
      <c r="B125" s="2">
        <v>161568</v>
      </c>
      <c r="C125" s="2">
        <v>318</v>
      </c>
      <c r="D125" s="2" t="s">
        <v>86</v>
      </c>
      <c r="E125" s="2" t="s">
        <v>138</v>
      </c>
      <c r="F125" s="2" t="s">
        <v>88</v>
      </c>
      <c r="G125" s="2" t="s">
        <v>22</v>
      </c>
      <c r="H125" s="2" t="s">
        <v>23</v>
      </c>
      <c r="I125" s="2" t="s">
        <v>23</v>
      </c>
      <c r="J125" s="2">
        <v>41</v>
      </c>
      <c r="K125" s="2" t="s">
        <v>39</v>
      </c>
      <c r="L125" s="2">
        <v>801</v>
      </c>
      <c r="M125" s="2" t="s">
        <v>89</v>
      </c>
      <c r="N125" s="2">
        <v>1</v>
      </c>
      <c r="O125" s="2">
        <v>22092.54</v>
      </c>
      <c r="P125" s="2">
        <v>22092.54</v>
      </c>
    </row>
    <row r="126" spans="1:16" outlineLevel="2" x14ac:dyDescent="0.2">
      <c r="A126" s="5">
        <v>46248</v>
      </c>
      <c r="B126" s="2">
        <v>161728</v>
      </c>
      <c r="C126" s="2">
        <v>8</v>
      </c>
      <c r="D126" s="2" t="s">
        <v>86</v>
      </c>
      <c r="E126" s="2" t="s">
        <v>138</v>
      </c>
      <c r="F126" s="2" t="s">
        <v>88</v>
      </c>
      <c r="G126" s="2" t="s">
        <v>22</v>
      </c>
      <c r="H126" s="2" t="s">
        <v>23</v>
      </c>
      <c r="I126" s="2" t="s">
        <v>178</v>
      </c>
      <c r="J126" s="2">
        <v>41</v>
      </c>
      <c r="K126" s="2" t="s">
        <v>39</v>
      </c>
      <c r="L126" s="2">
        <v>801</v>
      </c>
      <c r="M126" s="2" t="s">
        <v>89</v>
      </c>
      <c r="N126" s="2">
        <v>15</v>
      </c>
      <c r="O126" s="2">
        <v>271647.96000000002</v>
      </c>
      <c r="P126" s="2">
        <v>18109.86</v>
      </c>
    </row>
    <row r="127" spans="1:16" outlineLevel="2" x14ac:dyDescent="0.2">
      <c r="A127" s="5">
        <v>46241</v>
      </c>
      <c r="B127" s="2">
        <v>161568</v>
      </c>
      <c r="C127" s="2">
        <v>9</v>
      </c>
      <c r="D127" s="2" t="s">
        <v>86</v>
      </c>
      <c r="E127" s="2" t="s">
        <v>136</v>
      </c>
      <c r="F127" s="2" t="s">
        <v>88</v>
      </c>
      <c r="G127" s="2" t="s">
        <v>22</v>
      </c>
      <c r="H127" s="2" t="s">
        <v>23</v>
      </c>
      <c r="I127" s="2" t="s">
        <v>23</v>
      </c>
      <c r="J127" s="2">
        <v>41</v>
      </c>
      <c r="K127" s="2" t="s">
        <v>39</v>
      </c>
      <c r="L127" s="2">
        <v>25088</v>
      </c>
      <c r="M127" s="2" t="s">
        <v>137</v>
      </c>
      <c r="N127" s="2">
        <v>3</v>
      </c>
      <c r="O127" s="2">
        <v>53829.440000000002</v>
      </c>
      <c r="P127" s="2">
        <v>17943.150000000001</v>
      </c>
    </row>
    <row r="128" spans="1:16" outlineLevel="2" x14ac:dyDescent="0.2">
      <c r="A128" s="5">
        <v>46246</v>
      </c>
      <c r="B128" s="2">
        <v>161679</v>
      </c>
      <c r="C128" s="2">
        <v>3</v>
      </c>
      <c r="D128" s="2" t="s">
        <v>86</v>
      </c>
      <c r="E128" s="2" t="s">
        <v>136</v>
      </c>
      <c r="F128" s="2" t="s">
        <v>88</v>
      </c>
      <c r="G128" s="2" t="s">
        <v>22</v>
      </c>
      <c r="H128" s="2" t="s">
        <v>23</v>
      </c>
      <c r="I128" s="2" t="s">
        <v>23</v>
      </c>
      <c r="J128" s="2">
        <v>41</v>
      </c>
      <c r="K128" s="2" t="s">
        <v>39</v>
      </c>
      <c r="L128" s="2">
        <v>801</v>
      </c>
      <c r="M128" s="2" t="s">
        <v>89</v>
      </c>
      <c r="N128" s="2">
        <v>20</v>
      </c>
      <c r="O128" s="2">
        <v>356887.7</v>
      </c>
      <c r="P128" s="2">
        <v>17844.39</v>
      </c>
    </row>
    <row r="129" spans="1:16" outlineLevel="2" x14ac:dyDescent="0.2">
      <c r="A129" s="5">
        <v>46244</v>
      </c>
      <c r="B129" s="2">
        <v>161588</v>
      </c>
      <c r="C129" s="2">
        <v>5</v>
      </c>
      <c r="D129" s="2" t="s">
        <v>86</v>
      </c>
      <c r="E129" s="2" t="s">
        <v>156</v>
      </c>
      <c r="F129" s="2" t="s">
        <v>88</v>
      </c>
      <c r="G129" s="2" t="s">
        <v>22</v>
      </c>
      <c r="H129" s="2" t="s">
        <v>23</v>
      </c>
      <c r="I129" s="2" t="s">
        <v>23</v>
      </c>
      <c r="J129" s="2">
        <v>2</v>
      </c>
      <c r="K129" s="2" t="s">
        <v>29</v>
      </c>
      <c r="L129" s="2">
        <v>106</v>
      </c>
      <c r="M129" s="2" t="s">
        <v>157</v>
      </c>
      <c r="N129" s="2">
        <v>1</v>
      </c>
      <c r="O129" s="2">
        <v>37027.56</v>
      </c>
      <c r="P129" s="2">
        <v>37027.56</v>
      </c>
    </row>
    <row r="130" spans="1:16" outlineLevel="2" x14ac:dyDescent="0.2">
      <c r="A130" s="5">
        <v>46246</v>
      </c>
      <c r="B130" s="2">
        <v>161646</v>
      </c>
      <c r="C130" s="2">
        <v>6</v>
      </c>
      <c r="D130" s="2" t="s">
        <v>86</v>
      </c>
      <c r="E130" s="2" t="s">
        <v>156</v>
      </c>
      <c r="F130" s="2" t="s">
        <v>88</v>
      </c>
      <c r="G130" s="2" t="s">
        <v>22</v>
      </c>
      <c r="H130" s="2" t="s">
        <v>23</v>
      </c>
      <c r="I130" s="2" t="s">
        <v>23</v>
      </c>
      <c r="J130" s="2">
        <v>2</v>
      </c>
      <c r="K130" s="2" t="s">
        <v>29</v>
      </c>
      <c r="L130" s="2">
        <v>106</v>
      </c>
      <c r="M130" s="2" t="s">
        <v>157</v>
      </c>
      <c r="N130" s="2">
        <v>35</v>
      </c>
      <c r="O130" s="2">
        <v>1148481.28</v>
      </c>
      <c r="P130" s="2">
        <v>32813.75</v>
      </c>
    </row>
    <row r="131" spans="1:16" outlineLevel="1" x14ac:dyDescent="0.2">
      <c r="A131" s="5"/>
      <c r="D131" s="3" t="s">
        <v>211</v>
      </c>
      <c r="N131" s="2">
        <f>SUBTOTAL(9,N119:N130)</f>
        <v>101</v>
      </c>
      <c r="O131" s="2">
        <f>SUBTOTAL(9,O119:O130)</f>
        <v>2137355.29</v>
      </c>
      <c r="P131" s="2">
        <f>+O131/N131</f>
        <v>21161.933564356437</v>
      </c>
    </row>
    <row r="132" spans="1:16" outlineLevel="2" x14ac:dyDescent="0.2">
      <c r="A132" s="5">
        <v>46244</v>
      </c>
      <c r="B132" s="2">
        <v>161583</v>
      </c>
      <c r="C132" s="2">
        <v>1</v>
      </c>
      <c r="D132" s="2" t="s">
        <v>42</v>
      </c>
      <c r="E132" s="2" t="s">
        <v>148</v>
      </c>
      <c r="F132" s="2" t="s">
        <v>38</v>
      </c>
      <c r="G132" s="2" t="s">
        <v>22</v>
      </c>
      <c r="H132" s="2" t="s">
        <v>23</v>
      </c>
      <c r="I132" s="2" t="s">
        <v>23</v>
      </c>
      <c r="J132" s="2">
        <v>1</v>
      </c>
      <c r="K132" s="2" t="s">
        <v>34</v>
      </c>
      <c r="L132" s="2">
        <v>2541</v>
      </c>
      <c r="M132" s="2" t="s">
        <v>44</v>
      </c>
      <c r="N132" s="2">
        <v>78</v>
      </c>
      <c r="O132" s="2">
        <v>5120618.9400000004</v>
      </c>
      <c r="P132" s="2">
        <v>65648.960000000006</v>
      </c>
    </row>
    <row r="133" spans="1:16" outlineLevel="2" x14ac:dyDescent="0.2">
      <c r="A133" s="5">
        <v>46223</v>
      </c>
      <c r="B133" s="2">
        <v>161095</v>
      </c>
      <c r="C133" s="2">
        <v>2</v>
      </c>
      <c r="D133" s="2" t="s">
        <v>42</v>
      </c>
      <c r="E133" s="2" t="s">
        <v>70</v>
      </c>
      <c r="F133" s="2" t="s">
        <v>38</v>
      </c>
      <c r="G133" s="2" t="s">
        <v>22</v>
      </c>
      <c r="H133" s="2" t="s">
        <v>23</v>
      </c>
      <c r="I133" s="2" t="s">
        <v>23</v>
      </c>
      <c r="J133" s="2">
        <v>1</v>
      </c>
      <c r="K133" s="2" t="s">
        <v>34</v>
      </c>
      <c r="L133" s="2">
        <v>2541</v>
      </c>
      <c r="M133" s="2" t="s">
        <v>44</v>
      </c>
      <c r="N133" s="2">
        <v>2</v>
      </c>
      <c r="O133" s="2">
        <v>92723.9</v>
      </c>
      <c r="P133" s="2">
        <v>46361.95</v>
      </c>
    </row>
    <row r="134" spans="1:16" outlineLevel="2" x14ac:dyDescent="0.2">
      <c r="A134" s="5">
        <v>46195</v>
      </c>
      <c r="B134" s="2">
        <v>160340</v>
      </c>
      <c r="C134" s="2">
        <v>2</v>
      </c>
      <c r="D134" s="2" t="s">
        <v>42</v>
      </c>
      <c r="E134" s="2" t="s">
        <v>43</v>
      </c>
      <c r="F134" s="2" t="s">
        <v>38</v>
      </c>
      <c r="G134" s="2" t="s">
        <v>22</v>
      </c>
      <c r="H134" s="2" t="s">
        <v>23</v>
      </c>
      <c r="I134" s="2" t="s">
        <v>23</v>
      </c>
      <c r="J134" s="2">
        <v>1</v>
      </c>
      <c r="K134" s="2" t="s">
        <v>34</v>
      </c>
      <c r="L134" s="2">
        <v>2541</v>
      </c>
      <c r="M134" s="2" t="s">
        <v>44</v>
      </c>
      <c r="N134" s="2">
        <v>3</v>
      </c>
      <c r="O134" s="2">
        <v>153087.42000000001</v>
      </c>
      <c r="P134" s="2">
        <v>51029.14</v>
      </c>
    </row>
    <row r="135" spans="1:16" outlineLevel="2" x14ac:dyDescent="0.2">
      <c r="A135" s="5">
        <v>46238</v>
      </c>
      <c r="B135" s="2">
        <v>161095</v>
      </c>
      <c r="C135" s="2">
        <v>3</v>
      </c>
      <c r="D135" s="2" t="s">
        <v>42</v>
      </c>
      <c r="E135" s="2" t="s">
        <v>43</v>
      </c>
      <c r="F135" s="2" t="s">
        <v>38</v>
      </c>
      <c r="G135" s="2" t="s">
        <v>22</v>
      </c>
      <c r="H135" s="2" t="s">
        <v>23</v>
      </c>
      <c r="I135" s="2" t="s">
        <v>23</v>
      </c>
      <c r="J135" s="2">
        <v>1</v>
      </c>
      <c r="K135" s="2" t="s">
        <v>34</v>
      </c>
      <c r="L135" s="2">
        <v>2541</v>
      </c>
      <c r="M135" s="2" t="s">
        <v>44</v>
      </c>
      <c r="N135" s="2">
        <v>6</v>
      </c>
      <c r="O135" s="2">
        <v>282838.84999999998</v>
      </c>
      <c r="P135" s="2">
        <v>47139.81</v>
      </c>
    </row>
    <row r="136" spans="1:16" outlineLevel="2" x14ac:dyDescent="0.2">
      <c r="A136" s="5">
        <v>46246</v>
      </c>
      <c r="B136" s="2">
        <v>161208</v>
      </c>
      <c r="C136" s="2">
        <v>2</v>
      </c>
      <c r="D136" s="2" t="s">
        <v>42</v>
      </c>
      <c r="E136" s="2" t="s">
        <v>43</v>
      </c>
      <c r="F136" s="2" t="s">
        <v>38</v>
      </c>
      <c r="G136" s="2" t="s">
        <v>22</v>
      </c>
      <c r="H136" s="2" t="s">
        <v>23</v>
      </c>
      <c r="I136" s="2" t="s">
        <v>23</v>
      </c>
      <c r="J136" s="2">
        <v>86</v>
      </c>
      <c r="K136" s="2" t="s">
        <v>85</v>
      </c>
      <c r="L136" s="2">
        <v>2541</v>
      </c>
      <c r="M136" s="2" t="s">
        <v>44</v>
      </c>
      <c r="N136" s="2">
        <v>9</v>
      </c>
      <c r="O136" s="2">
        <v>239904.09</v>
      </c>
      <c r="P136" s="2">
        <v>26656.01</v>
      </c>
    </row>
    <row r="137" spans="1:16" outlineLevel="1" x14ac:dyDescent="0.2">
      <c r="A137" s="5"/>
      <c r="D137" s="3" t="s">
        <v>212</v>
      </c>
      <c r="N137" s="2">
        <f>SUBTOTAL(9,N132:N136)</f>
        <v>98</v>
      </c>
      <c r="O137" s="2">
        <f>SUBTOTAL(9,O132:O136)</f>
        <v>5889173.2000000002</v>
      </c>
      <c r="P137" s="2">
        <f>+O137/N137</f>
        <v>60093.604081632657</v>
      </c>
    </row>
    <row r="138" spans="1:16" x14ac:dyDescent="0.2">
      <c r="A138" s="5"/>
      <c r="D138" s="3" t="s">
        <v>213</v>
      </c>
      <c r="N138" s="2">
        <f>SUBTOTAL(9,N5:N136)</f>
        <v>2961</v>
      </c>
      <c r="O138" s="2">
        <f>SUBTOTAL(9,O5:O136)</f>
        <v>92945513.540000007</v>
      </c>
    </row>
  </sheetData>
  <sortState ref="A5:P104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2026-08-14T17:16:33Z</dcterms:created>
  <dcterms:modified xsi:type="dcterms:W3CDTF">2026-08-14T17:17:43Z</dcterms:modified>
</cp:coreProperties>
</file>