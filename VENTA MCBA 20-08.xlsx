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Usuario\LORENA\"/>
    </mc:Choice>
  </mc:AlternateContent>
  <bookViews>
    <workbookView xWindow="0" yWindow="0" windowWidth="15360" windowHeight="958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" i="1" l="1"/>
  <c r="P11" i="1"/>
  <c r="P13" i="1"/>
  <c r="P15" i="1"/>
  <c r="P17" i="1"/>
  <c r="P20" i="1"/>
  <c r="P22" i="1"/>
  <c r="P25" i="1"/>
  <c r="P27" i="1"/>
  <c r="P29" i="1"/>
  <c r="P32" i="1"/>
  <c r="P35" i="1"/>
  <c r="P37" i="1"/>
  <c r="P39" i="1"/>
  <c r="P41" i="1"/>
  <c r="P43" i="1"/>
  <c r="P46" i="1"/>
  <c r="O47" i="1"/>
  <c r="N47" i="1"/>
  <c r="O46" i="1"/>
  <c r="N46" i="1"/>
  <c r="O43" i="1"/>
  <c r="N43" i="1"/>
  <c r="O41" i="1"/>
  <c r="N41" i="1"/>
  <c r="O39" i="1"/>
  <c r="N39" i="1"/>
  <c r="O37" i="1"/>
  <c r="N37" i="1"/>
  <c r="O35" i="1"/>
  <c r="N35" i="1"/>
  <c r="O32" i="1"/>
  <c r="N32" i="1"/>
  <c r="O29" i="1"/>
  <c r="N29" i="1"/>
  <c r="O27" i="1"/>
  <c r="N27" i="1"/>
  <c r="O25" i="1"/>
  <c r="N25" i="1"/>
  <c r="O22" i="1"/>
  <c r="N22" i="1"/>
  <c r="O20" i="1"/>
  <c r="N20" i="1"/>
  <c r="O17" i="1"/>
  <c r="N17" i="1"/>
  <c r="O15" i="1"/>
  <c r="N15" i="1"/>
  <c r="O13" i="1"/>
  <c r="N13" i="1"/>
  <c r="O11" i="1"/>
  <c r="N11" i="1"/>
  <c r="O7" i="1"/>
  <c r="N7" i="1"/>
</calcChain>
</file>

<file path=xl/sharedStrings.xml><?xml version="1.0" encoding="utf-8"?>
<sst xmlns="http://schemas.openxmlformats.org/spreadsheetml/2006/main" count="237" uniqueCount="110">
  <si>
    <t>2026.08.20 13:06:03 SUCU:   2 CAJA: 1</t>
  </si>
  <si>
    <t xml:space="preserve">PUTRUELE HNOS. S.A.A.I.C.  </t>
  </si>
  <si>
    <t>LS040-VENTAS PERIODO:20/08/26-20/08/26</t>
  </si>
  <si>
    <t>fecha</t>
  </si>
  <si>
    <t>it1</t>
  </si>
  <si>
    <t>it2</t>
  </si>
  <si>
    <t>especie</t>
  </si>
  <si>
    <t>variedad</t>
  </si>
  <si>
    <t>zp</t>
  </si>
  <si>
    <t>calidad</t>
  </si>
  <si>
    <t>present</t>
  </si>
  <si>
    <t>tamano</t>
  </si>
  <si>
    <t>codenv</t>
  </si>
  <si>
    <t>nomenv</t>
  </si>
  <si>
    <t>codprv</t>
  </si>
  <si>
    <t>nomprv</t>
  </si>
  <si>
    <t>ventas</t>
  </si>
  <si>
    <t>recaudado</t>
  </si>
  <si>
    <t>promedio</t>
  </si>
  <si>
    <t xml:space="preserve">MANZANA   </t>
  </si>
  <si>
    <t xml:space="preserve">TOP RED   </t>
  </si>
  <si>
    <t xml:space="preserve">R.N.      </t>
  </si>
  <si>
    <t xml:space="preserve">ELG       </t>
  </si>
  <si>
    <t xml:space="preserve">          </t>
  </si>
  <si>
    <t xml:space="preserve">125       </t>
  </si>
  <si>
    <t xml:space="preserve">C/C       </t>
  </si>
  <si>
    <t xml:space="preserve">CELESTINO      </t>
  </si>
  <si>
    <t xml:space="preserve">MELON     </t>
  </si>
  <si>
    <t>AMARILLO S</t>
  </si>
  <si>
    <t xml:space="preserve">BRASIL    </t>
  </si>
  <si>
    <t xml:space="preserve">5         </t>
  </si>
  <si>
    <t xml:space="preserve">DINA INDUS     </t>
  </si>
  <si>
    <t xml:space="preserve">JENGIBRE  </t>
  </si>
  <si>
    <t xml:space="preserve">ENLU-COMER     </t>
  </si>
  <si>
    <t xml:space="preserve">KIWI      </t>
  </si>
  <si>
    <t xml:space="preserve">SUN GOLD  </t>
  </si>
  <si>
    <t>NUEVA ZELA</t>
  </si>
  <si>
    <t xml:space="preserve">T.30      </t>
  </si>
  <si>
    <t xml:space="preserve">ZESPRI INT     </t>
  </si>
  <si>
    <t xml:space="preserve">LIMA      </t>
  </si>
  <si>
    <t xml:space="preserve">TAHITI    </t>
  </si>
  <si>
    <t xml:space="preserve">UVA       </t>
  </si>
  <si>
    <t>SUGAR CRIS</t>
  </si>
  <si>
    <t xml:space="preserve">C/CUB     </t>
  </si>
  <si>
    <t xml:space="preserve">SERRA BRAN     </t>
  </si>
  <si>
    <t xml:space="preserve">PI¥A      </t>
  </si>
  <si>
    <t xml:space="preserve">ECUADOR   </t>
  </si>
  <si>
    <t xml:space="preserve">PI¥AS RICA     </t>
  </si>
  <si>
    <t xml:space="preserve">ESPARRAGO </t>
  </si>
  <si>
    <t xml:space="preserve">VERDE     </t>
  </si>
  <si>
    <t xml:space="preserve">CBA       </t>
  </si>
  <si>
    <t xml:space="preserve">GREEN PATA     </t>
  </si>
  <si>
    <t xml:space="preserve">LIMON     </t>
  </si>
  <si>
    <t xml:space="preserve">EUREKA    </t>
  </si>
  <si>
    <t xml:space="preserve">TMAN      </t>
  </si>
  <si>
    <t xml:space="preserve">AGRO ALIAN     </t>
  </si>
  <si>
    <t xml:space="preserve">BLS       </t>
  </si>
  <si>
    <t xml:space="preserve">PERU      </t>
  </si>
  <si>
    <t xml:space="preserve">PRIME TIME     </t>
  </si>
  <si>
    <t xml:space="preserve">PAQUETES  </t>
  </si>
  <si>
    <t xml:space="preserve">MANGO     </t>
  </si>
  <si>
    <t xml:space="preserve">TOMMY     </t>
  </si>
  <si>
    <t xml:space="preserve">T.12      </t>
  </si>
  <si>
    <t xml:space="preserve">SPECIAL FR     </t>
  </si>
  <si>
    <t xml:space="preserve">T.14      </t>
  </si>
  <si>
    <t>AUTUN CRIS</t>
  </si>
  <si>
    <t xml:space="preserve">TOMATE    </t>
  </si>
  <si>
    <t xml:space="preserve">RAMA      </t>
  </si>
  <si>
    <t xml:space="preserve">PILAR     </t>
  </si>
  <si>
    <t xml:space="preserve">C/M       </t>
  </si>
  <si>
    <t xml:space="preserve">FINCA LA J     </t>
  </si>
  <si>
    <t>PALTA NUEV</t>
  </si>
  <si>
    <t xml:space="preserve">HASS      </t>
  </si>
  <si>
    <t xml:space="preserve">CAT 2     </t>
  </si>
  <si>
    <t xml:space="preserve">18        </t>
  </si>
  <si>
    <t xml:space="preserve">C/PL      </t>
  </si>
  <si>
    <t xml:space="preserve">BONELLA        </t>
  </si>
  <si>
    <t xml:space="preserve">24        </t>
  </si>
  <si>
    <t xml:space="preserve">MAMON     </t>
  </si>
  <si>
    <t xml:space="preserve">FORMOSA   </t>
  </si>
  <si>
    <t xml:space="preserve">PAPIN     </t>
  </si>
  <si>
    <t xml:space="preserve">AGATA     </t>
  </si>
  <si>
    <t>PORTOBELLO</t>
  </si>
  <si>
    <t xml:space="preserve">BS.AS.    </t>
  </si>
  <si>
    <t xml:space="preserve">BAND      </t>
  </si>
  <si>
    <t xml:space="preserve">HONGOS DEL     </t>
  </si>
  <si>
    <t xml:space="preserve">PALTA     </t>
  </si>
  <si>
    <t xml:space="preserve">16        </t>
  </si>
  <si>
    <t xml:space="preserve">CHERRY    </t>
  </si>
  <si>
    <t>RACIMO PER</t>
  </si>
  <si>
    <t xml:space="preserve">CTES.     </t>
  </si>
  <si>
    <t>NEGRO COMU</t>
  </si>
  <si>
    <t xml:space="preserve">Total CHERRY    </t>
  </si>
  <si>
    <t xml:space="preserve">Total ESPARRAGO </t>
  </si>
  <si>
    <t xml:space="preserve">Total JENGIBRE  </t>
  </si>
  <si>
    <t xml:space="preserve">Total KIWI      </t>
  </si>
  <si>
    <t xml:space="preserve">Total LIMA      </t>
  </si>
  <si>
    <t xml:space="preserve">Total LIMON     </t>
  </si>
  <si>
    <t xml:space="preserve">Total MAMON     </t>
  </si>
  <si>
    <t xml:space="preserve">Total MANGO     </t>
  </si>
  <si>
    <t xml:space="preserve">Total MANZANA   </t>
  </si>
  <si>
    <t xml:space="preserve">Total MELON     </t>
  </si>
  <si>
    <t xml:space="preserve">Total PALTA     </t>
  </si>
  <si>
    <t>Total PALTA NUEV</t>
  </si>
  <si>
    <t xml:space="preserve">Total PAPIN     </t>
  </si>
  <si>
    <t xml:space="preserve">Total PI¥A      </t>
  </si>
  <si>
    <t>Total PORTOBELLO</t>
  </si>
  <si>
    <t xml:space="preserve">Total TOMATE    </t>
  </si>
  <si>
    <t xml:space="preserve">Total UVA       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</si>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</sst>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2C0A]\ #,##0.00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quotePrefix="1" applyFont="1"/>
    <xf numFmtId="0" fontId="2" fillId="0" borderId="0" xfId="0" applyFont="1"/>
    <xf numFmtId="0" fontId="1" fillId="0" borderId="0" xfId="0" applyFont="1"/>
    <xf numFmtId="0" fontId="1" fillId="2" borderId="0" xfId="0" applyFont="1" applyFill="1" applyAlignment="1">
      <alignment horizontal="center"/>
    </xf>
    <xf numFmtId="14" fontId="2" fillId="0" borderId="0" xfId="0" applyNumberFormat="1" applyFont="1"/>
    <xf numFmtId="164" fontId="2" fillId="0" borderId="0" xfId="0" applyNumberFormat="1" applyFont="1"/>
    <xf numFmtId="16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tabSelected="1" topLeftCell="L33" workbookViewId="0">
      <selection activeCell="D48" sqref="D48"/>
    </sheetView>
  </sheetViews>
  <sheetFormatPr baseColWidth="10" defaultRowHeight="11.25" outlineLevelRow="2" x14ac:dyDescent="0.2"/>
  <cols>
    <col min="1" max="14" width="11.42578125" style="2"/>
    <col min="15" max="16" width="11.42578125" style="6"/>
    <col min="17" max="16384" width="11.42578125" style="2"/>
  </cols>
  <sheetData>
    <row r="1" spans="1:16" x14ac:dyDescent="0.2">
      <c r="A1" s="1" t="s">
        <v>0</v>
      </c>
    </row>
    <row r="2" spans="1:16" x14ac:dyDescent="0.2">
      <c r="A2" s="3" t="s">
        <v>1</v>
      </c>
    </row>
    <row r="3" spans="1:16" x14ac:dyDescent="0.2">
      <c r="A3" s="3" t="s">
        <v>2</v>
      </c>
    </row>
    <row r="4" spans="1:1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7" t="s">
        <v>17</v>
      </c>
      <c r="P4" s="7" t="s">
        <v>18</v>
      </c>
    </row>
    <row r="5" spans="1:16" outlineLevel="2" x14ac:dyDescent="0.2">
      <c r="A5" s="5">
        <v>46251</v>
      </c>
      <c r="B5" s="2">
        <v>161776</v>
      </c>
      <c r="C5" s="2">
        <v>22</v>
      </c>
      <c r="D5" s="2" t="s">
        <v>88</v>
      </c>
      <c r="E5" s="2" t="s">
        <v>91</v>
      </c>
      <c r="F5" s="2" t="s">
        <v>90</v>
      </c>
      <c r="G5" s="2" t="s">
        <v>22</v>
      </c>
      <c r="H5" s="2" t="s">
        <v>23</v>
      </c>
      <c r="I5" s="2" t="s">
        <v>23</v>
      </c>
      <c r="J5" s="2">
        <v>41</v>
      </c>
      <c r="K5" s="2" t="s">
        <v>84</v>
      </c>
      <c r="L5" s="2">
        <v>801</v>
      </c>
      <c r="M5" s="2" t="s">
        <v>70</v>
      </c>
      <c r="N5" s="2">
        <v>2</v>
      </c>
      <c r="O5" s="6">
        <v>46051.96</v>
      </c>
      <c r="P5" s="6">
        <v>23025.98</v>
      </c>
    </row>
    <row r="6" spans="1:16" outlineLevel="2" x14ac:dyDescent="0.2">
      <c r="A6" s="5">
        <v>46251</v>
      </c>
      <c r="B6" s="2">
        <v>161776</v>
      </c>
      <c r="C6" s="2">
        <v>17</v>
      </c>
      <c r="D6" s="2" t="s">
        <v>88</v>
      </c>
      <c r="E6" s="2" t="s">
        <v>89</v>
      </c>
      <c r="F6" s="2" t="s">
        <v>90</v>
      </c>
      <c r="G6" s="2" t="s">
        <v>22</v>
      </c>
      <c r="H6" s="2" t="s">
        <v>23</v>
      </c>
      <c r="I6" s="2" t="s">
        <v>23</v>
      </c>
      <c r="J6" s="2">
        <v>41</v>
      </c>
      <c r="K6" s="2" t="s">
        <v>84</v>
      </c>
      <c r="L6" s="2">
        <v>801</v>
      </c>
      <c r="M6" s="2" t="s">
        <v>70</v>
      </c>
      <c r="N6" s="2">
        <v>2</v>
      </c>
      <c r="O6" s="6">
        <v>27383.16</v>
      </c>
      <c r="P6" s="6">
        <v>13691.58</v>
      </c>
    </row>
    <row r="7" spans="1:16" outlineLevel="1" x14ac:dyDescent="0.2">
      <c r="A7" s="5"/>
      <c r="D7" s="4" t="s">
        <v>92</v>
      </c>
      <c r="E7" s="4"/>
      <c r="F7" s="4"/>
      <c r="G7" s="4"/>
      <c r="H7" s="4"/>
      <c r="I7" s="4"/>
      <c r="J7" s="4"/>
      <c r="K7" s="4"/>
      <c r="L7" s="4"/>
      <c r="M7" s="4"/>
      <c r="N7" s="4">
        <f>SUBTOTAL(9,N5:N6)</f>
        <v>4</v>
      </c>
      <c r="O7" s="7">
        <f>SUBTOTAL(9,O5:O6)</f>
        <v>73435.12</v>
      </c>
      <c r="P7" s="7">
        <f>+O7/N7</f>
        <v>18358.78</v>
      </c>
    </row>
    <row r="8" spans="1:16" outlineLevel="2" x14ac:dyDescent="0.2">
      <c r="A8" s="5">
        <v>46240</v>
      </c>
      <c r="B8" s="2">
        <v>161455</v>
      </c>
      <c r="C8" s="2">
        <v>1</v>
      </c>
      <c r="D8" s="2" t="s">
        <v>48</v>
      </c>
      <c r="E8" s="2" t="s">
        <v>49</v>
      </c>
      <c r="F8" s="2" t="s">
        <v>50</v>
      </c>
      <c r="G8" s="2" t="s">
        <v>22</v>
      </c>
      <c r="H8" s="2" t="s">
        <v>23</v>
      </c>
      <c r="I8" s="2" t="s">
        <v>23</v>
      </c>
      <c r="J8" s="2">
        <v>1</v>
      </c>
      <c r="K8" s="2" t="s">
        <v>25</v>
      </c>
      <c r="L8" s="2">
        <v>1829</v>
      </c>
      <c r="M8" s="2" t="s">
        <v>51</v>
      </c>
      <c r="N8" s="2">
        <v>1</v>
      </c>
      <c r="O8" s="6">
        <v>48228.82</v>
      </c>
      <c r="P8" s="6">
        <v>48228.82</v>
      </c>
    </row>
    <row r="9" spans="1:16" outlineLevel="2" x14ac:dyDescent="0.2">
      <c r="A9" s="5">
        <v>46251</v>
      </c>
      <c r="B9" s="2">
        <v>161563</v>
      </c>
      <c r="C9" s="2">
        <v>2</v>
      </c>
      <c r="D9" s="2" t="s">
        <v>48</v>
      </c>
      <c r="E9" s="2" t="s">
        <v>49</v>
      </c>
      <c r="F9" s="2" t="s">
        <v>57</v>
      </c>
      <c r="G9" s="2" t="s">
        <v>22</v>
      </c>
      <c r="H9" s="2" t="s">
        <v>23</v>
      </c>
      <c r="I9" s="2" t="s">
        <v>23</v>
      </c>
      <c r="J9" s="2">
        <v>1</v>
      </c>
      <c r="K9" s="2" t="s">
        <v>25</v>
      </c>
      <c r="L9" s="2">
        <v>25205</v>
      </c>
      <c r="M9" s="2" t="s">
        <v>58</v>
      </c>
      <c r="N9" s="2">
        <v>1</v>
      </c>
      <c r="O9" s="6">
        <v>9957.83</v>
      </c>
      <c r="P9" s="6">
        <v>9957.83</v>
      </c>
    </row>
    <row r="10" spans="1:16" outlineLevel="2" x14ac:dyDescent="0.2">
      <c r="A10" s="5">
        <v>46246</v>
      </c>
      <c r="B10" s="2">
        <v>161563</v>
      </c>
      <c r="C10" s="2">
        <v>200</v>
      </c>
      <c r="D10" s="2" t="s">
        <v>48</v>
      </c>
      <c r="E10" s="2" t="s">
        <v>49</v>
      </c>
      <c r="F10" s="2" t="s">
        <v>57</v>
      </c>
      <c r="G10" s="2" t="s">
        <v>22</v>
      </c>
      <c r="H10" s="2" t="s">
        <v>23</v>
      </c>
      <c r="I10" s="2" t="s">
        <v>23</v>
      </c>
      <c r="J10" s="2">
        <v>39</v>
      </c>
      <c r="K10" s="2" t="s">
        <v>59</v>
      </c>
      <c r="L10" s="2">
        <v>25205</v>
      </c>
      <c r="M10" s="2" t="s">
        <v>58</v>
      </c>
      <c r="N10" s="2">
        <v>62</v>
      </c>
      <c r="O10" s="6">
        <v>52021.120000000003</v>
      </c>
      <c r="P10" s="6">
        <v>839.05</v>
      </c>
    </row>
    <row r="11" spans="1:16" outlineLevel="1" x14ac:dyDescent="0.2">
      <c r="A11" s="5"/>
      <c r="D11" s="4" t="s">
        <v>93</v>
      </c>
      <c r="E11" s="4"/>
      <c r="F11" s="4"/>
      <c r="G11" s="4"/>
      <c r="H11" s="4"/>
      <c r="I11" s="4"/>
      <c r="J11" s="4"/>
      <c r="K11" s="4"/>
      <c r="L11" s="4"/>
      <c r="M11" s="4"/>
      <c r="N11" s="4">
        <f>SUBTOTAL(9,N8:N10)</f>
        <v>64</v>
      </c>
      <c r="O11" s="7">
        <f>SUBTOTAL(9,O8:O10)</f>
        <v>110207.77</v>
      </c>
      <c r="P11" s="7">
        <f>+O11/N11</f>
        <v>1721.9964062500001</v>
      </c>
    </row>
    <row r="12" spans="1:16" outlineLevel="2" x14ac:dyDescent="0.2">
      <c r="A12" s="5">
        <v>46237</v>
      </c>
      <c r="B12" s="2">
        <v>161007</v>
      </c>
      <c r="C12" s="2">
        <v>1</v>
      </c>
      <c r="D12" s="2" t="s">
        <v>32</v>
      </c>
      <c r="E12" s="2" t="s">
        <v>23</v>
      </c>
      <c r="F12" s="2" t="s">
        <v>29</v>
      </c>
      <c r="G12" s="2" t="s">
        <v>22</v>
      </c>
      <c r="H12" s="2" t="s">
        <v>23</v>
      </c>
      <c r="I12" s="2" t="s">
        <v>23</v>
      </c>
      <c r="J12" s="2">
        <v>1</v>
      </c>
      <c r="K12" s="2" t="s">
        <v>25</v>
      </c>
      <c r="L12" s="2">
        <v>2521</v>
      </c>
      <c r="M12" s="2" t="s">
        <v>33</v>
      </c>
      <c r="N12" s="2">
        <v>2</v>
      </c>
      <c r="O12" s="6">
        <v>60986.98</v>
      </c>
      <c r="P12" s="6">
        <v>30493.49</v>
      </c>
    </row>
    <row r="13" spans="1:16" outlineLevel="1" x14ac:dyDescent="0.2">
      <c r="A13" s="5"/>
      <c r="D13" s="4" t="s">
        <v>94</v>
      </c>
      <c r="E13" s="4"/>
      <c r="F13" s="4"/>
      <c r="G13" s="4"/>
      <c r="H13" s="4"/>
      <c r="I13" s="4"/>
      <c r="J13" s="4"/>
      <c r="K13" s="4"/>
      <c r="L13" s="4"/>
      <c r="M13" s="4"/>
      <c r="N13" s="4">
        <f>SUBTOTAL(9,N12:N12)</f>
        <v>2</v>
      </c>
      <c r="O13" s="7">
        <f>SUBTOTAL(9,O12:O12)</f>
        <v>60986.98</v>
      </c>
      <c r="P13" s="7">
        <f>+O13/N13</f>
        <v>30493.49</v>
      </c>
    </row>
    <row r="14" spans="1:16" outlineLevel="2" x14ac:dyDescent="0.2">
      <c r="A14" s="5">
        <v>46251</v>
      </c>
      <c r="B14" s="2">
        <v>161125</v>
      </c>
      <c r="C14" s="2">
        <v>3</v>
      </c>
      <c r="D14" s="2" t="s">
        <v>34</v>
      </c>
      <c r="E14" s="2" t="s">
        <v>35</v>
      </c>
      <c r="F14" s="2" t="s">
        <v>36</v>
      </c>
      <c r="G14" s="2" t="s">
        <v>22</v>
      </c>
      <c r="H14" s="2" t="s">
        <v>23</v>
      </c>
      <c r="I14" s="2" t="s">
        <v>37</v>
      </c>
      <c r="J14" s="2">
        <v>1</v>
      </c>
      <c r="K14" s="2" t="s">
        <v>25</v>
      </c>
      <c r="L14" s="2">
        <v>2535</v>
      </c>
      <c r="M14" s="2" t="s">
        <v>38</v>
      </c>
      <c r="N14" s="2">
        <v>9</v>
      </c>
      <c r="O14" s="6">
        <v>429392.19</v>
      </c>
      <c r="P14" s="6">
        <v>47710.239999999998</v>
      </c>
    </row>
    <row r="15" spans="1:16" outlineLevel="1" x14ac:dyDescent="0.2">
      <c r="A15" s="5"/>
      <c r="D15" s="4" t="s">
        <v>95</v>
      </c>
      <c r="E15" s="4"/>
      <c r="F15" s="4"/>
      <c r="G15" s="4"/>
      <c r="H15" s="4"/>
      <c r="I15" s="4"/>
      <c r="J15" s="4"/>
      <c r="K15" s="4"/>
      <c r="L15" s="4"/>
      <c r="M15" s="4"/>
      <c r="N15" s="4">
        <f>SUBTOTAL(9,N14:N14)</f>
        <v>9</v>
      </c>
      <c r="O15" s="7">
        <f>SUBTOTAL(9,O14:O14)</f>
        <v>429392.19</v>
      </c>
      <c r="P15" s="7">
        <f>+O15/N15</f>
        <v>47710.243333333332</v>
      </c>
    </row>
    <row r="16" spans="1:16" outlineLevel="2" x14ac:dyDescent="0.2">
      <c r="A16" s="5">
        <v>46246</v>
      </c>
      <c r="B16" s="2">
        <v>161138</v>
      </c>
      <c r="C16" s="2">
        <v>1</v>
      </c>
      <c r="D16" s="2" t="s">
        <v>39</v>
      </c>
      <c r="E16" s="2" t="s">
        <v>40</v>
      </c>
      <c r="F16" s="2" t="s">
        <v>29</v>
      </c>
      <c r="G16" s="2" t="s">
        <v>22</v>
      </c>
      <c r="H16" s="2" t="s">
        <v>23</v>
      </c>
      <c r="I16" s="2" t="s">
        <v>23</v>
      </c>
      <c r="J16" s="2">
        <v>1</v>
      </c>
      <c r="K16" s="2" t="s">
        <v>25</v>
      </c>
      <c r="L16" s="2">
        <v>2521</v>
      </c>
      <c r="M16" s="2" t="s">
        <v>33</v>
      </c>
      <c r="N16" s="2">
        <v>3</v>
      </c>
      <c r="O16" s="6">
        <v>60676.98</v>
      </c>
      <c r="P16" s="6">
        <v>20225.66</v>
      </c>
    </row>
    <row r="17" spans="1:16" outlineLevel="1" x14ac:dyDescent="0.2">
      <c r="A17" s="5"/>
      <c r="D17" s="4" t="s">
        <v>96</v>
      </c>
      <c r="E17" s="4"/>
      <c r="F17" s="4"/>
      <c r="G17" s="4"/>
      <c r="H17" s="4"/>
      <c r="I17" s="4"/>
      <c r="J17" s="4"/>
      <c r="K17" s="4"/>
      <c r="L17" s="4"/>
      <c r="M17" s="4"/>
      <c r="N17" s="4">
        <f>SUBTOTAL(9,N16:N16)</f>
        <v>3</v>
      </c>
      <c r="O17" s="7">
        <f>SUBTOTAL(9,O16:O16)</f>
        <v>60676.98</v>
      </c>
      <c r="P17" s="7">
        <f>+O17/N17</f>
        <v>20225.66</v>
      </c>
    </row>
    <row r="18" spans="1:16" outlineLevel="2" x14ac:dyDescent="0.2">
      <c r="A18" s="5">
        <v>46246</v>
      </c>
      <c r="B18" s="2">
        <v>161522</v>
      </c>
      <c r="C18" s="2">
        <v>1</v>
      </c>
      <c r="D18" s="2" t="s">
        <v>52</v>
      </c>
      <c r="E18" s="2" t="s">
        <v>53</v>
      </c>
      <c r="F18" s="2" t="s">
        <v>54</v>
      </c>
      <c r="G18" s="2" t="s">
        <v>22</v>
      </c>
      <c r="H18" s="2" t="s">
        <v>23</v>
      </c>
      <c r="I18" s="2" t="s">
        <v>23</v>
      </c>
      <c r="J18" s="2">
        <v>1</v>
      </c>
      <c r="K18" s="2" t="s">
        <v>25</v>
      </c>
      <c r="L18" s="2">
        <v>2602</v>
      </c>
      <c r="M18" s="2" t="s">
        <v>55</v>
      </c>
      <c r="N18" s="2">
        <v>2</v>
      </c>
      <c r="O18" s="6">
        <v>16181.9</v>
      </c>
      <c r="P18" s="6">
        <v>8090.95</v>
      </c>
    </row>
    <row r="19" spans="1:16" outlineLevel="2" x14ac:dyDescent="0.2">
      <c r="A19" s="5">
        <v>46251</v>
      </c>
      <c r="B19" s="2">
        <v>161522</v>
      </c>
      <c r="C19" s="2">
        <v>315</v>
      </c>
      <c r="D19" s="2" t="s">
        <v>52</v>
      </c>
      <c r="E19" s="2" t="s">
        <v>53</v>
      </c>
      <c r="F19" s="2" t="s">
        <v>54</v>
      </c>
      <c r="G19" s="2" t="s">
        <v>22</v>
      </c>
      <c r="H19" s="2" t="s">
        <v>23</v>
      </c>
      <c r="I19" s="2" t="s">
        <v>23</v>
      </c>
      <c r="J19" s="2">
        <v>5</v>
      </c>
      <c r="K19" s="2" t="s">
        <v>56</v>
      </c>
      <c r="L19" s="2">
        <v>2602</v>
      </c>
      <c r="M19" s="2" t="s">
        <v>55</v>
      </c>
      <c r="N19" s="2">
        <v>33</v>
      </c>
      <c r="O19" s="6">
        <v>157602.18</v>
      </c>
      <c r="P19" s="6">
        <v>4775.82</v>
      </c>
    </row>
    <row r="20" spans="1:16" outlineLevel="1" x14ac:dyDescent="0.2">
      <c r="A20" s="5"/>
      <c r="D20" s="4" t="s">
        <v>97</v>
      </c>
      <c r="E20" s="4"/>
      <c r="F20" s="4"/>
      <c r="G20" s="4"/>
      <c r="H20" s="4"/>
      <c r="I20" s="4"/>
      <c r="J20" s="4"/>
      <c r="K20" s="4"/>
      <c r="L20" s="4"/>
      <c r="M20" s="4"/>
      <c r="N20" s="4">
        <f>SUBTOTAL(9,N18:N19)</f>
        <v>35</v>
      </c>
      <c r="O20" s="7">
        <f>SUBTOTAL(9,O18:O19)</f>
        <v>173784.08</v>
      </c>
      <c r="P20" s="7">
        <f>+O20/N20</f>
        <v>4965.2594285714285</v>
      </c>
    </row>
    <row r="21" spans="1:16" outlineLevel="2" x14ac:dyDescent="0.2">
      <c r="A21" s="5">
        <v>46251</v>
      </c>
      <c r="B21" s="2">
        <v>161722</v>
      </c>
      <c r="C21" s="2">
        <v>2</v>
      </c>
      <c r="D21" s="2" t="s">
        <v>78</v>
      </c>
      <c r="E21" s="2" t="s">
        <v>79</v>
      </c>
      <c r="F21" s="2" t="s">
        <v>29</v>
      </c>
      <c r="G21" s="2" t="s">
        <v>22</v>
      </c>
      <c r="H21" s="2" t="s">
        <v>23</v>
      </c>
      <c r="I21" s="2" t="s">
        <v>23</v>
      </c>
      <c r="J21" s="2">
        <v>1</v>
      </c>
      <c r="K21" s="2" t="s">
        <v>25</v>
      </c>
      <c r="L21" s="2">
        <v>2521</v>
      </c>
      <c r="M21" s="2" t="s">
        <v>33</v>
      </c>
      <c r="N21" s="2">
        <v>1</v>
      </c>
      <c r="O21" s="6">
        <v>37027.56</v>
      </c>
      <c r="P21" s="6">
        <v>37027.56</v>
      </c>
    </row>
    <row r="22" spans="1:16" outlineLevel="1" x14ac:dyDescent="0.2">
      <c r="A22" s="5"/>
      <c r="D22" s="4" t="s">
        <v>98</v>
      </c>
      <c r="E22" s="4"/>
      <c r="F22" s="4"/>
      <c r="G22" s="4"/>
      <c r="H22" s="4"/>
      <c r="I22" s="4"/>
      <c r="J22" s="4"/>
      <c r="K22" s="4"/>
      <c r="L22" s="4"/>
      <c r="M22" s="4"/>
      <c r="N22" s="4">
        <f>SUBTOTAL(9,N21:N21)</f>
        <v>1</v>
      </c>
      <c r="O22" s="7">
        <f>SUBTOTAL(9,O21:O21)</f>
        <v>37027.56</v>
      </c>
      <c r="P22" s="7">
        <f>+O22/N22</f>
        <v>37027.56</v>
      </c>
    </row>
    <row r="23" spans="1:16" outlineLevel="2" x14ac:dyDescent="0.2">
      <c r="A23" s="5">
        <v>46244</v>
      </c>
      <c r="B23" s="2">
        <v>161570</v>
      </c>
      <c r="C23" s="2">
        <v>3</v>
      </c>
      <c r="D23" s="2" t="s">
        <v>60</v>
      </c>
      <c r="E23" s="2" t="s">
        <v>61</v>
      </c>
      <c r="F23" s="2" t="s">
        <v>29</v>
      </c>
      <c r="G23" s="2" t="s">
        <v>22</v>
      </c>
      <c r="H23" s="2" t="s">
        <v>23</v>
      </c>
      <c r="I23" s="2" t="s">
        <v>62</v>
      </c>
      <c r="J23" s="2">
        <v>1</v>
      </c>
      <c r="K23" s="2" t="s">
        <v>25</v>
      </c>
      <c r="L23" s="2">
        <v>331</v>
      </c>
      <c r="M23" s="2" t="s">
        <v>63</v>
      </c>
      <c r="N23" s="2">
        <v>21</v>
      </c>
      <c r="O23" s="6">
        <v>265120.62</v>
      </c>
      <c r="P23" s="6">
        <v>12624.79</v>
      </c>
    </row>
    <row r="24" spans="1:16" outlineLevel="2" x14ac:dyDescent="0.2">
      <c r="A24" s="5">
        <v>46248</v>
      </c>
      <c r="B24" s="2">
        <v>161570</v>
      </c>
      <c r="C24" s="2">
        <v>4</v>
      </c>
      <c r="D24" s="2" t="s">
        <v>60</v>
      </c>
      <c r="E24" s="2" t="s">
        <v>61</v>
      </c>
      <c r="F24" s="2" t="s">
        <v>29</v>
      </c>
      <c r="G24" s="2" t="s">
        <v>22</v>
      </c>
      <c r="H24" s="2" t="s">
        <v>23</v>
      </c>
      <c r="I24" s="2" t="s">
        <v>64</v>
      </c>
      <c r="J24" s="2">
        <v>1</v>
      </c>
      <c r="K24" s="2" t="s">
        <v>25</v>
      </c>
      <c r="L24" s="2">
        <v>331</v>
      </c>
      <c r="M24" s="2" t="s">
        <v>63</v>
      </c>
      <c r="N24" s="2">
        <v>2</v>
      </c>
      <c r="O24" s="6">
        <v>25516.28</v>
      </c>
      <c r="P24" s="6">
        <v>12758.14</v>
      </c>
    </row>
    <row r="25" spans="1:16" outlineLevel="1" x14ac:dyDescent="0.2">
      <c r="A25" s="5"/>
      <c r="D25" s="4" t="s">
        <v>99</v>
      </c>
      <c r="E25" s="4"/>
      <c r="F25" s="4"/>
      <c r="G25" s="4"/>
      <c r="H25" s="4"/>
      <c r="I25" s="4"/>
      <c r="J25" s="4"/>
      <c r="K25" s="4"/>
      <c r="L25" s="4"/>
      <c r="M25" s="4"/>
      <c r="N25" s="4">
        <f>SUBTOTAL(9,N23:N24)</f>
        <v>23</v>
      </c>
      <c r="O25" s="7">
        <f>SUBTOTAL(9,O23:O24)</f>
        <v>290636.90000000002</v>
      </c>
      <c r="P25" s="7">
        <f>+O25/N25</f>
        <v>12636.386956521741</v>
      </c>
    </row>
    <row r="26" spans="1:16" outlineLevel="2" x14ac:dyDescent="0.2">
      <c r="A26" s="5">
        <v>46188</v>
      </c>
      <c r="B26" s="2">
        <v>160107</v>
      </c>
      <c r="C26" s="2">
        <v>2</v>
      </c>
      <c r="D26" s="2" t="s">
        <v>19</v>
      </c>
      <c r="E26" s="2" t="s">
        <v>20</v>
      </c>
      <c r="F26" s="2" t="s">
        <v>21</v>
      </c>
      <c r="G26" s="2" t="s">
        <v>22</v>
      </c>
      <c r="H26" s="2" t="s">
        <v>23</v>
      </c>
      <c r="I26" s="2" t="s">
        <v>24</v>
      </c>
      <c r="J26" s="2">
        <v>1</v>
      </c>
      <c r="K26" s="2" t="s">
        <v>25</v>
      </c>
      <c r="L26" s="2">
        <v>226</v>
      </c>
      <c r="M26" s="2" t="s">
        <v>26</v>
      </c>
      <c r="N26" s="2">
        <v>1</v>
      </c>
      <c r="O26" s="6">
        <v>32360.36</v>
      </c>
      <c r="P26" s="6">
        <v>32360.36</v>
      </c>
    </row>
    <row r="27" spans="1:16" outlineLevel="1" x14ac:dyDescent="0.2">
      <c r="A27" s="5"/>
      <c r="D27" s="4" t="s">
        <v>100</v>
      </c>
      <c r="E27" s="4"/>
      <c r="F27" s="4"/>
      <c r="G27" s="4"/>
      <c r="H27" s="4"/>
      <c r="I27" s="4"/>
      <c r="J27" s="4"/>
      <c r="K27" s="4"/>
      <c r="L27" s="4"/>
      <c r="M27" s="4"/>
      <c r="N27" s="4">
        <f>SUBTOTAL(9,N26:N26)</f>
        <v>1</v>
      </c>
      <c r="O27" s="7">
        <f>SUBTOTAL(9,O26:O26)</f>
        <v>32360.36</v>
      </c>
      <c r="P27" s="7">
        <f>+O27/N27</f>
        <v>32360.36</v>
      </c>
    </row>
    <row r="28" spans="1:16" outlineLevel="2" x14ac:dyDescent="0.2">
      <c r="A28" s="5">
        <v>46208</v>
      </c>
      <c r="B28" s="2">
        <v>160714</v>
      </c>
      <c r="C28" s="2">
        <v>1</v>
      </c>
      <c r="D28" s="2" t="s">
        <v>27</v>
      </c>
      <c r="E28" s="2" t="s">
        <v>28</v>
      </c>
      <c r="F28" s="2" t="s">
        <v>29</v>
      </c>
      <c r="G28" s="2" t="s">
        <v>22</v>
      </c>
      <c r="H28" s="2" t="s">
        <v>23</v>
      </c>
      <c r="I28" s="2" t="s">
        <v>30</v>
      </c>
      <c r="J28" s="2">
        <v>1</v>
      </c>
      <c r="K28" s="2" t="s">
        <v>25</v>
      </c>
      <c r="L28" s="2">
        <v>25077</v>
      </c>
      <c r="M28" s="2" t="s">
        <v>31</v>
      </c>
      <c r="N28" s="2">
        <v>1</v>
      </c>
      <c r="O28" s="6">
        <v>20225.66</v>
      </c>
      <c r="P28" s="6">
        <v>20225.66</v>
      </c>
    </row>
    <row r="29" spans="1:16" outlineLevel="1" x14ac:dyDescent="0.2">
      <c r="A29" s="5"/>
      <c r="D29" s="4" t="s">
        <v>101</v>
      </c>
      <c r="E29" s="4"/>
      <c r="F29" s="4"/>
      <c r="G29" s="4"/>
      <c r="H29" s="4"/>
      <c r="I29" s="4"/>
      <c r="J29" s="4"/>
      <c r="K29" s="4"/>
      <c r="L29" s="4"/>
      <c r="M29" s="4"/>
      <c r="N29" s="4">
        <f>SUBTOTAL(9,N28:N28)</f>
        <v>1</v>
      </c>
      <c r="O29" s="7">
        <f>SUBTOTAL(9,O28:O28)</f>
        <v>20225.66</v>
      </c>
      <c r="P29" s="7">
        <f>+O29/N29</f>
        <v>20225.66</v>
      </c>
    </row>
    <row r="30" spans="1:16" outlineLevel="2" x14ac:dyDescent="0.2">
      <c r="A30" s="5">
        <v>46253</v>
      </c>
      <c r="B30" s="2">
        <v>161768</v>
      </c>
      <c r="C30" s="2">
        <v>1</v>
      </c>
      <c r="D30" s="2" t="s">
        <v>86</v>
      </c>
      <c r="E30" s="2" t="s">
        <v>72</v>
      </c>
      <c r="F30" s="2" t="s">
        <v>29</v>
      </c>
      <c r="G30" s="2" t="s">
        <v>73</v>
      </c>
      <c r="H30" s="2" t="s">
        <v>23</v>
      </c>
      <c r="I30" s="2" t="s">
        <v>87</v>
      </c>
      <c r="J30" s="2">
        <v>40</v>
      </c>
      <c r="K30" s="2" t="s">
        <v>75</v>
      </c>
      <c r="L30" s="2">
        <v>25243</v>
      </c>
      <c r="M30" s="2" t="s">
        <v>76</v>
      </c>
      <c r="N30" s="2">
        <v>38</v>
      </c>
      <c r="O30" s="6">
        <v>1748062.18</v>
      </c>
      <c r="P30" s="6">
        <v>46001.64</v>
      </c>
    </row>
    <row r="31" spans="1:16" outlineLevel="2" x14ac:dyDescent="0.2">
      <c r="A31" s="5">
        <v>46253</v>
      </c>
      <c r="B31" s="2">
        <v>161768</v>
      </c>
      <c r="C31" s="2">
        <v>2</v>
      </c>
      <c r="D31" s="2" t="s">
        <v>86</v>
      </c>
      <c r="E31" s="2" t="s">
        <v>72</v>
      </c>
      <c r="F31" s="2" t="s">
        <v>29</v>
      </c>
      <c r="G31" s="2" t="s">
        <v>73</v>
      </c>
      <c r="H31" s="2" t="s">
        <v>23</v>
      </c>
      <c r="I31" s="2" t="s">
        <v>74</v>
      </c>
      <c r="J31" s="2">
        <v>40</v>
      </c>
      <c r="K31" s="2" t="s">
        <v>75</v>
      </c>
      <c r="L31" s="2">
        <v>25243</v>
      </c>
      <c r="M31" s="2" t="s">
        <v>76</v>
      </c>
      <c r="N31" s="2">
        <v>38</v>
      </c>
      <c r="O31" s="6">
        <v>1698280</v>
      </c>
      <c r="P31" s="6">
        <v>44691.58</v>
      </c>
    </row>
    <row r="32" spans="1:16" outlineLevel="1" x14ac:dyDescent="0.2">
      <c r="A32" s="5"/>
      <c r="D32" s="4" t="s">
        <v>102</v>
      </c>
      <c r="E32" s="4"/>
      <c r="F32" s="4"/>
      <c r="G32" s="4"/>
      <c r="H32" s="4"/>
      <c r="I32" s="4"/>
      <c r="J32" s="4"/>
      <c r="K32" s="4"/>
      <c r="L32" s="4"/>
      <c r="M32" s="4"/>
      <c r="N32" s="4">
        <f>SUBTOTAL(9,N30:N31)</f>
        <v>76</v>
      </c>
      <c r="O32" s="7">
        <f>SUBTOTAL(9,O30:O31)</f>
        <v>3446342.1799999997</v>
      </c>
      <c r="P32" s="7">
        <f>+O32/N32</f>
        <v>45346.607631578947</v>
      </c>
    </row>
    <row r="33" spans="1:16" outlineLevel="2" x14ac:dyDescent="0.2">
      <c r="A33" s="5">
        <v>46251</v>
      </c>
      <c r="B33" s="2">
        <v>161690</v>
      </c>
      <c r="C33" s="2">
        <v>2</v>
      </c>
      <c r="D33" s="2" t="s">
        <v>71</v>
      </c>
      <c r="E33" s="2" t="s">
        <v>72</v>
      </c>
      <c r="F33" s="2" t="s">
        <v>29</v>
      </c>
      <c r="G33" s="2" t="s">
        <v>73</v>
      </c>
      <c r="H33" s="2" t="s">
        <v>23</v>
      </c>
      <c r="I33" s="2" t="s">
        <v>74</v>
      </c>
      <c r="J33" s="2">
        <v>40</v>
      </c>
      <c r="K33" s="2" t="s">
        <v>75</v>
      </c>
      <c r="L33" s="2">
        <v>25243</v>
      </c>
      <c r="M33" s="2" t="s">
        <v>76</v>
      </c>
      <c r="N33" s="2">
        <v>55</v>
      </c>
      <c r="O33" s="6">
        <v>2551146.7000000002</v>
      </c>
      <c r="P33" s="6">
        <v>46384.49</v>
      </c>
    </row>
    <row r="34" spans="1:16" outlineLevel="2" x14ac:dyDescent="0.2">
      <c r="A34" s="5">
        <v>46251</v>
      </c>
      <c r="B34" s="2">
        <v>161690</v>
      </c>
      <c r="C34" s="2">
        <v>3</v>
      </c>
      <c r="D34" s="2" t="s">
        <v>71</v>
      </c>
      <c r="E34" s="2" t="s">
        <v>72</v>
      </c>
      <c r="F34" s="2" t="s">
        <v>29</v>
      </c>
      <c r="G34" s="2" t="s">
        <v>73</v>
      </c>
      <c r="H34" s="2" t="s">
        <v>23</v>
      </c>
      <c r="I34" s="2" t="s">
        <v>77</v>
      </c>
      <c r="J34" s="2">
        <v>40</v>
      </c>
      <c r="K34" s="2" t="s">
        <v>75</v>
      </c>
      <c r="L34" s="2">
        <v>25243</v>
      </c>
      <c r="M34" s="2" t="s">
        <v>76</v>
      </c>
      <c r="N34" s="2">
        <v>3</v>
      </c>
      <c r="O34" s="6">
        <v>139085.82</v>
      </c>
      <c r="P34" s="6">
        <v>46361.94</v>
      </c>
    </row>
    <row r="35" spans="1:16" outlineLevel="1" x14ac:dyDescent="0.2">
      <c r="A35" s="5"/>
      <c r="D35" s="4" t="s">
        <v>103</v>
      </c>
      <c r="E35" s="4"/>
      <c r="F35" s="4"/>
      <c r="G35" s="4"/>
      <c r="H35" s="4"/>
      <c r="I35" s="4"/>
      <c r="J35" s="4"/>
      <c r="K35" s="4"/>
      <c r="L35" s="4"/>
      <c r="M35" s="4"/>
      <c r="N35" s="4">
        <f>SUBTOTAL(9,N33:N34)</f>
        <v>58</v>
      </c>
      <c r="O35" s="7">
        <f>SUBTOTAL(9,O33:O34)</f>
        <v>2690232.52</v>
      </c>
      <c r="P35" s="7">
        <f>+O35/N35</f>
        <v>46383.319310344828</v>
      </c>
    </row>
    <row r="36" spans="1:16" outlineLevel="2" x14ac:dyDescent="0.2">
      <c r="A36" s="5">
        <v>46251</v>
      </c>
      <c r="B36" s="2">
        <v>161724</v>
      </c>
      <c r="C36" s="2">
        <v>1</v>
      </c>
      <c r="D36" s="2" t="s">
        <v>80</v>
      </c>
      <c r="E36" s="2" t="s">
        <v>81</v>
      </c>
      <c r="F36" s="2" t="s">
        <v>29</v>
      </c>
      <c r="G36" s="2" t="s">
        <v>22</v>
      </c>
      <c r="H36" s="2" t="s">
        <v>23</v>
      </c>
      <c r="I36" s="2" t="s">
        <v>23</v>
      </c>
      <c r="J36" s="2">
        <v>5</v>
      </c>
      <c r="K36" s="2" t="s">
        <v>56</v>
      </c>
      <c r="L36" s="2">
        <v>2521</v>
      </c>
      <c r="M36" s="2" t="s">
        <v>33</v>
      </c>
      <c r="N36" s="2">
        <v>1</v>
      </c>
      <c r="O36" s="6">
        <v>29560.05</v>
      </c>
      <c r="P36" s="6">
        <v>29560.05</v>
      </c>
    </row>
    <row r="37" spans="1:16" outlineLevel="1" x14ac:dyDescent="0.2">
      <c r="A37" s="5"/>
      <c r="D37" s="4" t="s">
        <v>104</v>
      </c>
      <c r="E37" s="4"/>
      <c r="F37" s="4"/>
      <c r="G37" s="4"/>
      <c r="H37" s="4"/>
      <c r="I37" s="4"/>
      <c r="J37" s="4"/>
      <c r="K37" s="4"/>
      <c r="L37" s="4"/>
      <c r="M37" s="4"/>
      <c r="N37" s="4">
        <f>SUBTOTAL(9,N36:N36)</f>
        <v>1</v>
      </c>
      <c r="O37" s="7">
        <f>SUBTOTAL(9,O36:O36)</f>
        <v>29560.05</v>
      </c>
      <c r="P37" s="7">
        <f>+O37/N37</f>
        <v>29560.05</v>
      </c>
    </row>
    <row r="38" spans="1:16" outlineLevel="2" x14ac:dyDescent="0.2">
      <c r="A38" s="5">
        <v>46244</v>
      </c>
      <c r="B38" s="2">
        <v>161409</v>
      </c>
      <c r="C38" s="2">
        <v>2</v>
      </c>
      <c r="D38" s="2" t="s">
        <v>45</v>
      </c>
      <c r="E38" s="2" t="s">
        <v>23</v>
      </c>
      <c r="F38" s="2" t="s">
        <v>46</v>
      </c>
      <c r="G38" s="2" t="s">
        <v>22</v>
      </c>
      <c r="H38" s="2" t="s">
        <v>23</v>
      </c>
      <c r="I38" s="2" t="s">
        <v>23</v>
      </c>
      <c r="J38" s="2">
        <v>1</v>
      </c>
      <c r="K38" s="2" t="s">
        <v>25</v>
      </c>
      <c r="L38" s="2">
        <v>2024</v>
      </c>
      <c r="M38" s="2" t="s">
        <v>47</v>
      </c>
      <c r="N38" s="2">
        <v>5</v>
      </c>
      <c r="O38" s="6">
        <v>91793.85</v>
      </c>
      <c r="P38" s="6">
        <v>18358.77</v>
      </c>
    </row>
    <row r="39" spans="1:16" outlineLevel="1" x14ac:dyDescent="0.2">
      <c r="A39" s="5"/>
      <c r="D39" s="4" t="s">
        <v>105</v>
      </c>
      <c r="E39" s="4"/>
      <c r="F39" s="4"/>
      <c r="G39" s="4"/>
      <c r="H39" s="4"/>
      <c r="I39" s="4"/>
      <c r="J39" s="4"/>
      <c r="K39" s="4"/>
      <c r="L39" s="4"/>
      <c r="M39" s="4"/>
      <c r="N39" s="4">
        <f>SUBTOTAL(9,N38:N38)</f>
        <v>5</v>
      </c>
      <c r="O39" s="7">
        <f>SUBTOTAL(9,O38:O38)</f>
        <v>91793.85</v>
      </c>
      <c r="P39" s="7">
        <f>+O39/N39</f>
        <v>18358.77</v>
      </c>
    </row>
    <row r="40" spans="1:16" outlineLevel="2" x14ac:dyDescent="0.2">
      <c r="A40" s="5">
        <v>46253</v>
      </c>
      <c r="B40" s="2">
        <v>161758</v>
      </c>
      <c r="C40" s="2">
        <v>4</v>
      </c>
      <c r="D40" s="2" t="s">
        <v>82</v>
      </c>
      <c r="E40" s="2" t="s">
        <v>23</v>
      </c>
      <c r="F40" s="2" t="s">
        <v>83</v>
      </c>
      <c r="G40" s="2" t="s">
        <v>22</v>
      </c>
      <c r="H40" s="2" t="s">
        <v>23</v>
      </c>
      <c r="I40" s="2" t="s">
        <v>23</v>
      </c>
      <c r="J40" s="2">
        <v>41</v>
      </c>
      <c r="K40" s="2" t="s">
        <v>84</v>
      </c>
      <c r="L40" s="2">
        <v>25213</v>
      </c>
      <c r="M40" s="2" t="s">
        <v>85</v>
      </c>
      <c r="N40" s="2">
        <v>3</v>
      </c>
      <c r="O40" s="6">
        <v>12601.44</v>
      </c>
      <c r="P40" s="6">
        <v>4200.4799999999996</v>
      </c>
    </row>
    <row r="41" spans="1:16" outlineLevel="1" x14ac:dyDescent="0.2">
      <c r="A41" s="5"/>
      <c r="D41" s="4" t="s">
        <v>106</v>
      </c>
      <c r="E41" s="4"/>
      <c r="F41" s="4"/>
      <c r="G41" s="4"/>
      <c r="H41" s="4"/>
      <c r="I41" s="4"/>
      <c r="J41" s="4"/>
      <c r="K41" s="4"/>
      <c r="L41" s="4"/>
      <c r="M41" s="4"/>
      <c r="N41" s="4">
        <f>SUBTOTAL(9,N40:N40)</f>
        <v>3</v>
      </c>
      <c r="O41" s="7">
        <f>SUBTOTAL(9,O40:O40)</f>
        <v>12601.44</v>
      </c>
      <c r="P41" s="7">
        <f>+O41/N41</f>
        <v>4200.4800000000005</v>
      </c>
    </row>
    <row r="42" spans="1:16" outlineLevel="2" x14ac:dyDescent="0.2">
      <c r="A42" s="5">
        <v>46251</v>
      </c>
      <c r="B42" s="2">
        <v>161594</v>
      </c>
      <c r="C42" s="2">
        <v>321</v>
      </c>
      <c r="D42" s="2" t="s">
        <v>66</v>
      </c>
      <c r="E42" s="2" t="s">
        <v>67</v>
      </c>
      <c r="F42" s="2" t="s">
        <v>68</v>
      </c>
      <c r="G42" s="2" t="s">
        <v>23</v>
      </c>
      <c r="H42" s="2" t="s">
        <v>23</v>
      </c>
      <c r="I42" s="2" t="s">
        <v>23</v>
      </c>
      <c r="J42" s="2">
        <v>2</v>
      </c>
      <c r="K42" s="2" t="s">
        <v>69</v>
      </c>
      <c r="L42" s="2">
        <v>801</v>
      </c>
      <c r="M42" s="2" t="s">
        <v>70</v>
      </c>
      <c r="N42" s="2">
        <v>2</v>
      </c>
      <c r="O42" s="6">
        <v>12448.14</v>
      </c>
      <c r="P42" s="6">
        <v>6224.07</v>
      </c>
    </row>
    <row r="43" spans="1:16" outlineLevel="1" x14ac:dyDescent="0.2">
      <c r="A43" s="5"/>
      <c r="D43" s="4" t="s">
        <v>107</v>
      </c>
      <c r="E43" s="4"/>
      <c r="F43" s="4"/>
      <c r="G43" s="4"/>
      <c r="H43" s="4"/>
      <c r="I43" s="4"/>
      <c r="J43" s="4"/>
      <c r="K43" s="4"/>
      <c r="L43" s="4"/>
      <c r="M43" s="4"/>
      <c r="N43" s="4">
        <f>SUBTOTAL(9,N42:N42)</f>
        <v>2</v>
      </c>
      <c r="O43" s="7">
        <f>SUBTOTAL(9,O42:O42)</f>
        <v>12448.14</v>
      </c>
      <c r="P43" s="7">
        <f>+O43/N43</f>
        <v>6224.07</v>
      </c>
    </row>
    <row r="44" spans="1:16" outlineLevel="2" x14ac:dyDescent="0.2">
      <c r="A44" s="5">
        <v>46244</v>
      </c>
      <c r="B44" s="2">
        <v>161583</v>
      </c>
      <c r="C44" s="2">
        <v>1</v>
      </c>
      <c r="D44" s="2" t="s">
        <v>41</v>
      </c>
      <c r="E44" s="2" t="s">
        <v>65</v>
      </c>
      <c r="F44" s="2" t="s">
        <v>29</v>
      </c>
      <c r="G44" s="2" t="s">
        <v>22</v>
      </c>
      <c r="H44" s="2" t="s">
        <v>23</v>
      </c>
      <c r="I44" s="2" t="s">
        <v>23</v>
      </c>
      <c r="J44" s="2">
        <v>1</v>
      </c>
      <c r="K44" s="2" t="s">
        <v>25</v>
      </c>
      <c r="L44" s="2">
        <v>2541</v>
      </c>
      <c r="M44" s="2" t="s">
        <v>44</v>
      </c>
      <c r="N44" s="2">
        <v>8</v>
      </c>
      <c r="O44" s="6">
        <v>522422.72</v>
      </c>
      <c r="P44" s="6">
        <v>65302.84</v>
      </c>
    </row>
    <row r="45" spans="1:16" outlineLevel="2" x14ac:dyDescent="0.2">
      <c r="A45" s="5">
        <v>46246</v>
      </c>
      <c r="B45" s="2">
        <v>161208</v>
      </c>
      <c r="C45" s="2">
        <v>2</v>
      </c>
      <c r="D45" s="2" t="s">
        <v>41</v>
      </c>
      <c r="E45" s="2" t="s">
        <v>42</v>
      </c>
      <c r="F45" s="2" t="s">
        <v>29</v>
      </c>
      <c r="G45" s="2" t="s">
        <v>22</v>
      </c>
      <c r="H45" s="2" t="s">
        <v>23</v>
      </c>
      <c r="I45" s="2" t="s">
        <v>23</v>
      </c>
      <c r="J45" s="2">
        <v>86</v>
      </c>
      <c r="K45" s="2" t="s">
        <v>43</v>
      </c>
      <c r="L45" s="2">
        <v>2541</v>
      </c>
      <c r="M45" s="2" t="s">
        <v>44</v>
      </c>
      <c r="N45" s="2">
        <v>-4</v>
      </c>
      <c r="O45" s="6">
        <v>-54766.29</v>
      </c>
      <c r="P45" s="6">
        <v>13691.57</v>
      </c>
    </row>
    <row r="46" spans="1:16" outlineLevel="1" x14ac:dyDescent="0.2">
      <c r="A46" s="5"/>
      <c r="D46" s="4" t="s">
        <v>108</v>
      </c>
      <c r="E46" s="4"/>
      <c r="F46" s="4"/>
      <c r="G46" s="4"/>
      <c r="H46" s="4"/>
      <c r="I46" s="4"/>
      <c r="J46" s="4"/>
      <c r="K46" s="4"/>
      <c r="L46" s="4"/>
      <c r="M46" s="4"/>
      <c r="N46" s="4">
        <f>SUBTOTAL(9,N44:N45)</f>
        <v>4</v>
      </c>
      <c r="O46" s="7">
        <f>SUBTOTAL(9,O44:O45)</f>
        <v>467656.43</v>
      </c>
      <c r="P46" s="7">
        <f>+O46/N46</f>
        <v>116914.1075</v>
      </c>
    </row>
    <row r="47" spans="1:16" x14ac:dyDescent="0.2">
      <c r="A47" s="5"/>
      <c r="D47" s="4" t="s">
        <v>109</v>
      </c>
      <c r="E47" s="4"/>
      <c r="F47" s="4"/>
      <c r="G47" s="4"/>
      <c r="H47" s="4"/>
      <c r="I47" s="4"/>
      <c r="J47" s="4"/>
      <c r="K47" s="4"/>
      <c r="L47" s="4"/>
      <c r="M47" s="4"/>
      <c r="N47" s="4">
        <f>SUBTOTAL(9,N5:N45)</f>
        <v>292</v>
      </c>
      <c r="O47" s="7">
        <f>SUBTOTAL(9,O5:O45)</f>
        <v>8039368.21</v>
      </c>
      <c r="P47" s="7"/>
    </row>
  </sheetData>
  <sortState ref="A5:P29">
    <sortCondition ref="D5:D55"/>
    <sortCondition ref="E5:E55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</dc:creator>
  <cp:lastModifiedBy>ROBERTO</cp:lastModifiedBy>
  <dcterms:created xsi:type="dcterms:W3CDTF">2026-08-20T16:06:03Z</dcterms:created>
  <dcterms:modified xsi:type="dcterms:W3CDTF">2026-08-20T16:06:49Z</dcterms:modified>
</cp:coreProperties>
</file>