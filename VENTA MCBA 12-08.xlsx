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8" i="1"/>
  <c r="P14" i="1"/>
  <c r="P18" i="1"/>
  <c r="P27" i="1"/>
  <c r="P29" i="1"/>
  <c r="P31" i="1"/>
  <c r="P38" i="1"/>
  <c r="P40" i="1"/>
  <c r="P45" i="1"/>
  <c r="P48" i="1"/>
  <c r="P50" i="1"/>
  <c r="P53" i="1"/>
  <c r="P58" i="1"/>
  <c r="P63" i="1"/>
  <c r="P65" i="1"/>
  <c r="P80" i="1"/>
  <c r="P83" i="1"/>
  <c r="P86" i="1"/>
  <c r="P89" i="1"/>
  <c r="P91" i="1"/>
  <c r="P96" i="1"/>
  <c r="P99" i="1"/>
  <c r="P103" i="1"/>
  <c r="P107" i="1"/>
  <c r="P114" i="1"/>
  <c r="P122" i="1"/>
  <c r="O123" i="1"/>
  <c r="N123" i="1"/>
  <c r="O122" i="1"/>
  <c r="N122" i="1"/>
  <c r="O114" i="1"/>
  <c r="N114" i="1"/>
  <c r="O107" i="1"/>
  <c r="N107" i="1"/>
  <c r="O103" i="1"/>
  <c r="N103" i="1"/>
  <c r="O99" i="1"/>
  <c r="N99" i="1"/>
  <c r="O96" i="1"/>
  <c r="N96" i="1"/>
  <c r="O91" i="1"/>
  <c r="N91" i="1"/>
  <c r="O89" i="1"/>
  <c r="N89" i="1"/>
  <c r="O86" i="1"/>
  <c r="N86" i="1"/>
  <c r="O83" i="1"/>
  <c r="N83" i="1"/>
  <c r="O80" i="1"/>
  <c r="N80" i="1"/>
  <c r="O65" i="1"/>
  <c r="N65" i="1"/>
  <c r="O63" i="1"/>
  <c r="N63" i="1"/>
  <c r="O58" i="1"/>
  <c r="N58" i="1"/>
  <c r="O53" i="1"/>
  <c r="N53" i="1"/>
  <c r="O50" i="1"/>
  <c r="N50" i="1"/>
  <c r="O48" i="1"/>
  <c r="N48" i="1"/>
  <c r="O45" i="1"/>
  <c r="N45" i="1"/>
  <c r="O40" i="1"/>
  <c r="N40" i="1"/>
  <c r="O38" i="1"/>
  <c r="N38" i="1"/>
  <c r="O31" i="1"/>
  <c r="N31" i="1"/>
  <c r="O29" i="1"/>
  <c r="N29" i="1"/>
  <c r="O27" i="1"/>
  <c r="N27" i="1"/>
  <c r="O18" i="1"/>
  <c r="N18" i="1"/>
  <c r="O14" i="1"/>
  <c r="N14" i="1"/>
  <c r="O8" i="1"/>
  <c r="N8" i="1"/>
  <c r="O6" i="1"/>
  <c r="N6" i="1"/>
</calcChain>
</file>

<file path=xl/sharedStrings.xml><?xml version="1.0" encoding="utf-8"?>
<sst xmlns="http://schemas.openxmlformats.org/spreadsheetml/2006/main" count="775" uniqueCount="194">
  <si>
    <t>2026.08.12 13:41:34 SUCU:   2 CAJA: 1</t>
  </si>
  <si>
    <t xml:space="preserve">PUTRUELE HNOS. S.A.A.I.C.  </t>
  </si>
  <si>
    <t>LS040-VENTAS PERIODO:12/08/26-12/08/26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</si>
  <si>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</si>
  <si>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</si>
  <si>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</si>
  <si>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</si>
  <si>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</si>
  <si>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</si>
  <si>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</si>
  <si>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</si>
  <si>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</si>
  <si>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</si>
  <si>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</si>
  <si>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</si>
  <si>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</si>
  <si>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</si>
  <si>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</si>
  <si>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</si>
  <si>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MANZANA   </t>
  </si>
  <si>
    <t>GRANNY SMI</t>
  </si>
  <si>
    <t xml:space="preserve">R.N.      </t>
  </si>
  <si>
    <t xml:space="preserve">ELG       </t>
  </si>
  <si>
    <t xml:space="preserve">          </t>
  </si>
  <si>
    <t xml:space="preserve">C/C       </t>
  </si>
  <si>
    <t xml:space="preserve">CELESTINO      </t>
  </si>
  <si>
    <t>PALTA PILA</t>
  </si>
  <si>
    <t xml:space="preserve">HASS      </t>
  </si>
  <si>
    <t xml:space="preserve">BRASIL    </t>
  </si>
  <si>
    <t xml:space="preserve">BAND      </t>
  </si>
  <si>
    <t xml:space="preserve">JAGUACY BR     </t>
  </si>
  <si>
    <t xml:space="preserve">NARANJA   </t>
  </si>
  <si>
    <t xml:space="preserve">JUGO      </t>
  </si>
  <si>
    <t xml:space="preserve">E.R.      </t>
  </si>
  <si>
    <t xml:space="preserve">G CASTILLO     </t>
  </si>
  <si>
    <t xml:space="preserve">UVA       </t>
  </si>
  <si>
    <t>SUGAR CRIS</t>
  </si>
  <si>
    <t xml:space="preserve">SERRA BRAN     </t>
  </si>
  <si>
    <t xml:space="preserve">RED TOP   </t>
  </si>
  <si>
    <t xml:space="preserve">138       </t>
  </si>
  <si>
    <t xml:space="preserve">KIWI      </t>
  </si>
  <si>
    <t xml:space="preserve">AMARILLO  </t>
  </si>
  <si>
    <t>NUEVA ZELA</t>
  </si>
  <si>
    <t xml:space="preserve">30        </t>
  </si>
  <si>
    <t xml:space="preserve">ZESPRI INT     </t>
  </si>
  <si>
    <t xml:space="preserve">MELON     </t>
  </si>
  <si>
    <t>AMARILLO S</t>
  </si>
  <si>
    <t xml:space="preserve">5         </t>
  </si>
  <si>
    <t xml:space="preserve">DINA INDUS     </t>
  </si>
  <si>
    <t xml:space="preserve">HAYWARD   </t>
  </si>
  <si>
    <t xml:space="preserve">CHILE     </t>
  </si>
  <si>
    <t xml:space="preserve">CAT I     </t>
  </si>
  <si>
    <t xml:space="preserve">27        </t>
  </si>
  <si>
    <t xml:space="preserve">EXPOR FRUG     </t>
  </si>
  <si>
    <t xml:space="preserve">N§6       </t>
  </si>
  <si>
    <t xml:space="preserve">NORFFRUIT      </t>
  </si>
  <si>
    <t xml:space="preserve">T.10      </t>
  </si>
  <si>
    <t xml:space="preserve">NOVAFRUIT      </t>
  </si>
  <si>
    <t xml:space="preserve">RED DELI. </t>
  </si>
  <si>
    <t xml:space="preserve">PATAGONIA      </t>
  </si>
  <si>
    <t xml:space="preserve">TOMATE    </t>
  </si>
  <si>
    <t xml:space="preserve">REDONDO   </t>
  </si>
  <si>
    <t xml:space="preserve">C/PL      </t>
  </si>
  <si>
    <t xml:space="preserve">COMERCIAL      </t>
  </si>
  <si>
    <t xml:space="preserve">BANANA    </t>
  </si>
  <si>
    <t xml:space="preserve">PILAR     </t>
  </si>
  <si>
    <t xml:space="preserve">FRUTICOLA      </t>
  </si>
  <si>
    <t xml:space="preserve">JENGIBRE  </t>
  </si>
  <si>
    <t xml:space="preserve">ENLU-COMER     </t>
  </si>
  <si>
    <t xml:space="preserve">LIMA      </t>
  </si>
  <si>
    <t xml:space="preserve">TAHITI    </t>
  </si>
  <si>
    <t xml:space="preserve">PALTA     </t>
  </si>
  <si>
    <t xml:space="preserve">84        </t>
  </si>
  <si>
    <t xml:space="preserve">EXPOR PROP     </t>
  </si>
  <si>
    <t xml:space="preserve">COCO      </t>
  </si>
  <si>
    <t xml:space="preserve">BAHIA     </t>
  </si>
  <si>
    <t xml:space="preserve">BLS       </t>
  </si>
  <si>
    <t xml:space="preserve">9         </t>
  </si>
  <si>
    <t xml:space="preserve">C/CUB     </t>
  </si>
  <si>
    <t xml:space="preserve">SUN GOLD  </t>
  </si>
  <si>
    <t xml:space="preserve">T.22      </t>
  </si>
  <si>
    <t xml:space="preserve">T.33      </t>
  </si>
  <si>
    <t xml:space="preserve">REPOLLITO </t>
  </si>
  <si>
    <t xml:space="preserve">BRUSELA   </t>
  </si>
  <si>
    <t xml:space="preserve">BS.AS.    </t>
  </si>
  <si>
    <t xml:space="preserve">GUILLERMO      </t>
  </si>
  <si>
    <t xml:space="preserve">CHERRY    </t>
  </si>
  <si>
    <t xml:space="preserve">COMUN     </t>
  </si>
  <si>
    <t xml:space="preserve">CTES.     </t>
  </si>
  <si>
    <t xml:space="preserve">FINCA LA J     </t>
  </si>
  <si>
    <t>RACIMO ROJ</t>
  </si>
  <si>
    <t xml:space="preserve">PAPA      </t>
  </si>
  <si>
    <t xml:space="preserve">LAVADA    </t>
  </si>
  <si>
    <t xml:space="preserve">CAT 2     </t>
  </si>
  <si>
    <t xml:space="preserve">18        </t>
  </si>
  <si>
    <t xml:space="preserve">OTAVIO RES     </t>
  </si>
  <si>
    <t xml:space="preserve">16-18-20  </t>
  </si>
  <si>
    <t xml:space="preserve">ESPARRAGO </t>
  </si>
  <si>
    <t xml:space="preserve">VERDE     </t>
  </si>
  <si>
    <t xml:space="preserve">PERU      </t>
  </si>
  <si>
    <t xml:space="preserve">PRIME TIME     </t>
  </si>
  <si>
    <t xml:space="preserve">10-14     </t>
  </si>
  <si>
    <t xml:space="preserve">28-32     </t>
  </si>
  <si>
    <t>AGUA DE CO</t>
  </si>
  <si>
    <t xml:space="preserve">14        </t>
  </si>
  <si>
    <t xml:space="preserve">JOSE ALCID     </t>
  </si>
  <si>
    <t>AUTUN CRIS</t>
  </si>
  <si>
    <t xml:space="preserve">PAPIN     </t>
  </si>
  <si>
    <t>FRACCIONAD</t>
  </si>
  <si>
    <t xml:space="preserve">16        </t>
  </si>
  <si>
    <t xml:space="preserve">BOLSONELLA     </t>
  </si>
  <si>
    <t xml:space="preserve">PI¥A      </t>
  </si>
  <si>
    <t xml:space="preserve">ECUADOR   </t>
  </si>
  <si>
    <t xml:space="preserve">PI¥AS RICA     </t>
  </si>
  <si>
    <t xml:space="preserve">N§8       </t>
  </si>
  <si>
    <t xml:space="preserve">RACIMO    </t>
  </si>
  <si>
    <t xml:space="preserve">SJN       </t>
  </si>
  <si>
    <t xml:space="preserve">PAQUETES  </t>
  </si>
  <si>
    <t xml:space="preserve">PUTRUELE H     </t>
  </si>
  <si>
    <t xml:space="preserve">CBA       </t>
  </si>
  <si>
    <t xml:space="preserve">GREEN PATA     </t>
  </si>
  <si>
    <t xml:space="preserve">DON JAIME      </t>
  </si>
  <si>
    <t>SUPER CHIE</t>
  </si>
  <si>
    <t xml:space="preserve">CELESTINO </t>
  </si>
  <si>
    <t xml:space="preserve">PERA      </t>
  </si>
  <si>
    <t xml:space="preserve">PACKHAM S </t>
  </si>
  <si>
    <t xml:space="preserve">1/2 CAJA  </t>
  </si>
  <si>
    <t xml:space="preserve">TMAN      </t>
  </si>
  <si>
    <t xml:space="preserve">GUAYAL S.A     </t>
  </si>
  <si>
    <t>NEGRO COMU</t>
  </si>
  <si>
    <t xml:space="preserve">LIMON     </t>
  </si>
  <si>
    <t xml:space="preserve">EUREKA    </t>
  </si>
  <si>
    <t xml:space="preserve">AGRO ALIAN     </t>
  </si>
  <si>
    <t>PORTOBELLO</t>
  </si>
  <si>
    <t xml:space="preserve">HONGOS DEL     </t>
  </si>
  <si>
    <t>CHAMPIG¥ON</t>
  </si>
  <si>
    <t xml:space="preserve">SEG.      </t>
  </si>
  <si>
    <t xml:space="preserve">C/VERDE   </t>
  </si>
  <si>
    <t xml:space="preserve">C-AZUL    </t>
  </si>
  <si>
    <t>BLANCO FRA</t>
  </si>
  <si>
    <t xml:space="preserve">FINCA EL R     </t>
  </si>
  <si>
    <t xml:space="preserve">MANGO     </t>
  </si>
  <si>
    <t xml:space="preserve">TOMMY     </t>
  </si>
  <si>
    <t xml:space="preserve">N§9       </t>
  </si>
  <si>
    <t xml:space="preserve">SPECIAL FR     </t>
  </si>
  <si>
    <t xml:space="preserve">T.12      </t>
  </si>
  <si>
    <t xml:space="preserve">PITAHAYA  </t>
  </si>
  <si>
    <t xml:space="preserve">ROJA      </t>
  </si>
  <si>
    <t xml:space="preserve">CALDERON N     </t>
  </si>
  <si>
    <t xml:space="preserve">RED GLOBE </t>
  </si>
  <si>
    <t xml:space="preserve">CIRUELA   </t>
  </si>
  <si>
    <t>PRIME TIME</t>
  </si>
  <si>
    <t xml:space="preserve">ESPA¥A    </t>
  </si>
  <si>
    <t xml:space="preserve">60-65     </t>
  </si>
  <si>
    <t xml:space="preserve">FRUTINA IM     </t>
  </si>
  <si>
    <t xml:space="preserve">C/M       </t>
  </si>
  <si>
    <t xml:space="preserve">A.ROCKY S.     </t>
  </si>
  <si>
    <t>COMUN ROJO</t>
  </si>
  <si>
    <t xml:space="preserve">60        </t>
  </si>
  <si>
    <t xml:space="preserve">INKA SELEC     </t>
  </si>
  <si>
    <t>COMUN NEGR</t>
  </si>
  <si>
    <t xml:space="preserve">ARANDANO  </t>
  </si>
  <si>
    <t>SNOWCHASER</t>
  </si>
  <si>
    <t xml:space="preserve">GRAMM AGRO     </t>
  </si>
  <si>
    <t>RAF VIOLET</t>
  </si>
  <si>
    <t>RACIMO RED</t>
  </si>
  <si>
    <t>Total AGUA DE CO</t>
  </si>
  <si>
    <t xml:space="preserve">Total ARANDANO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</si>
  <si>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</si>
  <si>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</si>
  <si>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</si>
  <si>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</si>
  <si>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</si>
  <si>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</si>
  <si>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</si>
  <si>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</si>
  <si>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</si>
  <si>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</si>
  <si>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MANGO     </t>
  </si>
  <si>
    <t xml:space="preserve">Total MANZANA   </t>
  </si>
  <si>
    <t xml:space="preserve">Total MELON     </t>
  </si>
  <si>
    <t xml:space="preserve">Total NARANJA   </t>
  </si>
  <si>
    <t xml:space="preserve">Total PALTA     </t>
  </si>
  <si>
    <t>Total PALTA PILA</t>
  </si>
  <si>
    <t xml:space="preserve">Total PAPA      </t>
  </si>
  <si>
    <t xml:space="preserve">Total PAPIN     </t>
  </si>
  <si>
    <t xml:space="preserve">Total PERA  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</si>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</sst>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tabSelected="1" topLeftCell="A97" workbookViewId="0">
      <selection activeCell="D124" sqref="D124"/>
    </sheetView>
  </sheetViews>
  <sheetFormatPr baseColWidth="10" defaultRowHeight="11.25" outlineLevelRow="2" x14ac:dyDescent="0.2"/>
  <cols>
    <col min="1" max="14" width="11.42578125" style="2"/>
    <col min="15" max="15" width="12.85546875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46237</v>
      </c>
      <c r="B5" s="2">
        <v>161333</v>
      </c>
      <c r="C5" s="2">
        <v>2</v>
      </c>
      <c r="D5" s="2" t="s">
        <v>103</v>
      </c>
      <c r="E5" s="2" t="s">
        <v>23</v>
      </c>
      <c r="F5" s="2" t="s">
        <v>28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24</v>
      </c>
      <c r="L5" s="2">
        <v>2521</v>
      </c>
      <c r="M5" s="2" t="s">
        <v>68</v>
      </c>
      <c r="N5" s="2">
        <v>5</v>
      </c>
      <c r="O5" s="6">
        <v>201939.69</v>
      </c>
      <c r="P5" s="6">
        <v>40387.94</v>
      </c>
    </row>
    <row r="6" spans="1:16" outlineLevel="1" x14ac:dyDescent="0.2">
      <c r="A6" s="5"/>
      <c r="D6" s="4" t="s">
        <v>166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5</v>
      </c>
      <c r="O6" s="7">
        <f>SUBTOTAL(9,O5:O5)</f>
        <v>201939.69</v>
      </c>
      <c r="P6" s="7">
        <f>+O6/N6</f>
        <v>40387.938000000002</v>
      </c>
    </row>
    <row r="7" spans="1:16" outlineLevel="2" x14ac:dyDescent="0.2">
      <c r="A7" s="5">
        <v>46246</v>
      </c>
      <c r="B7" s="2">
        <v>161600</v>
      </c>
      <c r="C7" s="2">
        <v>1</v>
      </c>
      <c r="D7" s="2" t="s">
        <v>161</v>
      </c>
      <c r="E7" s="2" t="s">
        <v>162</v>
      </c>
      <c r="F7" s="2" t="s">
        <v>33</v>
      </c>
      <c r="G7" s="2" t="s">
        <v>22</v>
      </c>
      <c r="H7" s="2" t="s">
        <v>23</v>
      </c>
      <c r="I7" s="2" t="s">
        <v>23</v>
      </c>
      <c r="J7" s="2">
        <v>86</v>
      </c>
      <c r="K7" s="2" t="s">
        <v>78</v>
      </c>
      <c r="L7" s="2">
        <v>896</v>
      </c>
      <c r="M7" s="2" t="s">
        <v>163</v>
      </c>
      <c r="N7" s="2">
        <v>58</v>
      </c>
      <c r="O7" s="6">
        <v>1126416.1200000001</v>
      </c>
      <c r="P7" s="6">
        <v>19420.97</v>
      </c>
    </row>
    <row r="8" spans="1:16" outlineLevel="1" x14ac:dyDescent="0.2">
      <c r="A8" s="5"/>
      <c r="D8" s="4" t="s">
        <v>167</v>
      </c>
      <c r="E8" s="4"/>
      <c r="F8" s="4"/>
      <c r="G8" s="4"/>
      <c r="H8" s="4"/>
      <c r="I8" s="4"/>
      <c r="J8" s="4"/>
      <c r="K8" s="4"/>
      <c r="L8" s="4"/>
      <c r="M8" s="4"/>
      <c r="N8" s="4">
        <f>SUBTOTAL(9,N7:N7)</f>
        <v>58</v>
      </c>
      <c r="O8" s="7">
        <f>SUBTOTAL(9,O7:O7)</f>
        <v>1126416.1200000001</v>
      </c>
      <c r="P8" s="7">
        <f>+O8/N8</f>
        <v>19420.967586206898</v>
      </c>
    </row>
    <row r="9" spans="1:16" outlineLevel="2" x14ac:dyDescent="0.2">
      <c r="A9" s="5">
        <v>46241</v>
      </c>
      <c r="B9" s="2">
        <v>161403</v>
      </c>
      <c r="C9" s="2">
        <v>315</v>
      </c>
      <c r="D9" s="2" t="s">
        <v>64</v>
      </c>
      <c r="E9" s="2" t="s">
        <v>23</v>
      </c>
      <c r="F9" s="2" t="s">
        <v>65</v>
      </c>
      <c r="G9" s="2" t="s">
        <v>23</v>
      </c>
      <c r="H9" s="2" t="s">
        <v>23</v>
      </c>
      <c r="I9" s="2" t="s">
        <v>23</v>
      </c>
      <c r="J9" s="2">
        <v>1</v>
      </c>
      <c r="K9" s="2" t="s">
        <v>24</v>
      </c>
      <c r="L9" s="2">
        <v>1833</v>
      </c>
      <c r="M9" s="2" t="s">
        <v>66</v>
      </c>
      <c r="N9" s="2">
        <v>4</v>
      </c>
      <c r="O9" s="6">
        <v>39831.29</v>
      </c>
      <c r="P9" s="6">
        <v>9957.82</v>
      </c>
    </row>
    <row r="10" spans="1:16" outlineLevel="2" x14ac:dyDescent="0.2">
      <c r="A10" s="5">
        <v>46241</v>
      </c>
      <c r="B10" s="2">
        <v>161459</v>
      </c>
      <c r="C10" s="2">
        <v>1</v>
      </c>
      <c r="D10" s="2" t="s">
        <v>64</v>
      </c>
      <c r="E10" s="2" t="s">
        <v>23</v>
      </c>
      <c r="F10" s="2" t="s">
        <v>112</v>
      </c>
      <c r="G10" s="2" t="s">
        <v>22</v>
      </c>
      <c r="H10" s="2" t="s">
        <v>23</v>
      </c>
      <c r="I10" s="2" t="s">
        <v>23</v>
      </c>
      <c r="J10" s="2">
        <v>1</v>
      </c>
      <c r="K10" s="2" t="s">
        <v>24</v>
      </c>
      <c r="L10" s="2">
        <v>1503</v>
      </c>
      <c r="M10" s="2" t="s">
        <v>121</v>
      </c>
      <c r="N10" s="2">
        <v>1</v>
      </c>
      <c r="O10" s="6">
        <v>23025.98</v>
      </c>
      <c r="P10" s="6">
        <v>23025.98</v>
      </c>
    </row>
    <row r="11" spans="1:16" outlineLevel="2" x14ac:dyDescent="0.2">
      <c r="A11" s="5">
        <v>46244</v>
      </c>
      <c r="B11" s="2">
        <v>161538</v>
      </c>
      <c r="C11" s="2">
        <v>1</v>
      </c>
      <c r="D11" s="2" t="s">
        <v>64</v>
      </c>
      <c r="E11" s="2" t="s">
        <v>23</v>
      </c>
      <c r="F11" s="2" t="s">
        <v>112</v>
      </c>
      <c r="G11" s="2" t="s">
        <v>22</v>
      </c>
      <c r="H11" s="2" t="s">
        <v>23</v>
      </c>
      <c r="I11" s="2" t="s">
        <v>23</v>
      </c>
      <c r="J11" s="2">
        <v>1</v>
      </c>
      <c r="K11" s="2" t="s">
        <v>24</v>
      </c>
      <c r="L11" s="2">
        <v>1503</v>
      </c>
      <c r="M11" s="2" t="s">
        <v>121</v>
      </c>
      <c r="N11" s="2">
        <v>2</v>
      </c>
      <c r="O11" s="6">
        <v>98324.52</v>
      </c>
      <c r="P11" s="6">
        <v>49162.26</v>
      </c>
    </row>
    <row r="12" spans="1:16" outlineLevel="2" x14ac:dyDescent="0.2">
      <c r="A12" s="5">
        <v>46246</v>
      </c>
      <c r="B12" s="2">
        <v>161557</v>
      </c>
      <c r="C12" s="2">
        <v>1</v>
      </c>
      <c r="D12" s="2" t="s">
        <v>64</v>
      </c>
      <c r="E12" s="2" t="s">
        <v>23</v>
      </c>
      <c r="F12" s="2" t="s">
        <v>112</v>
      </c>
      <c r="G12" s="2" t="s">
        <v>22</v>
      </c>
      <c r="H12" s="2" t="s">
        <v>23</v>
      </c>
      <c r="I12" s="2" t="s">
        <v>23</v>
      </c>
      <c r="J12" s="2">
        <v>1</v>
      </c>
      <c r="K12" s="2" t="s">
        <v>24</v>
      </c>
      <c r="L12" s="2">
        <v>1503</v>
      </c>
      <c r="M12" s="2" t="s">
        <v>121</v>
      </c>
      <c r="N12" s="2">
        <v>10</v>
      </c>
      <c r="O12" s="6">
        <v>458018.81</v>
      </c>
      <c r="P12" s="6">
        <v>45801.88</v>
      </c>
    </row>
    <row r="13" spans="1:16" outlineLevel="2" x14ac:dyDescent="0.2">
      <c r="A13" s="5">
        <v>46225</v>
      </c>
      <c r="B13" s="2">
        <v>161001</v>
      </c>
      <c r="C13" s="2">
        <v>1</v>
      </c>
      <c r="D13" s="2" t="s">
        <v>64</v>
      </c>
      <c r="E13" s="2" t="s">
        <v>65</v>
      </c>
      <c r="F13" s="2" t="s">
        <v>23</v>
      </c>
      <c r="G13" s="2" t="s">
        <v>23</v>
      </c>
      <c r="H13" s="2" t="s">
        <v>23</v>
      </c>
      <c r="I13" s="2" t="s">
        <v>23</v>
      </c>
      <c r="J13" s="2">
        <v>1</v>
      </c>
      <c r="K13" s="2" t="s">
        <v>24</v>
      </c>
      <c r="L13" s="2">
        <v>1833</v>
      </c>
      <c r="M13" s="2" t="s">
        <v>66</v>
      </c>
      <c r="N13" s="2">
        <v>19</v>
      </c>
      <c r="O13" s="6">
        <v>951818.3</v>
      </c>
      <c r="P13" s="6">
        <v>50095.7</v>
      </c>
    </row>
    <row r="14" spans="1:16" outlineLevel="1" x14ac:dyDescent="0.2">
      <c r="A14" s="5"/>
      <c r="D14" s="4" t="s">
        <v>168</v>
      </c>
      <c r="E14" s="4"/>
      <c r="F14" s="4"/>
      <c r="G14" s="4"/>
      <c r="H14" s="4"/>
      <c r="I14" s="4"/>
      <c r="J14" s="4"/>
      <c r="K14" s="4"/>
      <c r="L14" s="4"/>
      <c r="M14" s="4"/>
      <c r="N14" s="4">
        <f>SUBTOTAL(9,N9:N13)</f>
        <v>36</v>
      </c>
      <c r="O14" s="7">
        <f>SUBTOTAL(9,O9:O13)</f>
        <v>1571018.9</v>
      </c>
      <c r="P14" s="7">
        <f>+O14/N14</f>
        <v>43639.413888888885</v>
      </c>
    </row>
    <row r="15" spans="1:16" outlineLevel="2" x14ac:dyDescent="0.2">
      <c r="A15" s="5">
        <v>46246</v>
      </c>
      <c r="B15" s="2">
        <v>161558</v>
      </c>
      <c r="C15" s="2">
        <v>2</v>
      </c>
      <c r="D15" s="2" t="s">
        <v>135</v>
      </c>
      <c r="E15" s="2" t="s">
        <v>23</v>
      </c>
      <c r="F15" s="2" t="s">
        <v>84</v>
      </c>
      <c r="G15" s="2" t="s">
        <v>136</v>
      </c>
      <c r="H15" s="2" t="s">
        <v>23</v>
      </c>
      <c r="I15" s="2" t="s">
        <v>23</v>
      </c>
      <c r="J15" s="2">
        <v>1</v>
      </c>
      <c r="K15" s="2" t="s">
        <v>24</v>
      </c>
      <c r="L15" s="2">
        <v>25213</v>
      </c>
      <c r="M15" s="2" t="s">
        <v>134</v>
      </c>
      <c r="N15" s="2">
        <v>13</v>
      </c>
      <c r="O15" s="6">
        <v>849133.25</v>
      </c>
      <c r="P15" s="6">
        <v>65317.94</v>
      </c>
    </row>
    <row r="16" spans="1:16" outlineLevel="2" x14ac:dyDescent="0.2">
      <c r="A16" s="5">
        <v>46246</v>
      </c>
      <c r="B16" s="2">
        <v>161558</v>
      </c>
      <c r="C16" s="2">
        <v>4</v>
      </c>
      <c r="D16" s="2" t="s">
        <v>135</v>
      </c>
      <c r="E16" s="2" t="s">
        <v>23</v>
      </c>
      <c r="F16" s="2" t="s">
        <v>84</v>
      </c>
      <c r="G16" s="2" t="s">
        <v>22</v>
      </c>
      <c r="H16" s="2" t="s">
        <v>137</v>
      </c>
      <c r="I16" s="2" t="s">
        <v>23</v>
      </c>
      <c r="J16" s="2">
        <v>41</v>
      </c>
      <c r="K16" s="2" t="s">
        <v>29</v>
      </c>
      <c r="L16" s="2">
        <v>25213</v>
      </c>
      <c r="M16" s="2" t="s">
        <v>134</v>
      </c>
      <c r="N16" s="2">
        <v>96</v>
      </c>
      <c r="O16" s="6">
        <v>288319.43</v>
      </c>
      <c r="P16" s="6">
        <v>3003.33</v>
      </c>
    </row>
    <row r="17" spans="1:16" outlineLevel="2" x14ac:dyDescent="0.2">
      <c r="A17" s="5">
        <v>46246</v>
      </c>
      <c r="B17" s="2">
        <v>161558</v>
      </c>
      <c r="C17" s="2">
        <v>5</v>
      </c>
      <c r="D17" s="2" t="s">
        <v>135</v>
      </c>
      <c r="E17" s="2" t="s">
        <v>23</v>
      </c>
      <c r="F17" s="2" t="s">
        <v>84</v>
      </c>
      <c r="G17" s="2" t="s">
        <v>22</v>
      </c>
      <c r="H17" s="2" t="s">
        <v>138</v>
      </c>
      <c r="I17" s="2" t="s">
        <v>23</v>
      </c>
      <c r="J17" s="2">
        <v>41</v>
      </c>
      <c r="K17" s="2" t="s">
        <v>29</v>
      </c>
      <c r="L17" s="2">
        <v>25213</v>
      </c>
      <c r="M17" s="2" t="s">
        <v>134</v>
      </c>
      <c r="N17" s="2">
        <v>80</v>
      </c>
      <c r="O17" s="6">
        <v>270539.64</v>
      </c>
      <c r="P17" s="6">
        <v>3381.75</v>
      </c>
    </row>
    <row r="18" spans="1:16" outlineLevel="1" x14ac:dyDescent="0.2">
      <c r="A18" s="5"/>
      <c r="D18" s="4" t="s">
        <v>169</v>
      </c>
      <c r="E18" s="4"/>
      <c r="F18" s="4"/>
      <c r="G18" s="4"/>
      <c r="H18" s="4"/>
      <c r="I18" s="4"/>
      <c r="J18" s="4"/>
      <c r="K18" s="4"/>
      <c r="L18" s="4"/>
      <c r="M18" s="4"/>
      <c r="N18" s="4">
        <f>SUBTOTAL(9,N15:N17)</f>
        <v>189</v>
      </c>
      <c r="O18" s="7">
        <f>SUBTOTAL(9,O15:O17)</f>
        <v>1407992.3199999998</v>
      </c>
      <c r="P18" s="7">
        <f>+O18/N18</f>
        <v>7449.694814814814</v>
      </c>
    </row>
    <row r="19" spans="1:16" outlineLevel="2" x14ac:dyDescent="0.2">
      <c r="A19" s="5">
        <v>46246</v>
      </c>
      <c r="B19" s="2">
        <v>161679</v>
      </c>
      <c r="C19" s="2">
        <v>8</v>
      </c>
      <c r="D19" s="2" t="s">
        <v>86</v>
      </c>
      <c r="E19" s="2" t="s">
        <v>150</v>
      </c>
      <c r="F19" s="2" t="s">
        <v>88</v>
      </c>
      <c r="G19" s="2" t="s">
        <v>22</v>
      </c>
      <c r="H19" s="2" t="s">
        <v>23</v>
      </c>
      <c r="I19" s="2" t="s">
        <v>23</v>
      </c>
      <c r="J19" s="2">
        <v>41</v>
      </c>
      <c r="K19" s="2" t="s">
        <v>29</v>
      </c>
      <c r="L19" s="2">
        <v>801</v>
      </c>
      <c r="M19" s="2" t="s">
        <v>89</v>
      </c>
      <c r="N19" s="2">
        <v>4</v>
      </c>
      <c r="O19" s="6">
        <v>84012.96</v>
      </c>
      <c r="P19" s="6">
        <v>21003.24</v>
      </c>
    </row>
    <row r="20" spans="1:16" outlineLevel="2" x14ac:dyDescent="0.2">
      <c r="A20" s="5">
        <v>46230</v>
      </c>
      <c r="B20" s="2">
        <v>161218</v>
      </c>
      <c r="C20" s="2">
        <v>30</v>
      </c>
      <c r="D20" s="2" t="s">
        <v>86</v>
      </c>
      <c r="E20" s="2" t="s">
        <v>87</v>
      </c>
      <c r="F20" s="2" t="s">
        <v>88</v>
      </c>
      <c r="G20" s="2" t="s">
        <v>22</v>
      </c>
      <c r="H20" s="2" t="s">
        <v>23</v>
      </c>
      <c r="I20" s="2" t="s">
        <v>23</v>
      </c>
      <c r="J20" s="2">
        <v>41</v>
      </c>
      <c r="K20" s="2" t="s">
        <v>29</v>
      </c>
      <c r="L20" s="2">
        <v>801</v>
      </c>
      <c r="M20" s="2" t="s">
        <v>89</v>
      </c>
      <c r="N20" s="2">
        <v>5</v>
      </c>
      <c r="O20" s="6">
        <v>115129.9</v>
      </c>
      <c r="P20" s="6">
        <v>23025.98</v>
      </c>
    </row>
    <row r="21" spans="1:16" outlineLevel="2" x14ac:dyDescent="0.2">
      <c r="A21" s="5">
        <v>46244</v>
      </c>
      <c r="B21" s="2">
        <v>161594</v>
      </c>
      <c r="C21" s="2">
        <v>21</v>
      </c>
      <c r="D21" s="2" t="s">
        <v>86</v>
      </c>
      <c r="E21" s="2" t="s">
        <v>160</v>
      </c>
      <c r="F21" s="2" t="s">
        <v>88</v>
      </c>
      <c r="G21" s="2" t="s">
        <v>22</v>
      </c>
      <c r="H21" s="2" t="s">
        <v>23</v>
      </c>
      <c r="I21" s="2" t="s">
        <v>23</v>
      </c>
      <c r="J21" s="2">
        <v>41</v>
      </c>
      <c r="K21" s="2" t="s">
        <v>29</v>
      </c>
      <c r="L21" s="2">
        <v>106</v>
      </c>
      <c r="M21" s="2" t="s">
        <v>156</v>
      </c>
      <c r="N21" s="2">
        <v>1</v>
      </c>
      <c r="O21" s="6">
        <v>18358.77</v>
      </c>
      <c r="P21" s="6">
        <v>18358.77</v>
      </c>
    </row>
    <row r="22" spans="1:16" outlineLevel="2" x14ac:dyDescent="0.2">
      <c r="A22" s="5">
        <v>46244</v>
      </c>
      <c r="B22" s="2">
        <v>161588</v>
      </c>
      <c r="C22" s="2">
        <v>6</v>
      </c>
      <c r="D22" s="2" t="s">
        <v>86</v>
      </c>
      <c r="E22" s="2" t="s">
        <v>157</v>
      </c>
      <c r="F22" s="2" t="s">
        <v>88</v>
      </c>
      <c r="G22" s="2" t="s">
        <v>22</v>
      </c>
      <c r="H22" s="2" t="s">
        <v>23</v>
      </c>
      <c r="I22" s="2" t="s">
        <v>23</v>
      </c>
      <c r="J22" s="2">
        <v>2</v>
      </c>
      <c r="K22" s="2" t="s">
        <v>155</v>
      </c>
      <c r="L22" s="2">
        <v>106</v>
      </c>
      <c r="M22" s="2" t="s">
        <v>156</v>
      </c>
      <c r="N22" s="2">
        <v>12</v>
      </c>
      <c r="O22" s="6">
        <v>154964.56</v>
      </c>
      <c r="P22" s="6">
        <v>12913.71</v>
      </c>
    </row>
    <row r="23" spans="1:16" outlineLevel="2" x14ac:dyDescent="0.2">
      <c r="A23" s="5">
        <v>46239</v>
      </c>
      <c r="B23" s="2">
        <v>161520</v>
      </c>
      <c r="C23" s="2">
        <v>19</v>
      </c>
      <c r="D23" s="2" t="s">
        <v>86</v>
      </c>
      <c r="E23" s="2" t="s">
        <v>129</v>
      </c>
      <c r="F23" s="2" t="s">
        <v>88</v>
      </c>
      <c r="G23" s="2" t="s">
        <v>22</v>
      </c>
      <c r="H23" s="2" t="s">
        <v>23</v>
      </c>
      <c r="I23" s="2" t="s">
        <v>23</v>
      </c>
      <c r="J23" s="2">
        <v>41</v>
      </c>
      <c r="K23" s="2" t="s">
        <v>29</v>
      </c>
      <c r="L23" s="2">
        <v>801</v>
      </c>
      <c r="M23" s="2" t="s">
        <v>89</v>
      </c>
      <c r="N23" s="2">
        <v>8</v>
      </c>
      <c r="O23" s="6">
        <v>184517.84</v>
      </c>
      <c r="P23" s="6">
        <v>23064.73</v>
      </c>
    </row>
    <row r="24" spans="1:16" outlineLevel="2" x14ac:dyDescent="0.2">
      <c r="A24" s="5">
        <v>46246</v>
      </c>
      <c r="B24" s="2">
        <v>161679</v>
      </c>
      <c r="C24" s="2">
        <v>17</v>
      </c>
      <c r="D24" s="2" t="s">
        <v>86</v>
      </c>
      <c r="E24" s="2" t="s">
        <v>129</v>
      </c>
      <c r="F24" s="2" t="s">
        <v>88</v>
      </c>
      <c r="G24" s="2" t="s">
        <v>22</v>
      </c>
      <c r="H24" s="2" t="s">
        <v>23</v>
      </c>
      <c r="I24" s="2" t="s">
        <v>23</v>
      </c>
      <c r="J24" s="2">
        <v>41</v>
      </c>
      <c r="K24" s="2" t="s">
        <v>29</v>
      </c>
      <c r="L24" s="2">
        <v>801</v>
      </c>
      <c r="M24" s="2" t="s">
        <v>89</v>
      </c>
      <c r="N24" s="2">
        <v>3</v>
      </c>
      <c r="O24" s="6">
        <v>60676.98</v>
      </c>
      <c r="P24" s="6">
        <v>20225.66</v>
      </c>
    </row>
    <row r="25" spans="1:16" outlineLevel="2" x14ac:dyDescent="0.2">
      <c r="A25" s="5">
        <v>46246</v>
      </c>
      <c r="B25" s="2">
        <v>161679</v>
      </c>
      <c r="C25" s="2">
        <v>14</v>
      </c>
      <c r="D25" s="2" t="s">
        <v>86</v>
      </c>
      <c r="E25" s="2" t="s">
        <v>165</v>
      </c>
      <c r="F25" s="2" t="s">
        <v>88</v>
      </c>
      <c r="G25" s="2" t="s">
        <v>22</v>
      </c>
      <c r="H25" s="2" t="s">
        <v>23</v>
      </c>
      <c r="I25" s="2" t="s">
        <v>23</v>
      </c>
      <c r="J25" s="2">
        <v>41</v>
      </c>
      <c r="K25" s="2" t="s">
        <v>29</v>
      </c>
      <c r="L25" s="2">
        <v>801</v>
      </c>
      <c r="M25" s="2" t="s">
        <v>89</v>
      </c>
      <c r="N25" s="2">
        <v>21</v>
      </c>
      <c r="O25" s="6">
        <v>536751.48</v>
      </c>
      <c r="P25" s="6">
        <v>25559.59</v>
      </c>
    </row>
    <row r="26" spans="1:16" outlineLevel="2" x14ac:dyDescent="0.2">
      <c r="A26" s="5">
        <v>46241</v>
      </c>
      <c r="B26" s="2">
        <v>161568</v>
      </c>
      <c r="C26" s="2">
        <v>18</v>
      </c>
      <c r="D26" s="2" t="s">
        <v>86</v>
      </c>
      <c r="E26" s="2" t="s">
        <v>90</v>
      </c>
      <c r="F26" s="2" t="s">
        <v>88</v>
      </c>
      <c r="G26" s="2" t="s">
        <v>22</v>
      </c>
      <c r="H26" s="2" t="s">
        <v>23</v>
      </c>
      <c r="I26" s="2" t="s">
        <v>23</v>
      </c>
      <c r="J26" s="2">
        <v>41</v>
      </c>
      <c r="K26" s="2" t="s">
        <v>29</v>
      </c>
      <c r="L26" s="2">
        <v>25088</v>
      </c>
      <c r="M26" s="2" t="s">
        <v>140</v>
      </c>
      <c r="N26" s="2">
        <v>14</v>
      </c>
      <c r="O26" s="6">
        <v>355340.58</v>
      </c>
      <c r="P26" s="6">
        <v>25381.47</v>
      </c>
    </row>
    <row r="27" spans="1:16" outlineLevel="1" x14ac:dyDescent="0.2">
      <c r="A27" s="5"/>
      <c r="D27" s="4" t="s">
        <v>170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SUBTOTAL(9,N19:N26)</f>
        <v>68</v>
      </c>
      <c r="O27" s="7">
        <f>SUBTOTAL(9,O19:O26)</f>
        <v>1509753.0699999998</v>
      </c>
      <c r="P27" s="7">
        <f>+O27/N27</f>
        <v>22202.251029411764</v>
      </c>
    </row>
    <row r="28" spans="1:16" outlineLevel="2" x14ac:dyDescent="0.2">
      <c r="A28" s="5">
        <v>46244</v>
      </c>
      <c r="B28" s="2">
        <v>161585</v>
      </c>
      <c r="C28" s="2">
        <v>7</v>
      </c>
      <c r="D28" s="2" t="s">
        <v>150</v>
      </c>
      <c r="E28" s="2" t="s">
        <v>151</v>
      </c>
      <c r="F28" s="2" t="s">
        <v>152</v>
      </c>
      <c r="G28" s="2" t="s">
        <v>22</v>
      </c>
      <c r="H28" s="2" t="s">
        <v>23</v>
      </c>
      <c r="I28" s="2" t="s">
        <v>153</v>
      </c>
      <c r="J28" s="2">
        <v>1</v>
      </c>
      <c r="K28" s="2" t="s">
        <v>24</v>
      </c>
      <c r="L28" s="2">
        <v>25249</v>
      </c>
      <c r="M28" s="2" t="s">
        <v>154</v>
      </c>
      <c r="N28" s="2">
        <v>73</v>
      </c>
      <c r="O28" s="6">
        <v>4137706.96</v>
      </c>
      <c r="P28" s="6">
        <v>56680.92</v>
      </c>
    </row>
    <row r="29" spans="1:16" outlineLevel="1" x14ac:dyDescent="0.2">
      <c r="A29" s="5"/>
      <c r="D29" s="4" t="s">
        <v>171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SUBTOTAL(9,N28:N28)</f>
        <v>73</v>
      </c>
      <c r="O29" s="7">
        <f>SUBTOTAL(9,O28:O28)</f>
        <v>4137706.96</v>
      </c>
      <c r="P29" s="7">
        <f>+O29/N29</f>
        <v>56680.917260273971</v>
      </c>
    </row>
    <row r="30" spans="1:16" outlineLevel="2" x14ac:dyDescent="0.2">
      <c r="A30" s="5">
        <v>46237</v>
      </c>
      <c r="B30" s="2">
        <v>161052</v>
      </c>
      <c r="C30" s="2">
        <v>1</v>
      </c>
      <c r="D30" s="2" t="s">
        <v>74</v>
      </c>
      <c r="E30" s="2" t="s">
        <v>75</v>
      </c>
      <c r="F30" s="2" t="s">
        <v>28</v>
      </c>
      <c r="G30" s="2" t="s">
        <v>22</v>
      </c>
      <c r="H30" s="2" t="s">
        <v>23</v>
      </c>
      <c r="I30" s="2" t="s">
        <v>23</v>
      </c>
      <c r="J30" s="2">
        <v>5</v>
      </c>
      <c r="K30" s="2" t="s">
        <v>76</v>
      </c>
      <c r="L30" s="2">
        <v>2521</v>
      </c>
      <c r="M30" s="2" t="s">
        <v>68</v>
      </c>
      <c r="N30" s="2">
        <v>7</v>
      </c>
      <c r="O30" s="6">
        <v>147180.26</v>
      </c>
      <c r="P30" s="6">
        <v>21025.75</v>
      </c>
    </row>
    <row r="31" spans="1:16" outlineLevel="1" x14ac:dyDescent="0.2">
      <c r="A31" s="5"/>
      <c r="D31" s="4" t="s">
        <v>172</v>
      </c>
      <c r="E31" s="4"/>
      <c r="F31" s="4"/>
      <c r="G31" s="4"/>
      <c r="H31" s="4"/>
      <c r="I31" s="4"/>
      <c r="J31" s="4"/>
      <c r="K31" s="4"/>
      <c r="L31" s="4"/>
      <c r="M31" s="4"/>
      <c r="N31" s="4">
        <f>SUBTOTAL(9,N30:N30)</f>
        <v>7</v>
      </c>
      <c r="O31" s="7">
        <f>SUBTOTAL(9,O30:O30)</f>
        <v>147180.26</v>
      </c>
      <c r="P31" s="7">
        <f>+O31/N31</f>
        <v>21025.751428571431</v>
      </c>
    </row>
    <row r="32" spans="1:16" outlineLevel="2" x14ac:dyDescent="0.2">
      <c r="A32" s="5">
        <v>46244</v>
      </c>
      <c r="B32" s="2">
        <v>161326</v>
      </c>
      <c r="C32" s="2">
        <v>2</v>
      </c>
      <c r="D32" s="2" t="s">
        <v>97</v>
      </c>
      <c r="E32" s="2" t="s">
        <v>98</v>
      </c>
      <c r="F32" s="2" t="s">
        <v>99</v>
      </c>
      <c r="G32" s="2" t="s">
        <v>22</v>
      </c>
      <c r="H32" s="2" t="s">
        <v>23</v>
      </c>
      <c r="I32" s="2" t="s">
        <v>23</v>
      </c>
      <c r="J32" s="2">
        <v>1</v>
      </c>
      <c r="K32" s="2" t="s">
        <v>24</v>
      </c>
      <c r="L32" s="2">
        <v>25205</v>
      </c>
      <c r="M32" s="2" t="s">
        <v>100</v>
      </c>
      <c r="N32" s="2">
        <v>46</v>
      </c>
      <c r="O32" s="6">
        <v>2986122.94</v>
      </c>
      <c r="P32" s="6">
        <v>64915.72</v>
      </c>
    </row>
    <row r="33" spans="1:16" outlineLevel="2" x14ac:dyDescent="0.2">
      <c r="A33" s="5">
        <v>46244</v>
      </c>
      <c r="B33" s="2">
        <v>161441</v>
      </c>
      <c r="C33" s="2">
        <v>1</v>
      </c>
      <c r="D33" s="2" t="s">
        <v>97</v>
      </c>
      <c r="E33" s="2" t="s">
        <v>98</v>
      </c>
      <c r="F33" s="2" t="s">
        <v>116</v>
      </c>
      <c r="G33" s="2" t="s">
        <v>22</v>
      </c>
      <c r="H33" s="2" t="s">
        <v>23</v>
      </c>
      <c r="I33" s="2" t="s">
        <v>23</v>
      </c>
      <c r="J33" s="2">
        <v>39</v>
      </c>
      <c r="K33" s="2" t="s">
        <v>117</v>
      </c>
      <c r="L33" s="2">
        <v>1</v>
      </c>
      <c r="M33" s="2" t="s">
        <v>118</v>
      </c>
      <c r="N33" s="2">
        <v>51</v>
      </c>
      <c r="O33" s="6">
        <v>161209.25</v>
      </c>
      <c r="P33" s="6">
        <v>3160.97</v>
      </c>
    </row>
    <row r="34" spans="1:16" outlineLevel="2" x14ac:dyDescent="0.2">
      <c r="A34" s="5">
        <v>46240</v>
      </c>
      <c r="B34" s="2">
        <v>161455</v>
      </c>
      <c r="C34" s="2">
        <v>1</v>
      </c>
      <c r="D34" s="2" t="s">
        <v>97</v>
      </c>
      <c r="E34" s="2" t="s">
        <v>98</v>
      </c>
      <c r="F34" s="2" t="s">
        <v>119</v>
      </c>
      <c r="G34" s="2" t="s">
        <v>22</v>
      </c>
      <c r="H34" s="2" t="s">
        <v>23</v>
      </c>
      <c r="I34" s="2" t="s">
        <v>23</v>
      </c>
      <c r="J34" s="2">
        <v>1</v>
      </c>
      <c r="K34" s="2" t="s">
        <v>24</v>
      </c>
      <c r="L34" s="2">
        <v>1829</v>
      </c>
      <c r="M34" s="2" t="s">
        <v>120</v>
      </c>
      <c r="N34" s="2">
        <v>30</v>
      </c>
      <c r="O34" s="6">
        <v>1463036.2</v>
      </c>
      <c r="P34" s="6">
        <v>48767.87</v>
      </c>
    </row>
    <row r="35" spans="1:16" outlineLevel="2" x14ac:dyDescent="0.2">
      <c r="A35" s="5">
        <v>46244</v>
      </c>
      <c r="B35" s="2">
        <v>161539</v>
      </c>
      <c r="C35" s="2">
        <v>1</v>
      </c>
      <c r="D35" s="2" t="s">
        <v>97</v>
      </c>
      <c r="E35" s="2" t="s">
        <v>98</v>
      </c>
      <c r="F35" s="2" t="s">
        <v>116</v>
      </c>
      <c r="G35" s="2" t="s">
        <v>22</v>
      </c>
      <c r="H35" s="2" t="s">
        <v>23</v>
      </c>
      <c r="I35" s="2" t="s">
        <v>23</v>
      </c>
      <c r="J35" s="2">
        <v>39</v>
      </c>
      <c r="K35" s="2" t="s">
        <v>117</v>
      </c>
      <c r="L35" s="2">
        <v>1</v>
      </c>
      <c r="M35" s="2" t="s">
        <v>118</v>
      </c>
      <c r="N35" s="2">
        <v>17</v>
      </c>
      <c r="O35" s="6">
        <v>58203.75</v>
      </c>
      <c r="P35" s="6">
        <v>3423.75</v>
      </c>
    </row>
    <row r="36" spans="1:16" outlineLevel="2" x14ac:dyDescent="0.2">
      <c r="A36" s="5">
        <v>46246</v>
      </c>
      <c r="B36" s="2">
        <v>161563</v>
      </c>
      <c r="C36" s="2">
        <v>1</v>
      </c>
      <c r="D36" s="2" t="s">
        <v>97</v>
      </c>
      <c r="E36" s="2" t="s">
        <v>98</v>
      </c>
      <c r="F36" s="2" t="s">
        <v>99</v>
      </c>
      <c r="G36" s="2" t="s">
        <v>22</v>
      </c>
      <c r="H36" s="2" t="s">
        <v>23</v>
      </c>
      <c r="I36" s="2" t="s">
        <v>23</v>
      </c>
      <c r="J36" s="2">
        <v>1</v>
      </c>
      <c r="K36" s="2" t="s">
        <v>24</v>
      </c>
      <c r="L36" s="2">
        <v>25205</v>
      </c>
      <c r="M36" s="2" t="s">
        <v>100</v>
      </c>
      <c r="N36" s="2">
        <v>5</v>
      </c>
      <c r="O36" s="6">
        <v>323596.77</v>
      </c>
      <c r="P36" s="6">
        <v>64719.35</v>
      </c>
    </row>
    <row r="37" spans="1:16" outlineLevel="2" x14ac:dyDescent="0.2">
      <c r="A37" s="5">
        <v>46246</v>
      </c>
      <c r="B37" s="2">
        <v>161605</v>
      </c>
      <c r="C37" s="2">
        <v>1</v>
      </c>
      <c r="D37" s="2" t="s">
        <v>97</v>
      </c>
      <c r="E37" s="2" t="s">
        <v>98</v>
      </c>
      <c r="F37" s="2" t="s">
        <v>116</v>
      </c>
      <c r="G37" s="2" t="s">
        <v>22</v>
      </c>
      <c r="H37" s="2" t="s">
        <v>23</v>
      </c>
      <c r="I37" s="2" t="s">
        <v>23</v>
      </c>
      <c r="J37" s="2">
        <v>39</v>
      </c>
      <c r="K37" s="2" t="s">
        <v>117</v>
      </c>
      <c r="L37" s="2">
        <v>1</v>
      </c>
      <c r="M37" s="2" t="s">
        <v>118</v>
      </c>
      <c r="N37" s="2">
        <v>221</v>
      </c>
      <c r="O37" s="6">
        <v>802687.43</v>
      </c>
      <c r="P37" s="6">
        <v>3632.07</v>
      </c>
    </row>
    <row r="38" spans="1:16" outlineLevel="1" x14ac:dyDescent="0.2">
      <c r="A38" s="5"/>
      <c r="D38" s="4" t="s">
        <v>173</v>
      </c>
      <c r="E38" s="4"/>
      <c r="F38" s="4"/>
      <c r="G38" s="4"/>
      <c r="H38" s="4"/>
      <c r="I38" s="4"/>
      <c r="J38" s="4"/>
      <c r="K38" s="4"/>
      <c r="L38" s="4"/>
      <c r="M38" s="4"/>
      <c r="N38" s="4">
        <f>SUBTOTAL(9,N32:N37)</f>
        <v>370</v>
      </c>
      <c r="O38" s="7">
        <f>SUBTOTAL(9,O32:O37)</f>
        <v>5794856.3399999999</v>
      </c>
      <c r="P38" s="7">
        <f>+O38/N38</f>
        <v>15661.773891891891</v>
      </c>
    </row>
    <row r="39" spans="1:16" outlineLevel="2" x14ac:dyDescent="0.2">
      <c r="A39" s="5">
        <v>46237</v>
      </c>
      <c r="B39" s="2">
        <v>161007</v>
      </c>
      <c r="C39" s="2">
        <v>1</v>
      </c>
      <c r="D39" s="2" t="s">
        <v>67</v>
      </c>
      <c r="E39" s="2" t="s">
        <v>23</v>
      </c>
      <c r="F39" s="2" t="s">
        <v>28</v>
      </c>
      <c r="G39" s="2" t="s">
        <v>22</v>
      </c>
      <c r="H39" s="2" t="s">
        <v>23</v>
      </c>
      <c r="I39" s="2" t="s">
        <v>23</v>
      </c>
      <c r="J39" s="2">
        <v>1</v>
      </c>
      <c r="K39" s="2" t="s">
        <v>24</v>
      </c>
      <c r="L39" s="2">
        <v>2521</v>
      </c>
      <c r="M39" s="2" t="s">
        <v>68</v>
      </c>
      <c r="N39" s="2">
        <v>14</v>
      </c>
      <c r="O39" s="6">
        <v>453045.04</v>
      </c>
      <c r="P39" s="6">
        <v>32360.36</v>
      </c>
    </row>
    <row r="40" spans="1:16" outlineLevel="1" x14ac:dyDescent="0.2">
      <c r="A40" s="5"/>
      <c r="D40" s="4" t="s">
        <v>174</v>
      </c>
      <c r="E40" s="4"/>
      <c r="F40" s="4"/>
      <c r="G40" s="4"/>
      <c r="H40" s="4"/>
      <c r="I40" s="4"/>
      <c r="J40" s="4"/>
      <c r="K40" s="4"/>
      <c r="L40" s="4"/>
      <c r="M40" s="4"/>
      <c r="N40" s="4">
        <f>SUBTOTAL(9,N39:N39)</f>
        <v>14</v>
      </c>
      <c r="O40" s="7">
        <f>SUBTOTAL(9,O39:O39)</f>
        <v>453045.04</v>
      </c>
      <c r="P40" s="7">
        <f>+O40/N40</f>
        <v>32360.359999999997</v>
      </c>
    </row>
    <row r="41" spans="1:16" outlineLevel="2" x14ac:dyDescent="0.2">
      <c r="A41" s="5">
        <v>46227</v>
      </c>
      <c r="B41" s="2">
        <v>160626</v>
      </c>
      <c r="C41" s="2">
        <v>3</v>
      </c>
      <c r="D41" s="2" t="s">
        <v>40</v>
      </c>
      <c r="E41" s="2" t="s">
        <v>41</v>
      </c>
      <c r="F41" s="2" t="s">
        <v>42</v>
      </c>
      <c r="G41" s="2" t="s">
        <v>22</v>
      </c>
      <c r="H41" s="2" t="s">
        <v>23</v>
      </c>
      <c r="I41" s="2" t="s">
        <v>43</v>
      </c>
      <c r="J41" s="2">
        <v>1</v>
      </c>
      <c r="K41" s="2" t="s">
        <v>24</v>
      </c>
      <c r="L41" s="2">
        <v>2535</v>
      </c>
      <c r="M41" s="2" t="s">
        <v>44</v>
      </c>
      <c r="N41" s="2">
        <v>3</v>
      </c>
      <c r="O41" s="6">
        <v>137218.95000000001</v>
      </c>
      <c r="P41" s="6">
        <v>45739.65</v>
      </c>
    </row>
    <row r="42" spans="1:16" outlineLevel="2" x14ac:dyDescent="0.2">
      <c r="A42" s="5">
        <v>46238</v>
      </c>
      <c r="B42" s="2">
        <v>160719</v>
      </c>
      <c r="C42" s="2">
        <v>2</v>
      </c>
      <c r="D42" s="2" t="s">
        <v>40</v>
      </c>
      <c r="E42" s="2" t="s">
        <v>49</v>
      </c>
      <c r="F42" s="2" t="s">
        <v>50</v>
      </c>
      <c r="G42" s="2" t="s">
        <v>51</v>
      </c>
      <c r="H42" s="2" t="s">
        <v>23</v>
      </c>
      <c r="I42" s="2" t="s">
        <v>52</v>
      </c>
      <c r="J42" s="2">
        <v>1</v>
      </c>
      <c r="K42" s="2" t="s">
        <v>24</v>
      </c>
      <c r="L42" s="2">
        <v>1779</v>
      </c>
      <c r="M42" s="2" t="s">
        <v>53</v>
      </c>
      <c r="N42" s="2">
        <v>43</v>
      </c>
      <c r="O42" s="6">
        <v>2114270.06</v>
      </c>
      <c r="P42" s="6">
        <v>49169.07</v>
      </c>
    </row>
    <row r="43" spans="1:16" outlineLevel="2" x14ac:dyDescent="0.2">
      <c r="A43" s="5">
        <v>46230</v>
      </c>
      <c r="B43" s="2">
        <v>161125</v>
      </c>
      <c r="C43" s="2">
        <v>1</v>
      </c>
      <c r="D43" s="2" t="s">
        <v>40</v>
      </c>
      <c r="E43" s="2" t="s">
        <v>79</v>
      </c>
      <c r="F43" s="2" t="s">
        <v>42</v>
      </c>
      <c r="G43" s="2" t="s">
        <v>22</v>
      </c>
      <c r="H43" s="2" t="s">
        <v>23</v>
      </c>
      <c r="I43" s="2" t="s">
        <v>80</v>
      </c>
      <c r="J43" s="2">
        <v>1</v>
      </c>
      <c r="K43" s="2" t="s">
        <v>24</v>
      </c>
      <c r="L43" s="2">
        <v>2535</v>
      </c>
      <c r="M43" s="2" t="s">
        <v>44</v>
      </c>
      <c r="N43" s="2">
        <v>176</v>
      </c>
      <c r="O43" s="6">
        <v>8612096.0899999999</v>
      </c>
      <c r="P43" s="6">
        <v>48932.36</v>
      </c>
    </row>
    <row r="44" spans="1:16" outlineLevel="2" x14ac:dyDescent="0.2">
      <c r="A44" s="5">
        <v>46246</v>
      </c>
      <c r="B44" s="2">
        <v>161125</v>
      </c>
      <c r="C44" s="2">
        <v>4</v>
      </c>
      <c r="D44" s="2" t="s">
        <v>40</v>
      </c>
      <c r="E44" s="2" t="s">
        <v>79</v>
      </c>
      <c r="F44" s="2" t="s">
        <v>42</v>
      </c>
      <c r="G44" s="2" t="s">
        <v>22</v>
      </c>
      <c r="H44" s="2" t="s">
        <v>23</v>
      </c>
      <c r="I44" s="2" t="s">
        <v>81</v>
      </c>
      <c r="J44" s="2">
        <v>1</v>
      </c>
      <c r="K44" s="2" t="s">
        <v>24</v>
      </c>
      <c r="L44" s="2">
        <v>2535</v>
      </c>
      <c r="M44" s="2" t="s">
        <v>44</v>
      </c>
      <c r="N44" s="2">
        <v>8</v>
      </c>
      <c r="O44" s="6">
        <v>347559.57</v>
      </c>
      <c r="P44" s="6">
        <v>43444.95</v>
      </c>
    </row>
    <row r="45" spans="1:16" outlineLevel="1" x14ac:dyDescent="0.2">
      <c r="A45" s="5"/>
      <c r="D45" s="4" t="s">
        <v>175</v>
      </c>
      <c r="E45" s="4"/>
      <c r="F45" s="4"/>
      <c r="G45" s="4"/>
      <c r="H45" s="4"/>
      <c r="I45" s="4"/>
      <c r="J45" s="4"/>
      <c r="K45" s="4"/>
      <c r="L45" s="4"/>
      <c r="M45" s="4"/>
      <c r="N45" s="4">
        <f>SUBTOTAL(9,N41:N44)</f>
        <v>230</v>
      </c>
      <c r="O45" s="7">
        <f>SUBTOTAL(9,O41:O44)</f>
        <v>11211144.67</v>
      </c>
      <c r="P45" s="7">
        <f>+O45/N45</f>
        <v>48744.107260869561</v>
      </c>
    </row>
    <row r="46" spans="1:16" outlineLevel="2" x14ac:dyDescent="0.2">
      <c r="A46" s="5">
        <v>46232</v>
      </c>
      <c r="B46" s="2">
        <v>161008</v>
      </c>
      <c r="C46" s="2">
        <v>1</v>
      </c>
      <c r="D46" s="2" t="s">
        <v>69</v>
      </c>
      <c r="E46" s="2" t="s">
        <v>70</v>
      </c>
      <c r="F46" s="2" t="s">
        <v>28</v>
      </c>
      <c r="G46" s="2" t="s">
        <v>22</v>
      </c>
      <c r="H46" s="2" t="s">
        <v>23</v>
      </c>
      <c r="I46" s="2" t="s">
        <v>23</v>
      </c>
      <c r="J46" s="2">
        <v>1</v>
      </c>
      <c r="K46" s="2" t="s">
        <v>24</v>
      </c>
      <c r="L46" s="2">
        <v>2521</v>
      </c>
      <c r="M46" s="2" t="s">
        <v>68</v>
      </c>
      <c r="N46" s="2">
        <v>18</v>
      </c>
      <c r="O46" s="6">
        <v>357214.29</v>
      </c>
      <c r="P46" s="6">
        <v>19845.240000000002</v>
      </c>
    </row>
    <row r="47" spans="1:16" outlineLevel="2" x14ac:dyDescent="0.2">
      <c r="A47" s="5">
        <v>46246</v>
      </c>
      <c r="B47" s="2">
        <v>161138</v>
      </c>
      <c r="C47" s="2">
        <v>1</v>
      </c>
      <c r="D47" s="2" t="s">
        <v>69</v>
      </c>
      <c r="E47" s="2" t="s">
        <v>70</v>
      </c>
      <c r="F47" s="2" t="s">
        <v>28</v>
      </c>
      <c r="G47" s="2" t="s">
        <v>22</v>
      </c>
      <c r="H47" s="2" t="s">
        <v>23</v>
      </c>
      <c r="I47" s="2" t="s">
        <v>23</v>
      </c>
      <c r="J47" s="2">
        <v>1</v>
      </c>
      <c r="K47" s="2" t="s">
        <v>24</v>
      </c>
      <c r="L47" s="2">
        <v>2521</v>
      </c>
      <c r="M47" s="2" t="s">
        <v>68</v>
      </c>
      <c r="N47" s="2">
        <v>35</v>
      </c>
      <c r="O47" s="6">
        <v>628865.66</v>
      </c>
      <c r="P47" s="6">
        <v>17967.59</v>
      </c>
    </row>
    <row r="48" spans="1:16" outlineLevel="1" x14ac:dyDescent="0.2">
      <c r="A48" s="5"/>
      <c r="D48" s="4" t="s">
        <v>176</v>
      </c>
      <c r="E48" s="4"/>
      <c r="F48" s="4"/>
      <c r="G48" s="4"/>
      <c r="H48" s="4"/>
      <c r="I48" s="4"/>
      <c r="J48" s="4"/>
      <c r="K48" s="4"/>
      <c r="L48" s="4"/>
      <c r="M48" s="4"/>
      <c r="N48" s="4">
        <f>SUBTOTAL(9,N46:N47)</f>
        <v>53</v>
      </c>
      <c r="O48" s="7">
        <f>SUBTOTAL(9,O46:O47)</f>
        <v>986079.95</v>
      </c>
      <c r="P48" s="7">
        <f>+O48/N48</f>
        <v>18605.282075471696</v>
      </c>
    </row>
    <row r="49" spans="1:16" outlineLevel="2" x14ac:dyDescent="0.2">
      <c r="A49" s="5">
        <v>46246</v>
      </c>
      <c r="B49" s="2">
        <v>161522</v>
      </c>
      <c r="C49" s="2">
        <v>1</v>
      </c>
      <c r="D49" s="2" t="s">
        <v>130</v>
      </c>
      <c r="E49" s="2" t="s">
        <v>131</v>
      </c>
      <c r="F49" s="2" t="s">
        <v>127</v>
      </c>
      <c r="G49" s="2" t="s">
        <v>22</v>
      </c>
      <c r="H49" s="2" t="s">
        <v>23</v>
      </c>
      <c r="I49" s="2" t="s">
        <v>23</v>
      </c>
      <c r="J49" s="2">
        <v>1</v>
      </c>
      <c r="K49" s="2" t="s">
        <v>24</v>
      </c>
      <c r="L49" s="2">
        <v>2602</v>
      </c>
      <c r="M49" s="2" t="s">
        <v>132</v>
      </c>
      <c r="N49" s="2">
        <v>23</v>
      </c>
      <c r="O49" s="6">
        <v>155288.32999999999</v>
      </c>
      <c r="P49" s="6">
        <v>6751.67</v>
      </c>
    </row>
    <row r="50" spans="1:16" outlineLevel="1" x14ac:dyDescent="0.2">
      <c r="A50" s="5"/>
      <c r="D50" s="4" t="s">
        <v>177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SUBTOTAL(9,N49:N49)</f>
        <v>23</v>
      </c>
      <c r="O50" s="7">
        <f>SUBTOTAL(9,O49:O49)</f>
        <v>155288.32999999999</v>
      </c>
      <c r="P50" s="7">
        <f>+O50/N50</f>
        <v>6751.6665217391301</v>
      </c>
    </row>
    <row r="51" spans="1:16" outlineLevel="2" x14ac:dyDescent="0.2">
      <c r="A51" s="5">
        <v>46244</v>
      </c>
      <c r="B51" s="2">
        <v>161570</v>
      </c>
      <c r="C51" s="2">
        <v>1</v>
      </c>
      <c r="D51" s="2" t="s">
        <v>141</v>
      </c>
      <c r="E51" s="2" t="s">
        <v>142</v>
      </c>
      <c r="F51" s="2" t="s">
        <v>28</v>
      </c>
      <c r="G51" s="2" t="s">
        <v>22</v>
      </c>
      <c r="H51" s="2" t="s">
        <v>23</v>
      </c>
      <c r="I51" s="2" t="s">
        <v>143</v>
      </c>
      <c r="J51" s="2">
        <v>1</v>
      </c>
      <c r="K51" s="2" t="s">
        <v>24</v>
      </c>
      <c r="L51" s="2">
        <v>331</v>
      </c>
      <c r="M51" s="2" t="s">
        <v>144</v>
      </c>
      <c r="N51" s="2">
        <v>38</v>
      </c>
      <c r="O51" s="6">
        <v>527423.81000000006</v>
      </c>
      <c r="P51" s="6">
        <v>13879.57</v>
      </c>
    </row>
    <row r="52" spans="1:16" outlineLevel="2" x14ac:dyDescent="0.2">
      <c r="A52" s="5">
        <v>46244</v>
      </c>
      <c r="B52" s="2">
        <v>161570</v>
      </c>
      <c r="C52" s="2">
        <v>3</v>
      </c>
      <c r="D52" s="2" t="s">
        <v>141</v>
      </c>
      <c r="E52" s="2" t="s">
        <v>142</v>
      </c>
      <c r="F52" s="2" t="s">
        <v>28</v>
      </c>
      <c r="G52" s="2" t="s">
        <v>22</v>
      </c>
      <c r="H52" s="2" t="s">
        <v>23</v>
      </c>
      <c r="I52" s="2" t="s">
        <v>145</v>
      </c>
      <c r="J52" s="2">
        <v>1</v>
      </c>
      <c r="K52" s="2" t="s">
        <v>24</v>
      </c>
      <c r="L52" s="2">
        <v>331</v>
      </c>
      <c r="M52" s="2" t="s">
        <v>144</v>
      </c>
      <c r="N52" s="2">
        <v>212</v>
      </c>
      <c r="O52" s="6">
        <v>2704725.68</v>
      </c>
      <c r="P52" s="6">
        <v>12758.14</v>
      </c>
    </row>
    <row r="53" spans="1:16" outlineLevel="1" x14ac:dyDescent="0.2">
      <c r="A53" s="5"/>
      <c r="D53" s="4" t="s">
        <v>178</v>
      </c>
      <c r="E53" s="4"/>
      <c r="F53" s="4"/>
      <c r="G53" s="4"/>
      <c r="H53" s="4"/>
      <c r="I53" s="4"/>
      <c r="J53" s="4"/>
      <c r="K53" s="4"/>
      <c r="L53" s="4"/>
      <c r="M53" s="4"/>
      <c r="N53" s="4">
        <f>SUBTOTAL(9,N51:N52)</f>
        <v>250</v>
      </c>
      <c r="O53" s="7">
        <f>SUBTOTAL(9,O51:O52)</f>
        <v>3232149.49</v>
      </c>
      <c r="P53" s="7">
        <f>+O53/N53</f>
        <v>12928.597960000001</v>
      </c>
    </row>
    <row r="54" spans="1:16" outlineLevel="2" x14ac:dyDescent="0.2">
      <c r="A54" s="5">
        <v>46176</v>
      </c>
      <c r="B54" s="2">
        <v>159508</v>
      </c>
      <c r="C54" s="2">
        <v>4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23</v>
      </c>
      <c r="J54" s="2">
        <v>1</v>
      </c>
      <c r="K54" s="2" t="s">
        <v>24</v>
      </c>
      <c r="L54" s="2">
        <v>226</v>
      </c>
      <c r="M54" s="2" t="s">
        <v>25</v>
      </c>
      <c r="N54" s="2">
        <v>4</v>
      </c>
      <c r="O54" s="6">
        <v>82769.5</v>
      </c>
      <c r="P54" s="6">
        <v>20692.38</v>
      </c>
    </row>
    <row r="55" spans="1:16" outlineLevel="2" x14ac:dyDescent="0.2">
      <c r="A55" s="5">
        <v>46246</v>
      </c>
      <c r="B55" s="2">
        <v>160912</v>
      </c>
      <c r="C55" s="2">
        <v>2</v>
      </c>
      <c r="D55" s="2" t="s">
        <v>19</v>
      </c>
      <c r="E55" s="2" t="s">
        <v>58</v>
      </c>
      <c r="F55" s="2" t="s">
        <v>21</v>
      </c>
      <c r="G55" s="2" t="s">
        <v>22</v>
      </c>
      <c r="H55" s="2" t="s">
        <v>23</v>
      </c>
      <c r="I55" s="2" t="s">
        <v>23</v>
      </c>
      <c r="J55" s="2">
        <v>1</v>
      </c>
      <c r="K55" s="2" t="s">
        <v>24</v>
      </c>
      <c r="L55" s="2">
        <v>1857</v>
      </c>
      <c r="M55" s="2" t="s">
        <v>59</v>
      </c>
      <c r="N55" s="2">
        <v>1</v>
      </c>
      <c r="O55" s="6">
        <v>27693.17</v>
      </c>
      <c r="P55" s="6">
        <v>27693.17</v>
      </c>
    </row>
    <row r="56" spans="1:16" outlineLevel="2" x14ac:dyDescent="0.2">
      <c r="A56" s="5">
        <v>46204</v>
      </c>
      <c r="B56" s="2">
        <v>160576</v>
      </c>
      <c r="C56" s="2">
        <v>1</v>
      </c>
      <c r="D56" s="2" t="s">
        <v>19</v>
      </c>
      <c r="E56" s="2" t="s">
        <v>38</v>
      </c>
      <c r="F56" s="2" t="s">
        <v>23</v>
      </c>
      <c r="G56" s="2" t="s">
        <v>22</v>
      </c>
      <c r="H56" s="2" t="s">
        <v>23</v>
      </c>
      <c r="I56" s="2" t="s">
        <v>39</v>
      </c>
      <c r="J56" s="2">
        <v>1</v>
      </c>
      <c r="K56" s="2" t="s">
        <v>24</v>
      </c>
      <c r="L56" s="2">
        <v>226</v>
      </c>
      <c r="M56" s="2" t="s">
        <v>25</v>
      </c>
      <c r="N56" s="2">
        <v>2</v>
      </c>
      <c r="O56" s="6">
        <v>79655.740000000005</v>
      </c>
      <c r="P56" s="6">
        <v>39827.870000000003</v>
      </c>
    </row>
    <row r="57" spans="1:16" outlineLevel="2" x14ac:dyDescent="0.2">
      <c r="A57" s="5">
        <v>46241</v>
      </c>
      <c r="B57" s="2">
        <v>161462</v>
      </c>
      <c r="C57" s="2">
        <v>1</v>
      </c>
      <c r="D57" s="2" t="s">
        <v>19</v>
      </c>
      <c r="E57" s="2" t="s">
        <v>122</v>
      </c>
      <c r="F57" s="2" t="s">
        <v>21</v>
      </c>
      <c r="G57" s="2" t="s">
        <v>22</v>
      </c>
      <c r="H57" s="2" t="s">
        <v>123</v>
      </c>
      <c r="I57" s="2" t="s">
        <v>23</v>
      </c>
      <c r="J57" s="2">
        <v>1</v>
      </c>
      <c r="K57" s="2" t="s">
        <v>24</v>
      </c>
      <c r="L57" s="2">
        <v>226</v>
      </c>
      <c r="M57" s="2" t="s">
        <v>25</v>
      </c>
      <c r="N57" s="2">
        <v>1</v>
      </c>
      <c r="O57" s="6">
        <v>44495.07</v>
      </c>
      <c r="P57" s="6">
        <v>44495.07</v>
      </c>
    </row>
    <row r="58" spans="1:16" outlineLevel="1" x14ac:dyDescent="0.2">
      <c r="A58" s="5"/>
      <c r="D58" s="4" t="s">
        <v>179</v>
      </c>
      <c r="E58" s="4"/>
      <c r="F58" s="4"/>
      <c r="G58" s="4"/>
      <c r="H58" s="4"/>
      <c r="I58" s="4"/>
      <c r="J58" s="4"/>
      <c r="K58" s="4"/>
      <c r="L58" s="4"/>
      <c r="M58" s="4"/>
      <c r="N58" s="4">
        <f>SUBTOTAL(9,N54:N57)</f>
        <v>8</v>
      </c>
      <c r="O58" s="7">
        <f>SUBTOTAL(9,O54:O57)</f>
        <v>234613.48</v>
      </c>
      <c r="P58" s="7">
        <f>+O58/N58</f>
        <v>29326.685000000001</v>
      </c>
    </row>
    <row r="59" spans="1:16" outlineLevel="2" x14ac:dyDescent="0.2">
      <c r="A59" s="5">
        <v>46239</v>
      </c>
      <c r="B59" s="2">
        <v>160834</v>
      </c>
      <c r="C59" s="2">
        <v>2</v>
      </c>
      <c r="D59" s="2" t="s">
        <v>45</v>
      </c>
      <c r="E59" s="2" t="s">
        <v>41</v>
      </c>
      <c r="F59" s="2" t="s">
        <v>28</v>
      </c>
      <c r="G59" s="2" t="s">
        <v>22</v>
      </c>
      <c r="H59" s="2" t="s">
        <v>23</v>
      </c>
      <c r="I59" s="2" t="s">
        <v>54</v>
      </c>
      <c r="J59" s="2">
        <v>1</v>
      </c>
      <c r="K59" s="2" t="s">
        <v>24</v>
      </c>
      <c r="L59" s="2">
        <v>634</v>
      </c>
      <c r="M59" s="2" t="s">
        <v>55</v>
      </c>
      <c r="N59" s="2">
        <v>39</v>
      </c>
      <c r="O59" s="6">
        <v>888675.28</v>
      </c>
      <c r="P59" s="6">
        <v>22786.55</v>
      </c>
    </row>
    <row r="60" spans="1:16" outlineLevel="2" x14ac:dyDescent="0.2">
      <c r="A60" s="5">
        <v>46231</v>
      </c>
      <c r="B60" s="2">
        <v>160834</v>
      </c>
      <c r="C60" s="2">
        <v>5</v>
      </c>
      <c r="D60" s="2" t="s">
        <v>45</v>
      </c>
      <c r="E60" s="2" t="s">
        <v>41</v>
      </c>
      <c r="F60" s="2" t="s">
        <v>28</v>
      </c>
      <c r="G60" s="2" t="s">
        <v>22</v>
      </c>
      <c r="H60" s="2" t="s">
        <v>23</v>
      </c>
      <c r="I60" s="2" t="s">
        <v>56</v>
      </c>
      <c r="J60" s="2">
        <v>1</v>
      </c>
      <c r="K60" s="2" t="s">
        <v>24</v>
      </c>
      <c r="L60" s="2">
        <v>2120</v>
      </c>
      <c r="M60" s="2" t="s">
        <v>57</v>
      </c>
      <c r="N60" s="2">
        <v>2</v>
      </c>
      <c r="O60" s="6">
        <v>46051.94</v>
      </c>
      <c r="P60" s="6">
        <v>23025.97</v>
      </c>
    </row>
    <row r="61" spans="1:16" outlineLevel="2" x14ac:dyDescent="0.2">
      <c r="A61" s="5">
        <v>46238</v>
      </c>
      <c r="B61" s="2">
        <v>161094</v>
      </c>
      <c r="C61" s="2">
        <v>2</v>
      </c>
      <c r="D61" s="2" t="s">
        <v>45</v>
      </c>
      <c r="E61" s="2" t="s">
        <v>41</v>
      </c>
      <c r="F61" s="2" t="s">
        <v>28</v>
      </c>
      <c r="G61" s="2" t="s">
        <v>22</v>
      </c>
      <c r="H61" s="2" t="s">
        <v>23</v>
      </c>
      <c r="I61" s="2" t="s">
        <v>77</v>
      </c>
      <c r="J61" s="2">
        <v>1</v>
      </c>
      <c r="K61" s="2" t="s">
        <v>24</v>
      </c>
      <c r="L61" s="2">
        <v>634</v>
      </c>
      <c r="M61" s="2" t="s">
        <v>55</v>
      </c>
      <c r="N61" s="2">
        <v>13</v>
      </c>
      <c r="O61" s="6">
        <v>252665.64</v>
      </c>
      <c r="P61" s="6">
        <v>19435.82</v>
      </c>
    </row>
    <row r="62" spans="1:16" outlineLevel="2" x14ac:dyDescent="0.2">
      <c r="A62" s="5">
        <v>46208</v>
      </c>
      <c r="B62" s="2">
        <v>160714</v>
      </c>
      <c r="C62" s="2">
        <v>1</v>
      </c>
      <c r="D62" s="2" t="s">
        <v>45</v>
      </c>
      <c r="E62" s="2" t="s">
        <v>46</v>
      </c>
      <c r="F62" s="2" t="s">
        <v>28</v>
      </c>
      <c r="G62" s="2" t="s">
        <v>22</v>
      </c>
      <c r="H62" s="2" t="s">
        <v>23</v>
      </c>
      <c r="I62" s="2" t="s">
        <v>47</v>
      </c>
      <c r="J62" s="2">
        <v>1</v>
      </c>
      <c r="K62" s="2" t="s">
        <v>24</v>
      </c>
      <c r="L62" s="2">
        <v>25077</v>
      </c>
      <c r="M62" s="2" t="s">
        <v>48</v>
      </c>
      <c r="N62" s="2">
        <v>1</v>
      </c>
      <c r="O62" s="6">
        <v>23025.98</v>
      </c>
      <c r="P62" s="6">
        <v>23025.98</v>
      </c>
    </row>
    <row r="63" spans="1:16" outlineLevel="1" x14ac:dyDescent="0.2">
      <c r="A63" s="5"/>
      <c r="D63" s="4" t="s">
        <v>180</v>
      </c>
      <c r="E63" s="4"/>
      <c r="F63" s="4"/>
      <c r="G63" s="4"/>
      <c r="H63" s="4"/>
      <c r="I63" s="4"/>
      <c r="J63" s="4"/>
      <c r="K63" s="4"/>
      <c r="L63" s="4"/>
      <c r="M63" s="4"/>
      <c r="N63" s="4">
        <f>SUBTOTAL(9,N59:N62)</f>
        <v>55</v>
      </c>
      <c r="O63" s="7">
        <f>SUBTOTAL(9,O59:O62)</f>
        <v>1210418.8399999999</v>
      </c>
      <c r="P63" s="7">
        <f>+O63/N63</f>
        <v>22007.615272727271</v>
      </c>
    </row>
    <row r="64" spans="1:16" outlineLevel="2" x14ac:dyDescent="0.2">
      <c r="A64" s="5">
        <v>46246</v>
      </c>
      <c r="B64" s="2">
        <v>159984</v>
      </c>
      <c r="C64" s="2">
        <v>2</v>
      </c>
      <c r="D64" s="2" t="s">
        <v>31</v>
      </c>
      <c r="E64" s="2" t="s">
        <v>32</v>
      </c>
      <c r="F64" s="2" t="s">
        <v>33</v>
      </c>
      <c r="G64" s="2" t="s">
        <v>23</v>
      </c>
      <c r="H64" s="2" t="s">
        <v>23</v>
      </c>
      <c r="I64" s="2" t="s">
        <v>23</v>
      </c>
      <c r="J64" s="2">
        <v>1</v>
      </c>
      <c r="K64" s="2" t="s">
        <v>24</v>
      </c>
      <c r="L64" s="2">
        <v>600</v>
      </c>
      <c r="M64" s="2" t="s">
        <v>34</v>
      </c>
      <c r="N64" s="2">
        <v>2</v>
      </c>
      <c r="O64" s="6">
        <v>10581.26</v>
      </c>
      <c r="P64" s="6">
        <v>5290.63</v>
      </c>
    </row>
    <row r="65" spans="1:16" outlineLevel="1" x14ac:dyDescent="0.2">
      <c r="A65" s="5"/>
      <c r="D65" s="4" t="s">
        <v>181</v>
      </c>
      <c r="E65" s="4"/>
      <c r="F65" s="4"/>
      <c r="G65" s="4"/>
      <c r="H65" s="4"/>
      <c r="I65" s="4"/>
      <c r="J65" s="4"/>
      <c r="K65" s="4"/>
      <c r="L65" s="4"/>
      <c r="M65" s="4"/>
      <c r="N65" s="4">
        <f>SUBTOTAL(9,N64:N64)</f>
        <v>2</v>
      </c>
      <c r="O65" s="7">
        <f>SUBTOTAL(9,O64:O64)</f>
        <v>10581.26</v>
      </c>
      <c r="P65" s="7">
        <f>+O65/N65</f>
        <v>5290.63</v>
      </c>
    </row>
    <row r="66" spans="1:16" outlineLevel="2" x14ac:dyDescent="0.2">
      <c r="A66" s="5">
        <v>46223</v>
      </c>
      <c r="B66" s="2">
        <v>161009</v>
      </c>
      <c r="C66" s="2">
        <v>3</v>
      </c>
      <c r="D66" s="2" t="s">
        <v>71</v>
      </c>
      <c r="E66" s="2" t="s">
        <v>27</v>
      </c>
      <c r="F66" s="2" t="s">
        <v>50</v>
      </c>
      <c r="G66" s="2" t="s">
        <v>22</v>
      </c>
      <c r="H66" s="2" t="s">
        <v>23</v>
      </c>
      <c r="I66" s="2" t="s">
        <v>72</v>
      </c>
      <c r="J66" s="2">
        <v>1</v>
      </c>
      <c r="K66" s="2" t="s">
        <v>24</v>
      </c>
      <c r="L66" s="2">
        <v>1846</v>
      </c>
      <c r="M66" s="2" t="s">
        <v>73</v>
      </c>
      <c r="N66" s="2">
        <v>13</v>
      </c>
      <c r="O66" s="6">
        <v>546698.93000000005</v>
      </c>
      <c r="P66" s="6">
        <v>42053.760000000002</v>
      </c>
    </row>
    <row r="67" spans="1:16" outlineLevel="2" x14ac:dyDescent="0.2">
      <c r="A67" s="5">
        <v>46238</v>
      </c>
      <c r="B67" s="2">
        <v>161286</v>
      </c>
      <c r="C67" s="2">
        <v>2</v>
      </c>
      <c r="D67" s="2" t="s">
        <v>71</v>
      </c>
      <c r="E67" s="2" t="s">
        <v>27</v>
      </c>
      <c r="F67" s="2" t="s">
        <v>28</v>
      </c>
      <c r="G67" s="2" t="s">
        <v>93</v>
      </c>
      <c r="H67" s="2" t="s">
        <v>23</v>
      </c>
      <c r="I67" s="2" t="s">
        <v>94</v>
      </c>
      <c r="J67" s="2">
        <v>40</v>
      </c>
      <c r="K67" s="2" t="s">
        <v>62</v>
      </c>
      <c r="L67" s="2">
        <v>2813</v>
      </c>
      <c r="M67" s="2" t="s">
        <v>95</v>
      </c>
      <c r="N67" s="2">
        <v>44</v>
      </c>
      <c r="O67" s="6">
        <v>1734673.72</v>
      </c>
      <c r="P67" s="6">
        <v>39424.400000000001</v>
      </c>
    </row>
    <row r="68" spans="1:16" outlineLevel="2" x14ac:dyDescent="0.2">
      <c r="A68" s="5">
        <v>46244</v>
      </c>
      <c r="B68" s="2">
        <v>161287</v>
      </c>
      <c r="C68" s="2">
        <v>6</v>
      </c>
      <c r="D68" s="2" t="s">
        <v>71</v>
      </c>
      <c r="E68" s="2" t="s">
        <v>27</v>
      </c>
      <c r="F68" s="2" t="s">
        <v>28</v>
      </c>
      <c r="G68" s="2" t="s">
        <v>93</v>
      </c>
      <c r="H68" s="2" t="s">
        <v>23</v>
      </c>
      <c r="I68" s="2" t="s">
        <v>96</v>
      </c>
      <c r="J68" s="2">
        <v>40</v>
      </c>
      <c r="K68" s="2" t="s">
        <v>62</v>
      </c>
      <c r="L68" s="2">
        <v>2813</v>
      </c>
      <c r="M68" s="2" t="s">
        <v>95</v>
      </c>
      <c r="N68" s="2">
        <v>182</v>
      </c>
      <c r="O68" s="6">
        <v>6768162.79</v>
      </c>
      <c r="P68" s="6">
        <v>37187.71</v>
      </c>
    </row>
    <row r="69" spans="1:16" outlineLevel="2" x14ac:dyDescent="0.2">
      <c r="A69" s="5">
        <v>46239</v>
      </c>
      <c r="B69" s="2">
        <v>161331</v>
      </c>
      <c r="C69" s="2">
        <v>1</v>
      </c>
      <c r="D69" s="2" t="s">
        <v>71</v>
      </c>
      <c r="E69" s="2" t="s">
        <v>27</v>
      </c>
      <c r="F69" s="2" t="s">
        <v>28</v>
      </c>
      <c r="G69" s="2" t="s">
        <v>51</v>
      </c>
      <c r="H69" s="2" t="s">
        <v>23</v>
      </c>
      <c r="I69" s="2" t="s">
        <v>101</v>
      </c>
      <c r="J69" s="2">
        <v>40</v>
      </c>
      <c r="K69" s="2" t="s">
        <v>62</v>
      </c>
      <c r="L69" s="2">
        <v>2813</v>
      </c>
      <c r="M69" s="2" t="s">
        <v>95</v>
      </c>
      <c r="N69" s="2">
        <v>407</v>
      </c>
      <c r="O69" s="6">
        <v>13521003.789999999</v>
      </c>
      <c r="P69" s="6">
        <v>33221.14</v>
      </c>
    </row>
    <row r="70" spans="1:16" outlineLevel="2" x14ac:dyDescent="0.2">
      <c r="A70" s="5">
        <v>46244</v>
      </c>
      <c r="B70" s="2">
        <v>161331</v>
      </c>
      <c r="C70" s="2">
        <v>5</v>
      </c>
      <c r="D70" s="2" t="s">
        <v>71</v>
      </c>
      <c r="E70" s="2" t="s">
        <v>27</v>
      </c>
      <c r="F70" s="2" t="s">
        <v>28</v>
      </c>
      <c r="G70" s="2" t="s">
        <v>93</v>
      </c>
      <c r="H70" s="2" t="s">
        <v>23</v>
      </c>
      <c r="I70" s="2" t="s">
        <v>101</v>
      </c>
      <c r="J70" s="2">
        <v>40</v>
      </c>
      <c r="K70" s="2" t="s">
        <v>62</v>
      </c>
      <c r="L70" s="2">
        <v>2813</v>
      </c>
      <c r="M70" s="2" t="s">
        <v>95</v>
      </c>
      <c r="N70" s="2">
        <v>2</v>
      </c>
      <c r="O70" s="6">
        <v>85256.38</v>
      </c>
      <c r="P70" s="6">
        <v>42628.19</v>
      </c>
    </row>
    <row r="71" spans="1:16" outlineLevel="2" x14ac:dyDescent="0.2">
      <c r="A71" s="5">
        <v>46244</v>
      </c>
      <c r="B71" s="2">
        <v>161331</v>
      </c>
      <c r="C71" s="2">
        <v>8</v>
      </c>
      <c r="D71" s="2" t="s">
        <v>71</v>
      </c>
      <c r="E71" s="2" t="s">
        <v>27</v>
      </c>
      <c r="F71" s="2" t="s">
        <v>28</v>
      </c>
      <c r="G71" s="2" t="s">
        <v>93</v>
      </c>
      <c r="H71" s="2" t="s">
        <v>23</v>
      </c>
      <c r="I71" s="2" t="s">
        <v>102</v>
      </c>
      <c r="J71" s="2">
        <v>40</v>
      </c>
      <c r="K71" s="2" t="s">
        <v>62</v>
      </c>
      <c r="L71" s="2">
        <v>2813</v>
      </c>
      <c r="M71" s="2" t="s">
        <v>95</v>
      </c>
      <c r="N71" s="2">
        <v>2</v>
      </c>
      <c r="O71" s="6">
        <v>74055.12</v>
      </c>
      <c r="P71" s="6">
        <v>37027.56</v>
      </c>
    </row>
    <row r="72" spans="1:16" outlineLevel="2" x14ac:dyDescent="0.2">
      <c r="A72" s="5">
        <v>46237</v>
      </c>
      <c r="B72" s="2">
        <v>161332</v>
      </c>
      <c r="C72" s="2">
        <v>2</v>
      </c>
      <c r="D72" s="2" t="s">
        <v>71</v>
      </c>
      <c r="E72" s="2" t="s">
        <v>27</v>
      </c>
      <c r="F72" s="2" t="s">
        <v>50</v>
      </c>
      <c r="G72" s="2" t="s">
        <v>51</v>
      </c>
      <c r="H72" s="2" t="s">
        <v>23</v>
      </c>
      <c r="I72" s="2" t="s">
        <v>72</v>
      </c>
      <c r="J72" s="2">
        <v>1</v>
      </c>
      <c r="K72" s="2" t="s">
        <v>24</v>
      </c>
      <c r="L72" s="2">
        <v>1846</v>
      </c>
      <c r="M72" s="2" t="s">
        <v>73</v>
      </c>
      <c r="N72" s="2">
        <v>91</v>
      </c>
      <c r="O72" s="6">
        <v>5473788.1299999999</v>
      </c>
      <c r="P72" s="6">
        <v>60151.519999999997</v>
      </c>
    </row>
    <row r="73" spans="1:16" outlineLevel="2" x14ac:dyDescent="0.2">
      <c r="A73" s="5">
        <v>46243</v>
      </c>
      <c r="B73" s="2">
        <v>161339</v>
      </c>
      <c r="C73" s="2">
        <v>1</v>
      </c>
      <c r="D73" s="2" t="s">
        <v>71</v>
      </c>
      <c r="E73" s="2" t="s">
        <v>27</v>
      </c>
      <c r="F73" s="2" t="s">
        <v>28</v>
      </c>
      <c r="G73" s="2" t="s">
        <v>22</v>
      </c>
      <c r="H73" s="2" t="s">
        <v>51</v>
      </c>
      <c r="I73" s="2" t="s">
        <v>104</v>
      </c>
      <c r="J73" s="2">
        <v>1</v>
      </c>
      <c r="K73" s="2" t="s">
        <v>24</v>
      </c>
      <c r="L73" s="2">
        <v>1502</v>
      </c>
      <c r="M73" s="2" t="s">
        <v>105</v>
      </c>
      <c r="N73" s="2">
        <v>4</v>
      </c>
      <c r="O73" s="6">
        <v>159311.48000000001</v>
      </c>
      <c r="P73" s="6">
        <v>39827.870000000003</v>
      </c>
    </row>
    <row r="74" spans="1:16" outlineLevel="2" x14ac:dyDescent="0.2">
      <c r="A74" s="5">
        <v>46246</v>
      </c>
      <c r="B74" s="2">
        <v>161408</v>
      </c>
      <c r="C74" s="2">
        <v>1</v>
      </c>
      <c r="D74" s="2" t="s">
        <v>71</v>
      </c>
      <c r="E74" s="2" t="s">
        <v>27</v>
      </c>
      <c r="F74" s="2" t="s">
        <v>28</v>
      </c>
      <c r="G74" s="2" t="s">
        <v>93</v>
      </c>
      <c r="H74" s="2" t="s">
        <v>23</v>
      </c>
      <c r="I74" s="2" t="s">
        <v>109</v>
      </c>
      <c r="J74" s="2">
        <v>40</v>
      </c>
      <c r="K74" s="2" t="s">
        <v>62</v>
      </c>
      <c r="L74" s="2">
        <v>1502</v>
      </c>
      <c r="M74" s="2" t="s">
        <v>105</v>
      </c>
      <c r="N74" s="2">
        <v>114</v>
      </c>
      <c r="O74" s="6">
        <v>4231096.03</v>
      </c>
      <c r="P74" s="6">
        <v>37114.879999999997</v>
      </c>
    </row>
    <row r="75" spans="1:16" outlineLevel="2" x14ac:dyDescent="0.2">
      <c r="A75" s="5">
        <v>46246</v>
      </c>
      <c r="B75" s="2">
        <v>161408</v>
      </c>
      <c r="C75" s="2">
        <v>2</v>
      </c>
      <c r="D75" s="2" t="s">
        <v>71</v>
      </c>
      <c r="E75" s="2" t="s">
        <v>27</v>
      </c>
      <c r="F75" s="2" t="s">
        <v>28</v>
      </c>
      <c r="G75" s="2" t="s">
        <v>93</v>
      </c>
      <c r="H75" s="2" t="s">
        <v>23</v>
      </c>
      <c r="I75" s="2" t="s">
        <v>94</v>
      </c>
      <c r="J75" s="2">
        <v>40</v>
      </c>
      <c r="K75" s="2" t="s">
        <v>62</v>
      </c>
      <c r="L75" s="2">
        <v>1502</v>
      </c>
      <c r="M75" s="2" t="s">
        <v>105</v>
      </c>
      <c r="N75" s="2">
        <v>185</v>
      </c>
      <c r="O75" s="6">
        <v>7044825.0899999999</v>
      </c>
      <c r="P75" s="6">
        <v>38080.14</v>
      </c>
    </row>
    <row r="76" spans="1:16" outlineLevel="2" x14ac:dyDescent="0.2">
      <c r="A76" s="5">
        <v>46241</v>
      </c>
      <c r="B76" s="2">
        <v>161467</v>
      </c>
      <c r="C76" s="2">
        <v>1</v>
      </c>
      <c r="D76" s="2" t="s">
        <v>71</v>
      </c>
      <c r="E76" s="2" t="s">
        <v>27</v>
      </c>
      <c r="F76" s="2" t="s">
        <v>127</v>
      </c>
      <c r="G76" s="2" t="s">
        <v>22</v>
      </c>
      <c r="H76" s="2" t="s">
        <v>23</v>
      </c>
      <c r="I76" s="2" t="s">
        <v>23</v>
      </c>
      <c r="J76" s="2">
        <v>1</v>
      </c>
      <c r="K76" s="2" t="s">
        <v>24</v>
      </c>
      <c r="L76" s="2">
        <v>206</v>
      </c>
      <c r="M76" s="2" t="s">
        <v>128</v>
      </c>
      <c r="N76" s="2">
        <v>14</v>
      </c>
      <c r="O76" s="6">
        <v>257022.78</v>
      </c>
      <c r="P76" s="6">
        <v>18358.77</v>
      </c>
    </row>
    <row r="77" spans="1:16" outlineLevel="2" x14ac:dyDescent="0.2">
      <c r="A77" s="5">
        <v>46246</v>
      </c>
      <c r="B77" s="2">
        <v>161518</v>
      </c>
      <c r="C77" s="2">
        <v>3</v>
      </c>
      <c r="D77" s="2" t="s">
        <v>71</v>
      </c>
      <c r="E77" s="2" t="s">
        <v>27</v>
      </c>
      <c r="F77" s="2" t="s">
        <v>28</v>
      </c>
      <c r="G77" s="2" t="s">
        <v>22</v>
      </c>
      <c r="H77" s="2" t="s">
        <v>23</v>
      </c>
      <c r="I77" s="2" t="s">
        <v>23</v>
      </c>
      <c r="J77" s="2">
        <v>40</v>
      </c>
      <c r="K77" s="2" t="s">
        <v>62</v>
      </c>
      <c r="L77" s="2">
        <v>1502</v>
      </c>
      <c r="M77" s="2" t="s">
        <v>105</v>
      </c>
      <c r="N77" s="2">
        <v>11</v>
      </c>
      <c r="O77" s="6">
        <v>393301.56</v>
      </c>
      <c r="P77" s="6">
        <v>35754.69</v>
      </c>
    </row>
    <row r="78" spans="1:16" outlineLevel="2" x14ac:dyDescent="0.2">
      <c r="A78" s="5">
        <v>46244</v>
      </c>
      <c r="B78" s="2">
        <v>161589</v>
      </c>
      <c r="C78" s="2">
        <v>1</v>
      </c>
      <c r="D78" s="2" t="s">
        <v>71</v>
      </c>
      <c r="E78" s="2" t="s">
        <v>27</v>
      </c>
      <c r="F78" s="2" t="s">
        <v>99</v>
      </c>
      <c r="G78" s="2" t="s">
        <v>22</v>
      </c>
      <c r="H78" s="2" t="s">
        <v>23</v>
      </c>
      <c r="I78" s="2" t="s">
        <v>158</v>
      </c>
      <c r="J78" s="2">
        <v>1</v>
      </c>
      <c r="K78" s="2" t="s">
        <v>24</v>
      </c>
      <c r="L78" s="2">
        <v>2814</v>
      </c>
      <c r="M78" s="2" t="s">
        <v>159</v>
      </c>
      <c r="N78" s="2">
        <v>71</v>
      </c>
      <c r="O78" s="6">
        <v>3723556.55</v>
      </c>
      <c r="P78" s="6">
        <v>52444.46</v>
      </c>
    </row>
    <row r="79" spans="1:16" outlineLevel="2" x14ac:dyDescent="0.2">
      <c r="A79" s="5">
        <v>46246</v>
      </c>
      <c r="B79" s="2">
        <v>161589</v>
      </c>
      <c r="C79" s="2">
        <v>3</v>
      </c>
      <c r="D79" s="2" t="s">
        <v>71</v>
      </c>
      <c r="E79" s="2" t="s">
        <v>27</v>
      </c>
      <c r="F79" s="2" t="s">
        <v>99</v>
      </c>
      <c r="G79" s="2" t="s">
        <v>22</v>
      </c>
      <c r="H79" s="2" t="s">
        <v>23</v>
      </c>
      <c r="I79" s="2" t="s">
        <v>72</v>
      </c>
      <c r="J79" s="2">
        <v>1</v>
      </c>
      <c r="K79" s="2" t="s">
        <v>24</v>
      </c>
      <c r="L79" s="2">
        <v>2814</v>
      </c>
      <c r="M79" s="2" t="s">
        <v>159</v>
      </c>
      <c r="N79" s="2">
        <v>9</v>
      </c>
      <c r="O79" s="6">
        <v>333248.03999999998</v>
      </c>
      <c r="P79" s="6">
        <v>37027.56</v>
      </c>
    </row>
    <row r="80" spans="1:16" outlineLevel="1" x14ac:dyDescent="0.2">
      <c r="A80" s="5"/>
      <c r="D80" s="4" t="s">
        <v>182</v>
      </c>
      <c r="E80" s="4"/>
      <c r="F80" s="4"/>
      <c r="G80" s="4"/>
      <c r="H80" s="4"/>
      <c r="I80" s="4"/>
      <c r="J80" s="4"/>
      <c r="K80" s="4"/>
      <c r="L80" s="4"/>
      <c r="M80" s="4"/>
      <c r="N80" s="4">
        <f>SUBTOTAL(9,N66:N79)</f>
        <v>1149</v>
      </c>
      <c r="O80" s="7">
        <f>SUBTOTAL(9,O66:O79)</f>
        <v>44346000.389999993</v>
      </c>
      <c r="P80" s="7">
        <f>+O80/N80</f>
        <v>38595.300600522191</v>
      </c>
    </row>
    <row r="81" spans="1:16" outlineLevel="2" x14ac:dyDescent="0.2">
      <c r="A81" s="5">
        <v>46181</v>
      </c>
      <c r="B81" s="2">
        <v>159851</v>
      </c>
      <c r="C81" s="2">
        <v>300</v>
      </c>
      <c r="D81" s="2" t="s">
        <v>26</v>
      </c>
      <c r="E81" s="2" t="s">
        <v>27</v>
      </c>
      <c r="F81" s="2" t="s">
        <v>28</v>
      </c>
      <c r="G81" s="2" t="s">
        <v>22</v>
      </c>
      <c r="H81" s="2" t="s">
        <v>23</v>
      </c>
      <c r="I81" s="2" t="s">
        <v>23</v>
      </c>
      <c r="J81" s="2">
        <v>41</v>
      </c>
      <c r="K81" s="2" t="s">
        <v>29</v>
      </c>
      <c r="L81" s="2">
        <v>2579</v>
      </c>
      <c r="M81" s="2" t="s">
        <v>30</v>
      </c>
      <c r="N81" s="2">
        <v>19</v>
      </c>
      <c r="O81" s="6">
        <v>499100.4</v>
      </c>
      <c r="P81" s="6">
        <v>26268.44</v>
      </c>
    </row>
    <row r="82" spans="1:16" outlineLevel="2" x14ac:dyDescent="0.2">
      <c r="A82" s="5">
        <v>46244</v>
      </c>
      <c r="B82" s="2">
        <v>161408</v>
      </c>
      <c r="C82" s="2">
        <v>300</v>
      </c>
      <c r="D82" s="2" t="s">
        <v>26</v>
      </c>
      <c r="E82" s="2" t="s">
        <v>27</v>
      </c>
      <c r="F82" s="2" t="s">
        <v>65</v>
      </c>
      <c r="G82" s="2" t="s">
        <v>23</v>
      </c>
      <c r="H82" s="2" t="s">
        <v>23</v>
      </c>
      <c r="I82" s="2" t="s">
        <v>23</v>
      </c>
      <c r="J82" s="2">
        <v>40</v>
      </c>
      <c r="K82" s="2" t="s">
        <v>62</v>
      </c>
      <c r="L82" s="2">
        <v>133</v>
      </c>
      <c r="M82" s="2" t="s">
        <v>110</v>
      </c>
      <c r="N82" s="2">
        <v>47</v>
      </c>
      <c r="O82" s="6">
        <v>1559207.96</v>
      </c>
      <c r="P82" s="6">
        <v>33174.639999999999</v>
      </c>
    </row>
    <row r="83" spans="1:16" outlineLevel="1" x14ac:dyDescent="0.2">
      <c r="A83" s="5"/>
      <c r="D83" s="4" t="s">
        <v>183</v>
      </c>
      <c r="E83" s="4"/>
      <c r="F83" s="4"/>
      <c r="G83" s="4"/>
      <c r="H83" s="4"/>
      <c r="I83" s="4"/>
      <c r="J83" s="4"/>
      <c r="K83" s="4"/>
      <c r="L83" s="4"/>
      <c r="M83" s="4"/>
      <c r="N83" s="4">
        <f>SUBTOTAL(9,N81:N82)</f>
        <v>66</v>
      </c>
      <c r="O83" s="7">
        <f>SUBTOTAL(9,O81:O82)</f>
        <v>2058308.3599999999</v>
      </c>
      <c r="P83" s="7">
        <f>+O83/N83</f>
        <v>31186.490303030299</v>
      </c>
    </row>
    <row r="84" spans="1:16" outlineLevel="2" x14ac:dyDescent="0.2">
      <c r="A84" s="5">
        <v>46237</v>
      </c>
      <c r="B84" s="2">
        <v>161285</v>
      </c>
      <c r="C84" s="2">
        <v>1</v>
      </c>
      <c r="D84" s="2" t="s">
        <v>91</v>
      </c>
      <c r="E84" s="2" t="s">
        <v>92</v>
      </c>
      <c r="F84" s="2" t="s">
        <v>28</v>
      </c>
      <c r="G84" s="2" t="s">
        <v>22</v>
      </c>
      <c r="H84" s="2" t="s">
        <v>23</v>
      </c>
      <c r="I84" s="2" t="s">
        <v>23</v>
      </c>
      <c r="J84" s="2">
        <v>5</v>
      </c>
      <c r="K84" s="2" t="s">
        <v>76</v>
      </c>
      <c r="L84" s="2">
        <v>2521</v>
      </c>
      <c r="M84" s="2" t="s">
        <v>68</v>
      </c>
      <c r="N84" s="2">
        <v>7</v>
      </c>
      <c r="O84" s="6">
        <v>207853.76</v>
      </c>
      <c r="P84" s="6">
        <v>29693.39</v>
      </c>
    </row>
    <row r="85" spans="1:16" outlineLevel="2" x14ac:dyDescent="0.2">
      <c r="A85" s="5">
        <v>46246</v>
      </c>
      <c r="B85" s="2">
        <v>161584</v>
      </c>
      <c r="C85" s="2">
        <v>2</v>
      </c>
      <c r="D85" s="2" t="s">
        <v>91</v>
      </c>
      <c r="E85" s="2" t="s">
        <v>92</v>
      </c>
      <c r="F85" s="2" t="s">
        <v>28</v>
      </c>
      <c r="G85" s="2" t="s">
        <v>22</v>
      </c>
      <c r="H85" s="2" t="s">
        <v>23</v>
      </c>
      <c r="I85" s="2" t="s">
        <v>23</v>
      </c>
      <c r="J85" s="2">
        <v>5</v>
      </c>
      <c r="K85" s="2" t="s">
        <v>76</v>
      </c>
      <c r="L85" s="2">
        <v>2521</v>
      </c>
      <c r="M85" s="2" t="s">
        <v>68</v>
      </c>
      <c r="N85" s="2">
        <v>66</v>
      </c>
      <c r="O85" s="6">
        <v>2094395.64</v>
      </c>
      <c r="P85" s="6">
        <v>31733.27</v>
      </c>
    </row>
    <row r="86" spans="1:16" outlineLevel="1" x14ac:dyDescent="0.2">
      <c r="A86" s="5"/>
      <c r="D86" s="4" t="s">
        <v>184</v>
      </c>
      <c r="E86" s="4"/>
      <c r="F86" s="4"/>
      <c r="G86" s="4"/>
      <c r="H86" s="4"/>
      <c r="I86" s="4"/>
      <c r="J86" s="4"/>
      <c r="K86" s="4"/>
      <c r="L86" s="4"/>
      <c r="M86" s="4"/>
      <c r="N86" s="4">
        <f>SUBTOTAL(9,N84:N85)</f>
        <v>73</v>
      </c>
      <c r="O86" s="7">
        <f>SUBTOTAL(9,O84:O85)</f>
        <v>2302249.4</v>
      </c>
      <c r="P86" s="7">
        <f>+O86/N86</f>
        <v>31537.663013698628</v>
      </c>
    </row>
    <row r="87" spans="1:16" outlineLevel="2" x14ac:dyDescent="0.2">
      <c r="A87" s="5">
        <v>46244</v>
      </c>
      <c r="B87" s="2">
        <v>161564</v>
      </c>
      <c r="C87" s="2">
        <v>2</v>
      </c>
      <c r="D87" s="2" t="s">
        <v>107</v>
      </c>
      <c r="E87" s="2" t="s">
        <v>139</v>
      </c>
      <c r="F87" s="2" t="s">
        <v>28</v>
      </c>
      <c r="G87" s="2" t="s">
        <v>22</v>
      </c>
      <c r="H87" s="2" t="s">
        <v>23</v>
      </c>
      <c r="I87" s="2" t="s">
        <v>23</v>
      </c>
      <c r="J87" s="2">
        <v>5</v>
      </c>
      <c r="K87" s="2" t="s">
        <v>76</v>
      </c>
      <c r="L87" s="2">
        <v>2521</v>
      </c>
      <c r="M87" s="2" t="s">
        <v>68</v>
      </c>
      <c r="N87" s="2">
        <v>5</v>
      </c>
      <c r="O87" s="6">
        <v>146243.37</v>
      </c>
      <c r="P87" s="6">
        <v>29248.67</v>
      </c>
    </row>
    <row r="88" spans="1:16" outlineLevel="2" x14ac:dyDescent="0.2">
      <c r="A88" s="5">
        <v>46238</v>
      </c>
      <c r="B88" s="2">
        <v>161400</v>
      </c>
      <c r="C88" s="2">
        <v>2</v>
      </c>
      <c r="D88" s="2" t="s">
        <v>107</v>
      </c>
      <c r="E88" s="2" t="s">
        <v>108</v>
      </c>
      <c r="F88" s="2" t="s">
        <v>28</v>
      </c>
      <c r="G88" s="2" t="s">
        <v>22</v>
      </c>
      <c r="H88" s="2" t="s">
        <v>23</v>
      </c>
      <c r="I88" s="2" t="s">
        <v>23</v>
      </c>
      <c r="J88" s="2">
        <v>5</v>
      </c>
      <c r="K88" s="2" t="s">
        <v>76</v>
      </c>
      <c r="L88" s="2">
        <v>2521</v>
      </c>
      <c r="M88" s="2" t="s">
        <v>68</v>
      </c>
      <c r="N88" s="2">
        <v>10</v>
      </c>
      <c r="O88" s="6">
        <v>295910.5</v>
      </c>
      <c r="P88" s="6">
        <v>29591.05</v>
      </c>
    </row>
    <row r="89" spans="1:16" outlineLevel="1" x14ac:dyDescent="0.2">
      <c r="A89" s="5"/>
      <c r="D89" s="4" t="s">
        <v>185</v>
      </c>
      <c r="E89" s="4"/>
      <c r="F89" s="4"/>
      <c r="G89" s="4"/>
      <c r="H89" s="4"/>
      <c r="I89" s="4"/>
      <c r="J89" s="4"/>
      <c r="K89" s="4"/>
      <c r="L89" s="4"/>
      <c r="M89" s="4"/>
      <c r="N89" s="4">
        <f>SUBTOTAL(9,N87:N88)</f>
        <v>15</v>
      </c>
      <c r="O89" s="7">
        <f>SUBTOTAL(9,O87:O88)</f>
        <v>442153.87</v>
      </c>
      <c r="P89" s="7">
        <f>+O89/N89</f>
        <v>29476.924666666666</v>
      </c>
    </row>
    <row r="90" spans="1:16" outlineLevel="2" x14ac:dyDescent="0.2">
      <c r="A90" s="5">
        <v>46241</v>
      </c>
      <c r="B90" s="2">
        <v>161462</v>
      </c>
      <c r="C90" s="2">
        <v>3</v>
      </c>
      <c r="D90" s="2" t="s">
        <v>124</v>
      </c>
      <c r="E90" s="2" t="s">
        <v>125</v>
      </c>
      <c r="F90" s="2" t="s">
        <v>21</v>
      </c>
      <c r="G90" s="2" t="s">
        <v>22</v>
      </c>
      <c r="H90" s="2" t="s">
        <v>123</v>
      </c>
      <c r="I90" s="2" t="s">
        <v>23</v>
      </c>
      <c r="J90" s="2">
        <v>78</v>
      </c>
      <c r="K90" s="2" t="s">
        <v>126</v>
      </c>
      <c r="L90" s="2">
        <v>226</v>
      </c>
      <c r="M90" s="2" t="s">
        <v>25</v>
      </c>
      <c r="N90" s="2">
        <v>32</v>
      </c>
      <c r="O90" s="6">
        <v>593081.28</v>
      </c>
      <c r="P90" s="6">
        <v>18533.79</v>
      </c>
    </row>
    <row r="91" spans="1:16" outlineLevel="1" x14ac:dyDescent="0.2">
      <c r="A91" s="5"/>
      <c r="D91" s="4" t="s">
        <v>186</v>
      </c>
      <c r="E91" s="4"/>
      <c r="F91" s="4"/>
      <c r="G91" s="4"/>
      <c r="H91" s="4"/>
      <c r="I91" s="4"/>
      <c r="J91" s="4"/>
      <c r="K91" s="4"/>
      <c r="L91" s="4"/>
      <c r="M91" s="4"/>
      <c r="N91" s="4">
        <f>SUBTOTAL(9,N90:N90)</f>
        <v>32</v>
      </c>
      <c r="O91" s="7">
        <f>SUBTOTAL(9,O90:O90)</f>
        <v>593081.28</v>
      </c>
      <c r="P91" s="7">
        <f>+O91/N91</f>
        <v>18533.79</v>
      </c>
    </row>
    <row r="92" spans="1:16" outlineLevel="2" x14ac:dyDescent="0.2">
      <c r="A92" s="5">
        <v>46239</v>
      </c>
      <c r="B92" s="2">
        <v>161409</v>
      </c>
      <c r="C92" s="2">
        <v>1</v>
      </c>
      <c r="D92" s="2" t="s">
        <v>111</v>
      </c>
      <c r="E92" s="2" t="s">
        <v>23</v>
      </c>
      <c r="F92" s="2" t="s">
        <v>112</v>
      </c>
      <c r="G92" s="2" t="s">
        <v>22</v>
      </c>
      <c r="H92" s="2" t="s">
        <v>23</v>
      </c>
      <c r="I92" s="2" t="s">
        <v>54</v>
      </c>
      <c r="J92" s="2">
        <v>1</v>
      </c>
      <c r="K92" s="2" t="s">
        <v>24</v>
      </c>
      <c r="L92" s="2">
        <v>2024</v>
      </c>
      <c r="M92" s="2" t="s">
        <v>113</v>
      </c>
      <c r="N92" s="2">
        <v>62</v>
      </c>
      <c r="O92" s="6">
        <v>2672500.98</v>
      </c>
      <c r="P92" s="6">
        <v>43104.85</v>
      </c>
    </row>
    <row r="93" spans="1:16" outlineLevel="2" x14ac:dyDescent="0.2">
      <c r="A93" s="5">
        <v>46244</v>
      </c>
      <c r="B93" s="2">
        <v>161409</v>
      </c>
      <c r="C93" s="2">
        <v>2</v>
      </c>
      <c r="D93" s="2" t="s">
        <v>111</v>
      </c>
      <c r="E93" s="2" t="s">
        <v>23</v>
      </c>
      <c r="F93" s="2" t="s">
        <v>112</v>
      </c>
      <c r="G93" s="2" t="s">
        <v>22</v>
      </c>
      <c r="H93" s="2" t="s">
        <v>23</v>
      </c>
      <c r="I93" s="2" t="s">
        <v>23</v>
      </c>
      <c r="J93" s="2">
        <v>1</v>
      </c>
      <c r="K93" s="2" t="s">
        <v>24</v>
      </c>
      <c r="L93" s="2">
        <v>2024</v>
      </c>
      <c r="M93" s="2" t="s">
        <v>113</v>
      </c>
      <c r="N93" s="2">
        <v>14</v>
      </c>
      <c r="O93" s="6">
        <v>619503.78</v>
      </c>
      <c r="P93" s="6">
        <v>44250.27</v>
      </c>
    </row>
    <row r="94" spans="1:16" outlineLevel="2" x14ac:dyDescent="0.2">
      <c r="A94" s="5">
        <v>46244</v>
      </c>
      <c r="B94" s="2">
        <v>161409</v>
      </c>
      <c r="C94" s="2">
        <v>3</v>
      </c>
      <c r="D94" s="2" t="s">
        <v>111</v>
      </c>
      <c r="E94" s="2" t="s">
        <v>23</v>
      </c>
      <c r="F94" s="2" t="s">
        <v>112</v>
      </c>
      <c r="G94" s="2" t="s">
        <v>22</v>
      </c>
      <c r="H94" s="2" t="s">
        <v>23</v>
      </c>
      <c r="I94" s="2" t="s">
        <v>114</v>
      </c>
      <c r="J94" s="2">
        <v>1</v>
      </c>
      <c r="K94" s="2" t="s">
        <v>24</v>
      </c>
      <c r="L94" s="2">
        <v>2024</v>
      </c>
      <c r="M94" s="2" t="s">
        <v>113</v>
      </c>
      <c r="N94" s="2">
        <v>39</v>
      </c>
      <c r="O94" s="6">
        <v>1697022.93</v>
      </c>
      <c r="P94" s="6">
        <v>43513.41</v>
      </c>
    </row>
    <row r="95" spans="1:16" outlineLevel="2" x14ac:dyDescent="0.2">
      <c r="A95" s="5">
        <v>46246</v>
      </c>
      <c r="B95" s="2">
        <v>161409</v>
      </c>
      <c r="C95" s="2">
        <v>4</v>
      </c>
      <c r="D95" s="2" t="s">
        <v>111</v>
      </c>
      <c r="E95" s="2" t="s">
        <v>23</v>
      </c>
      <c r="F95" s="2" t="s">
        <v>112</v>
      </c>
      <c r="G95" s="2" t="s">
        <v>22</v>
      </c>
      <c r="H95" s="2" t="s">
        <v>23</v>
      </c>
      <c r="I95" s="2" t="s">
        <v>23</v>
      </c>
      <c r="J95" s="2">
        <v>1</v>
      </c>
      <c r="K95" s="2" t="s">
        <v>24</v>
      </c>
      <c r="L95" s="2">
        <v>2024</v>
      </c>
      <c r="M95" s="2" t="s">
        <v>113</v>
      </c>
      <c r="N95" s="2">
        <v>37</v>
      </c>
      <c r="O95" s="6">
        <v>1618310.95</v>
      </c>
      <c r="P95" s="6">
        <v>43738.13</v>
      </c>
    </row>
    <row r="96" spans="1:16" outlineLevel="1" x14ac:dyDescent="0.2">
      <c r="A96" s="5"/>
      <c r="D96" s="4" t="s">
        <v>187</v>
      </c>
      <c r="E96" s="4"/>
      <c r="F96" s="4"/>
      <c r="G96" s="4"/>
      <c r="H96" s="4"/>
      <c r="I96" s="4"/>
      <c r="J96" s="4"/>
      <c r="K96" s="4"/>
      <c r="L96" s="4"/>
      <c r="M96" s="4"/>
      <c r="N96" s="4">
        <f>SUBTOTAL(9,N92:N95)</f>
        <v>152</v>
      </c>
      <c r="O96" s="7">
        <f>SUBTOTAL(9,O92:O95)</f>
        <v>6607338.6399999997</v>
      </c>
      <c r="P96" s="7">
        <f>+O96/N96</f>
        <v>43469.333157894733</v>
      </c>
    </row>
    <row r="97" spans="1:16" outlineLevel="2" x14ac:dyDescent="0.2">
      <c r="A97" s="5">
        <v>46244</v>
      </c>
      <c r="B97" s="2">
        <v>161582</v>
      </c>
      <c r="C97" s="2">
        <v>1</v>
      </c>
      <c r="D97" s="2" t="s">
        <v>146</v>
      </c>
      <c r="E97" s="2" t="s">
        <v>147</v>
      </c>
      <c r="F97" s="2" t="s">
        <v>112</v>
      </c>
      <c r="G97" s="2" t="s">
        <v>22</v>
      </c>
      <c r="H97" s="2" t="s">
        <v>23</v>
      </c>
      <c r="I97" s="2" t="s">
        <v>114</v>
      </c>
      <c r="J97" s="2">
        <v>1</v>
      </c>
      <c r="K97" s="2" t="s">
        <v>24</v>
      </c>
      <c r="L97" s="2">
        <v>1037</v>
      </c>
      <c r="M97" s="2" t="s">
        <v>148</v>
      </c>
      <c r="N97" s="2">
        <v>22</v>
      </c>
      <c r="O97" s="6">
        <v>1288479.6499999999</v>
      </c>
      <c r="P97" s="6">
        <v>58567.26</v>
      </c>
    </row>
    <row r="98" spans="1:16" outlineLevel="2" x14ac:dyDescent="0.2">
      <c r="A98" s="5">
        <v>46244</v>
      </c>
      <c r="B98" s="2">
        <v>161582</v>
      </c>
      <c r="C98" s="2">
        <v>2</v>
      </c>
      <c r="D98" s="2" t="s">
        <v>146</v>
      </c>
      <c r="E98" s="2" t="s">
        <v>147</v>
      </c>
      <c r="F98" s="2" t="s">
        <v>112</v>
      </c>
      <c r="G98" s="2" t="s">
        <v>22</v>
      </c>
      <c r="H98" s="2" t="s">
        <v>23</v>
      </c>
      <c r="I98" s="2" t="s">
        <v>143</v>
      </c>
      <c r="J98" s="2">
        <v>1</v>
      </c>
      <c r="K98" s="2" t="s">
        <v>24</v>
      </c>
      <c r="L98" s="2">
        <v>1037</v>
      </c>
      <c r="M98" s="2" t="s">
        <v>148</v>
      </c>
      <c r="N98" s="2">
        <v>4</v>
      </c>
      <c r="O98" s="6">
        <v>239273.77</v>
      </c>
      <c r="P98" s="6">
        <v>59818.44</v>
      </c>
    </row>
    <row r="99" spans="1:16" outlineLevel="1" x14ac:dyDescent="0.2">
      <c r="A99" s="5"/>
      <c r="D99" s="4" t="s">
        <v>188</v>
      </c>
      <c r="E99" s="4"/>
      <c r="F99" s="4"/>
      <c r="G99" s="4"/>
      <c r="H99" s="4"/>
      <c r="I99" s="4"/>
      <c r="J99" s="4"/>
      <c r="K99" s="4"/>
      <c r="L99" s="4"/>
      <c r="M99" s="4"/>
      <c r="N99" s="4">
        <f>SUBTOTAL(9,N97:N98)</f>
        <v>26</v>
      </c>
      <c r="O99" s="7">
        <f>SUBTOTAL(9,O97:O98)</f>
        <v>1527753.42</v>
      </c>
      <c r="P99" s="7">
        <f>+O99/N99</f>
        <v>58759.74692307692</v>
      </c>
    </row>
    <row r="100" spans="1:16" outlineLevel="2" x14ac:dyDescent="0.2">
      <c r="A100" s="5">
        <v>46244</v>
      </c>
      <c r="B100" s="2">
        <v>161540</v>
      </c>
      <c r="C100" s="2">
        <v>5</v>
      </c>
      <c r="D100" s="2" t="s">
        <v>133</v>
      </c>
      <c r="E100" s="2" t="s">
        <v>23</v>
      </c>
      <c r="F100" s="2" t="s">
        <v>84</v>
      </c>
      <c r="G100" s="2" t="s">
        <v>22</v>
      </c>
      <c r="H100" s="2" t="s">
        <v>23</v>
      </c>
      <c r="I100" s="2" t="s">
        <v>23</v>
      </c>
      <c r="J100" s="2">
        <v>1</v>
      </c>
      <c r="K100" s="2" t="s">
        <v>24</v>
      </c>
      <c r="L100" s="2">
        <v>25213</v>
      </c>
      <c r="M100" s="2" t="s">
        <v>134</v>
      </c>
      <c r="N100" s="2">
        <v>2</v>
      </c>
      <c r="O100" s="6">
        <v>182334.02</v>
      </c>
      <c r="P100" s="6">
        <v>91167.01</v>
      </c>
    </row>
    <row r="101" spans="1:16" outlineLevel="2" x14ac:dyDescent="0.2">
      <c r="A101" s="5">
        <v>46246</v>
      </c>
      <c r="B101" s="2">
        <v>161558</v>
      </c>
      <c r="C101" s="2">
        <v>1</v>
      </c>
      <c r="D101" s="2" t="s">
        <v>133</v>
      </c>
      <c r="E101" s="2" t="s">
        <v>23</v>
      </c>
      <c r="F101" s="2" t="s">
        <v>84</v>
      </c>
      <c r="G101" s="2" t="s">
        <v>22</v>
      </c>
      <c r="H101" s="2" t="s">
        <v>23</v>
      </c>
      <c r="I101" s="2" t="s">
        <v>23</v>
      </c>
      <c r="J101" s="2">
        <v>1</v>
      </c>
      <c r="K101" s="2" t="s">
        <v>24</v>
      </c>
      <c r="L101" s="2">
        <v>25213</v>
      </c>
      <c r="M101" s="2" t="s">
        <v>134</v>
      </c>
      <c r="N101" s="2">
        <v>7</v>
      </c>
      <c r="O101" s="6">
        <v>632254.99</v>
      </c>
      <c r="P101" s="6">
        <v>90322.14</v>
      </c>
    </row>
    <row r="102" spans="1:16" outlineLevel="2" x14ac:dyDescent="0.2">
      <c r="A102" s="5">
        <v>46246</v>
      </c>
      <c r="B102" s="2">
        <v>161558</v>
      </c>
      <c r="C102" s="2">
        <v>3</v>
      </c>
      <c r="D102" s="2" t="s">
        <v>133</v>
      </c>
      <c r="E102" s="2" t="s">
        <v>23</v>
      </c>
      <c r="F102" s="2" t="s">
        <v>84</v>
      </c>
      <c r="G102" s="2" t="s">
        <v>22</v>
      </c>
      <c r="H102" s="2" t="s">
        <v>23</v>
      </c>
      <c r="I102" s="2" t="s">
        <v>23</v>
      </c>
      <c r="J102" s="2">
        <v>41</v>
      </c>
      <c r="K102" s="2" t="s">
        <v>29</v>
      </c>
      <c r="L102" s="2">
        <v>25213</v>
      </c>
      <c r="M102" s="2" t="s">
        <v>134</v>
      </c>
      <c r="N102" s="2">
        <v>63</v>
      </c>
      <c r="O102" s="6">
        <v>233711.86</v>
      </c>
      <c r="P102" s="6">
        <v>3709.71</v>
      </c>
    </row>
    <row r="103" spans="1:16" outlineLevel="1" x14ac:dyDescent="0.2">
      <c r="A103" s="5"/>
      <c r="D103" s="4" t="s">
        <v>189</v>
      </c>
      <c r="E103" s="4"/>
      <c r="F103" s="4"/>
      <c r="G103" s="4"/>
      <c r="H103" s="4"/>
      <c r="I103" s="4"/>
      <c r="J103" s="4"/>
      <c r="K103" s="4"/>
      <c r="L103" s="4"/>
      <c r="M103" s="4"/>
      <c r="N103" s="4">
        <f>SUBTOTAL(9,N100:N102)</f>
        <v>72</v>
      </c>
      <c r="O103" s="7">
        <f>SUBTOTAL(9,O100:O102)</f>
        <v>1048300.87</v>
      </c>
      <c r="P103" s="7">
        <f>+O103/N103</f>
        <v>14559.734305555556</v>
      </c>
    </row>
    <row r="104" spans="1:16" outlineLevel="2" x14ac:dyDescent="0.2">
      <c r="A104" s="5">
        <v>46230</v>
      </c>
      <c r="B104" s="2">
        <v>161164</v>
      </c>
      <c r="C104" s="2">
        <v>1</v>
      </c>
      <c r="D104" s="2" t="s">
        <v>82</v>
      </c>
      <c r="E104" s="2" t="s">
        <v>83</v>
      </c>
      <c r="F104" s="2" t="s">
        <v>84</v>
      </c>
      <c r="G104" s="2" t="s">
        <v>22</v>
      </c>
      <c r="H104" s="2" t="s">
        <v>23</v>
      </c>
      <c r="I104" s="2" t="s">
        <v>23</v>
      </c>
      <c r="J104" s="2">
        <v>41</v>
      </c>
      <c r="K104" s="2" t="s">
        <v>29</v>
      </c>
      <c r="L104" s="2">
        <v>2338</v>
      </c>
      <c r="M104" s="2" t="s">
        <v>85</v>
      </c>
      <c r="N104" s="2">
        <v>2</v>
      </c>
      <c r="O104" s="6">
        <v>2180.3200000000002</v>
      </c>
      <c r="P104" s="6">
        <v>1090.1600000000001</v>
      </c>
    </row>
    <row r="105" spans="1:16" outlineLevel="2" x14ac:dyDescent="0.2">
      <c r="A105" s="5">
        <v>46244</v>
      </c>
      <c r="B105" s="2">
        <v>161543</v>
      </c>
      <c r="C105" s="2">
        <v>1</v>
      </c>
      <c r="D105" s="2" t="s">
        <v>82</v>
      </c>
      <c r="E105" s="2" t="s">
        <v>83</v>
      </c>
      <c r="F105" s="2" t="s">
        <v>84</v>
      </c>
      <c r="G105" s="2" t="s">
        <v>23</v>
      </c>
      <c r="H105" s="2" t="s">
        <v>23</v>
      </c>
      <c r="I105" s="2" t="s">
        <v>23</v>
      </c>
      <c r="J105" s="2">
        <v>41</v>
      </c>
      <c r="K105" s="2" t="s">
        <v>29</v>
      </c>
      <c r="L105" s="2">
        <v>2338</v>
      </c>
      <c r="M105" s="2" t="s">
        <v>85</v>
      </c>
      <c r="N105" s="2">
        <v>185</v>
      </c>
      <c r="O105" s="6">
        <v>168822.64</v>
      </c>
      <c r="P105" s="6">
        <v>912.55</v>
      </c>
    </row>
    <row r="106" spans="1:16" outlineLevel="2" x14ac:dyDescent="0.2">
      <c r="A106" s="5">
        <v>46246</v>
      </c>
      <c r="B106" s="2">
        <v>161610</v>
      </c>
      <c r="C106" s="2">
        <v>1</v>
      </c>
      <c r="D106" s="2" t="s">
        <v>82</v>
      </c>
      <c r="E106" s="2" t="s">
        <v>83</v>
      </c>
      <c r="F106" s="2" t="s">
        <v>84</v>
      </c>
      <c r="G106" s="2" t="s">
        <v>22</v>
      </c>
      <c r="H106" s="2" t="s">
        <v>23</v>
      </c>
      <c r="I106" s="2" t="s">
        <v>23</v>
      </c>
      <c r="J106" s="2">
        <v>41</v>
      </c>
      <c r="K106" s="2" t="s">
        <v>29</v>
      </c>
      <c r="L106" s="2">
        <v>2338</v>
      </c>
      <c r="M106" s="2" t="s">
        <v>85</v>
      </c>
      <c r="N106" s="2">
        <v>293</v>
      </c>
      <c r="O106" s="6">
        <v>310532.76</v>
      </c>
      <c r="P106" s="6">
        <v>1059.8399999999999</v>
      </c>
    </row>
    <row r="107" spans="1:16" outlineLevel="1" x14ac:dyDescent="0.2">
      <c r="A107" s="5"/>
      <c r="D107" s="4" t="s">
        <v>190</v>
      </c>
      <c r="E107" s="4"/>
      <c r="F107" s="4"/>
      <c r="G107" s="4"/>
      <c r="H107" s="4"/>
      <c r="I107" s="4"/>
      <c r="J107" s="4"/>
      <c r="K107" s="4"/>
      <c r="L107" s="4"/>
      <c r="M107" s="4"/>
      <c r="N107" s="4">
        <f>SUBTOTAL(9,N104:N106)</f>
        <v>480</v>
      </c>
      <c r="O107" s="7">
        <f>SUBTOTAL(9,O104:O106)</f>
        <v>481535.72000000003</v>
      </c>
      <c r="P107" s="7">
        <f>+O107/N107</f>
        <v>1003.1994166666667</v>
      </c>
    </row>
    <row r="108" spans="1:16" outlineLevel="2" x14ac:dyDescent="0.2">
      <c r="A108" s="5">
        <v>46237</v>
      </c>
      <c r="B108" s="2">
        <v>161411</v>
      </c>
      <c r="C108" s="2">
        <v>12</v>
      </c>
      <c r="D108" s="2" t="s">
        <v>60</v>
      </c>
      <c r="E108" s="2" t="s">
        <v>115</v>
      </c>
      <c r="F108" s="2" t="s">
        <v>88</v>
      </c>
      <c r="G108" s="2" t="s">
        <v>22</v>
      </c>
      <c r="H108" s="2" t="s">
        <v>23</v>
      </c>
      <c r="I108" s="2" t="s">
        <v>23</v>
      </c>
      <c r="J108" s="2">
        <v>41</v>
      </c>
      <c r="K108" s="2" t="s">
        <v>29</v>
      </c>
      <c r="L108" s="2">
        <v>801</v>
      </c>
      <c r="M108" s="2" t="s">
        <v>89</v>
      </c>
      <c r="N108" s="2">
        <v>5</v>
      </c>
      <c r="O108" s="6">
        <v>101128.3</v>
      </c>
      <c r="P108" s="6">
        <v>20225.66</v>
      </c>
    </row>
    <row r="109" spans="1:16" outlineLevel="2" x14ac:dyDescent="0.2">
      <c r="A109" s="5">
        <v>46232</v>
      </c>
      <c r="B109" s="2">
        <v>161248</v>
      </c>
      <c r="C109" s="2">
        <v>2</v>
      </c>
      <c r="D109" s="2" t="s">
        <v>60</v>
      </c>
      <c r="E109" s="2" t="s">
        <v>90</v>
      </c>
      <c r="F109" s="2" t="s">
        <v>88</v>
      </c>
      <c r="G109" s="2" t="s">
        <v>22</v>
      </c>
      <c r="H109" s="2" t="s">
        <v>23</v>
      </c>
      <c r="I109" s="2" t="s">
        <v>23</v>
      </c>
      <c r="J109" s="2">
        <v>41</v>
      </c>
      <c r="K109" s="2" t="s">
        <v>29</v>
      </c>
      <c r="L109" s="2">
        <v>801</v>
      </c>
      <c r="M109" s="2" t="s">
        <v>89</v>
      </c>
      <c r="N109" s="2">
        <v>3</v>
      </c>
      <c r="O109" s="6">
        <v>53519.45</v>
      </c>
      <c r="P109" s="6">
        <v>17839.82</v>
      </c>
    </row>
    <row r="110" spans="1:16" outlineLevel="2" x14ac:dyDescent="0.2">
      <c r="A110" s="5">
        <v>46246</v>
      </c>
      <c r="B110" s="2">
        <v>161679</v>
      </c>
      <c r="C110" s="2">
        <v>6</v>
      </c>
      <c r="D110" s="2" t="s">
        <v>60</v>
      </c>
      <c r="E110" s="2" t="s">
        <v>164</v>
      </c>
      <c r="F110" s="2" t="s">
        <v>88</v>
      </c>
      <c r="G110" s="2" t="s">
        <v>22</v>
      </c>
      <c r="H110" s="2" t="s">
        <v>23</v>
      </c>
      <c r="I110" s="2" t="s">
        <v>23</v>
      </c>
      <c r="J110" s="2">
        <v>41</v>
      </c>
      <c r="K110" s="2" t="s">
        <v>29</v>
      </c>
      <c r="L110" s="2">
        <v>801</v>
      </c>
      <c r="M110" s="2" t="s">
        <v>89</v>
      </c>
      <c r="N110" s="2">
        <v>12</v>
      </c>
      <c r="O110" s="6">
        <v>270711.06</v>
      </c>
      <c r="P110" s="6">
        <v>22559.26</v>
      </c>
    </row>
    <row r="111" spans="1:16" outlineLevel="2" x14ac:dyDescent="0.2">
      <c r="A111" s="5">
        <v>46218</v>
      </c>
      <c r="B111" s="2">
        <v>160933</v>
      </c>
      <c r="C111" s="2">
        <v>1</v>
      </c>
      <c r="D111" s="2" t="s">
        <v>60</v>
      </c>
      <c r="E111" s="2" t="s">
        <v>61</v>
      </c>
      <c r="F111" s="2" t="s">
        <v>50</v>
      </c>
      <c r="G111" s="2" t="s">
        <v>22</v>
      </c>
      <c r="H111" s="2" t="s">
        <v>23</v>
      </c>
      <c r="I111" s="2" t="s">
        <v>23</v>
      </c>
      <c r="J111" s="2">
        <v>40</v>
      </c>
      <c r="K111" s="2" t="s">
        <v>62</v>
      </c>
      <c r="L111" s="2">
        <v>21</v>
      </c>
      <c r="M111" s="2" t="s">
        <v>63</v>
      </c>
      <c r="N111" s="2">
        <v>14</v>
      </c>
      <c r="O111" s="6">
        <v>468596.64</v>
      </c>
      <c r="P111" s="6">
        <v>33471.19</v>
      </c>
    </row>
    <row r="112" spans="1:16" outlineLevel="2" x14ac:dyDescent="0.2">
      <c r="A112" s="5">
        <v>46244</v>
      </c>
      <c r="B112" s="2">
        <v>161588</v>
      </c>
      <c r="C112" s="2">
        <v>5</v>
      </c>
      <c r="D112" s="2" t="s">
        <v>60</v>
      </c>
      <c r="E112" s="2" t="s">
        <v>61</v>
      </c>
      <c r="F112" s="2" t="s">
        <v>88</v>
      </c>
      <c r="G112" s="2" t="s">
        <v>22</v>
      </c>
      <c r="H112" s="2" t="s">
        <v>23</v>
      </c>
      <c r="I112" s="2" t="s">
        <v>23</v>
      </c>
      <c r="J112" s="2">
        <v>2</v>
      </c>
      <c r="K112" s="2" t="s">
        <v>155</v>
      </c>
      <c r="L112" s="2">
        <v>106</v>
      </c>
      <c r="M112" s="2" t="s">
        <v>156</v>
      </c>
      <c r="N112" s="2">
        <v>2</v>
      </c>
      <c r="O112" s="6">
        <v>72188.240000000005</v>
      </c>
      <c r="P112" s="6">
        <v>36094.120000000003</v>
      </c>
    </row>
    <row r="113" spans="1:16" outlineLevel="2" x14ac:dyDescent="0.2">
      <c r="A113" s="5">
        <v>46246</v>
      </c>
      <c r="B113" s="2">
        <v>161646</v>
      </c>
      <c r="C113" s="2">
        <v>6</v>
      </c>
      <c r="D113" s="2" t="s">
        <v>60</v>
      </c>
      <c r="E113" s="2" t="s">
        <v>61</v>
      </c>
      <c r="F113" s="2" t="s">
        <v>88</v>
      </c>
      <c r="G113" s="2" t="s">
        <v>22</v>
      </c>
      <c r="H113" s="2" t="s">
        <v>23</v>
      </c>
      <c r="I113" s="2" t="s">
        <v>23</v>
      </c>
      <c r="J113" s="2">
        <v>2</v>
      </c>
      <c r="K113" s="2" t="s">
        <v>155</v>
      </c>
      <c r="L113" s="2">
        <v>106</v>
      </c>
      <c r="M113" s="2" t="s">
        <v>156</v>
      </c>
      <c r="N113" s="2">
        <v>4</v>
      </c>
      <c r="O113" s="6">
        <v>137842.4</v>
      </c>
      <c r="P113" s="6">
        <v>34460.6</v>
      </c>
    </row>
    <row r="114" spans="1:16" outlineLevel="1" x14ac:dyDescent="0.2">
      <c r="A114" s="5"/>
      <c r="D114" s="4" t="s">
        <v>191</v>
      </c>
      <c r="E114" s="4"/>
      <c r="F114" s="4"/>
      <c r="G114" s="4"/>
      <c r="H114" s="4"/>
      <c r="I114" s="4"/>
      <c r="J114" s="4"/>
      <c r="K114" s="4"/>
      <c r="L114" s="4"/>
      <c r="M114" s="4"/>
      <c r="N114" s="4">
        <f>SUBTOTAL(9,N108:N113)</f>
        <v>40</v>
      </c>
      <c r="O114" s="7">
        <f>SUBTOTAL(9,O108:O113)</f>
        <v>1103986.0899999999</v>
      </c>
      <c r="P114" s="7">
        <f>+O114/N114</f>
        <v>27599.652249999996</v>
      </c>
    </row>
    <row r="115" spans="1:16" outlineLevel="2" x14ac:dyDescent="0.2">
      <c r="A115" s="5">
        <v>46237</v>
      </c>
      <c r="B115" s="2">
        <v>161399</v>
      </c>
      <c r="C115" s="2">
        <v>2</v>
      </c>
      <c r="D115" s="2" t="s">
        <v>35</v>
      </c>
      <c r="E115" s="2" t="s">
        <v>106</v>
      </c>
      <c r="F115" s="2" t="s">
        <v>28</v>
      </c>
      <c r="G115" s="2" t="s">
        <v>22</v>
      </c>
      <c r="H115" s="2" t="s">
        <v>23</v>
      </c>
      <c r="I115" s="2" t="s">
        <v>23</v>
      </c>
      <c r="J115" s="2">
        <v>1</v>
      </c>
      <c r="K115" s="2" t="s">
        <v>24</v>
      </c>
      <c r="L115" s="2">
        <v>2541</v>
      </c>
      <c r="M115" s="2" t="s">
        <v>37</v>
      </c>
      <c r="N115" s="2">
        <v>51</v>
      </c>
      <c r="O115" s="6">
        <v>3355771.71</v>
      </c>
      <c r="P115" s="6">
        <v>65799.45</v>
      </c>
    </row>
    <row r="116" spans="1:16" outlineLevel="2" x14ac:dyDescent="0.2">
      <c r="A116" s="5">
        <v>46244</v>
      </c>
      <c r="B116" s="2">
        <v>161583</v>
      </c>
      <c r="C116" s="2">
        <v>1</v>
      </c>
      <c r="D116" s="2" t="s">
        <v>35</v>
      </c>
      <c r="E116" s="2" t="s">
        <v>106</v>
      </c>
      <c r="F116" s="2" t="s">
        <v>28</v>
      </c>
      <c r="G116" s="2" t="s">
        <v>22</v>
      </c>
      <c r="H116" s="2" t="s">
        <v>23</v>
      </c>
      <c r="I116" s="2" t="s">
        <v>23</v>
      </c>
      <c r="J116" s="2">
        <v>1</v>
      </c>
      <c r="K116" s="2" t="s">
        <v>24</v>
      </c>
      <c r="L116" s="2">
        <v>2541</v>
      </c>
      <c r="M116" s="2" t="s">
        <v>37</v>
      </c>
      <c r="N116" s="2">
        <v>45</v>
      </c>
      <c r="O116" s="6">
        <v>2947848.53</v>
      </c>
      <c r="P116" s="6">
        <v>65507.75</v>
      </c>
    </row>
    <row r="117" spans="1:16" outlineLevel="2" x14ac:dyDescent="0.2">
      <c r="A117" s="5">
        <v>46244</v>
      </c>
      <c r="B117" s="2">
        <v>161583</v>
      </c>
      <c r="C117" s="2">
        <v>2</v>
      </c>
      <c r="D117" s="2" t="s">
        <v>35</v>
      </c>
      <c r="E117" s="2" t="s">
        <v>149</v>
      </c>
      <c r="F117" s="2" t="s">
        <v>28</v>
      </c>
      <c r="G117" s="2" t="s">
        <v>22</v>
      </c>
      <c r="H117" s="2" t="s">
        <v>23</v>
      </c>
      <c r="I117" s="2" t="s">
        <v>23</v>
      </c>
      <c r="J117" s="2">
        <v>1</v>
      </c>
      <c r="K117" s="2" t="s">
        <v>24</v>
      </c>
      <c r="L117" s="2">
        <v>2541</v>
      </c>
      <c r="M117" s="2" t="s">
        <v>37</v>
      </c>
      <c r="N117" s="2">
        <v>245</v>
      </c>
      <c r="O117" s="6">
        <v>17756730</v>
      </c>
      <c r="P117" s="6">
        <v>72476.45</v>
      </c>
    </row>
    <row r="118" spans="1:16" outlineLevel="2" x14ac:dyDescent="0.2">
      <c r="A118" s="5">
        <v>46195</v>
      </c>
      <c r="B118" s="2">
        <v>160340</v>
      </c>
      <c r="C118" s="2">
        <v>2</v>
      </c>
      <c r="D118" s="2" t="s">
        <v>35</v>
      </c>
      <c r="E118" s="2" t="s">
        <v>36</v>
      </c>
      <c r="F118" s="2" t="s">
        <v>28</v>
      </c>
      <c r="G118" s="2" t="s">
        <v>22</v>
      </c>
      <c r="H118" s="2" t="s">
        <v>23</v>
      </c>
      <c r="I118" s="2" t="s">
        <v>23</v>
      </c>
      <c r="J118" s="2">
        <v>1</v>
      </c>
      <c r="K118" s="2" t="s">
        <v>24</v>
      </c>
      <c r="L118" s="2">
        <v>2541</v>
      </c>
      <c r="M118" s="2" t="s">
        <v>37</v>
      </c>
      <c r="N118" s="2">
        <v>18</v>
      </c>
      <c r="O118" s="6">
        <v>992882.66</v>
      </c>
      <c r="P118" s="6">
        <v>55160.15</v>
      </c>
    </row>
    <row r="119" spans="1:16" outlineLevel="2" x14ac:dyDescent="0.2">
      <c r="A119" s="5">
        <v>46238</v>
      </c>
      <c r="B119" s="2">
        <v>161095</v>
      </c>
      <c r="C119" s="2">
        <v>3</v>
      </c>
      <c r="D119" s="2" t="s">
        <v>35</v>
      </c>
      <c r="E119" s="2" t="s">
        <v>36</v>
      </c>
      <c r="F119" s="2" t="s">
        <v>28</v>
      </c>
      <c r="G119" s="2" t="s">
        <v>22</v>
      </c>
      <c r="H119" s="2" t="s">
        <v>23</v>
      </c>
      <c r="I119" s="2" t="s">
        <v>23</v>
      </c>
      <c r="J119" s="2">
        <v>1</v>
      </c>
      <c r="K119" s="2" t="s">
        <v>24</v>
      </c>
      <c r="L119" s="2">
        <v>2541</v>
      </c>
      <c r="M119" s="2" t="s">
        <v>37</v>
      </c>
      <c r="N119" s="2">
        <v>4</v>
      </c>
      <c r="O119" s="6">
        <v>73435.08</v>
      </c>
      <c r="P119" s="6">
        <v>18358.77</v>
      </c>
    </row>
    <row r="120" spans="1:16" outlineLevel="2" x14ac:dyDescent="0.2">
      <c r="A120" s="5">
        <v>46246</v>
      </c>
      <c r="B120" s="2">
        <v>161095</v>
      </c>
      <c r="C120" s="2">
        <v>4</v>
      </c>
      <c r="D120" s="2" t="s">
        <v>35</v>
      </c>
      <c r="E120" s="2" t="s">
        <v>36</v>
      </c>
      <c r="F120" s="2" t="s">
        <v>28</v>
      </c>
      <c r="G120" s="2" t="s">
        <v>22</v>
      </c>
      <c r="H120" s="2" t="s">
        <v>23</v>
      </c>
      <c r="I120" s="2" t="s">
        <v>23</v>
      </c>
      <c r="J120" s="2">
        <v>86</v>
      </c>
      <c r="K120" s="2" t="s">
        <v>78</v>
      </c>
      <c r="L120" s="2">
        <v>2541</v>
      </c>
      <c r="M120" s="2" t="s">
        <v>37</v>
      </c>
      <c r="N120" s="2">
        <v>4</v>
      </c>
      <c r="O120" s="6">
        <v>148110.24</v>
      </c>
      <c r="P120" s="6">
        <v>37027.56</v>
      </c>
    </row>
    <row r="121" spans="1:16" outlineLevel="2" x14ac:dyDescent="0.2">
      <c r="A121" s="5">
        <v>46246</v>
      </c>
      <c r="B121" s="2">
        <v>161208</v>
      </c>
      <c r="C121" s="2">
        <v>2</v>
      </c>
      <c r="D121" s="2" t="s">
        <v>35</v>
      </c>
      <c r="E121" s="2" t="s">
        <v>36</v>
      </c>
      <c r="F121" s="2" t="s">
        <v>28</v>
      </c>
      <c r="G121" s="2" t="s">
        <v>22</v>
      </c>
      <c r="H121" s="2" t="s">
        <v>23</v>
      </c>
      <c r="I121" s="2" t="s">
        <v>23</v>
      </c>
      <c r="J121" s="2">
        <v>86</v>
      </c>
      <c r="K121" s="2" t="s">
        <v>78</v>
      </c>
      <c r="L121" s="2">
        <v>2541</v>
      </c>
      <c r="M121" s="2" t="s">
        <v>37</v>
      </c>
      <c r="N121" s="2">
        <v>5</v>
      </c>
      <c r="O121" s="6">
        <v>185137.8</v>
      </c>
      <c r="P121" s="6">
        <v>37027.56</v>
      </c>
    </row>
    <row r="122" spans="1:16" outlineLevel="1" x14ac:dyDescent="0.2">
      <c r="A122" s="5"/>
      <c r="D122" s="4" t="s">
        <v>192</v>
      </c>
      <c r="E122" s="4"/>
      <c r="F122" s="4"/>
      <c r="G122" s="4"/>
      <c r="H122" s="4"/>
      <c r="I122" s="4"/>
      <c r="J122" s="4"/>
      <c r="K122" s="4"/>
      <c r="L122" s="4"/>
      <c r="M122" s="4"/>
      <c r="N122" s="4">
        <f>SUBTOTAL(9,N115:N121)</f>
        <v>372</v>
      </c>
      <c r="O122" s="7">
        <f>SUBTOTAL(9,O115:O121)</f>
        <v>25459916.02</v>
      </c>
      <c r="P122" s="7">
        <f>+O122/N122</f>
        <v>68440.63446236559</v>
      </c>
    </row>
    <row r="123" spans="1:16" x14ac:dyDescent="0.2">
      <c r="A123" s="5"/>
      <c r="D123" s="4" t="s">
        <v>193</v>
      </c>
      <c r="E123" s="4"/>
      <c r="F123" s="4"/>
      <c r="G123" s="4"/>
      <c r="H123" s="4"/>
      <c r="I123" s="4"/>
      <c r="J123" s="4"/>
      <c r="K123" s="4"/>
      <c r="L123" s="4"/>
      <c r="M123" s="4"/>
      <c r="N123" s="4">
        <f>SUBTOTAL(9,N5:N121)</f>
        <v>3918</v>
      </c>
      <c r="O123" s="7">
        <f>SUBTOTAL(9,O5:O121)</f>
        <v>119360808.78</v>
      </c>
      <c r="P123" s="7"/>
    </row>
  </sheetData>
  <sortState ref="A5:P95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2026-08-12T16:41:34Z</dcterms:created>
  <dcterms:modified xsi:type="dcterms:W3CDTF">2026-08-12T16:42:33Z</dcterms:modified>
</cp:coreProperties>
</file>