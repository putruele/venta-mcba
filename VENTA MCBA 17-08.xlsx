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Usuario\LORENA\"/>
    </mc:Choice>
  </mc:AlternateContent>
  <bookViews>
    <workbookView xWindow="0" yWindow="0" windowWidth="15360" windowHeight="958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" i="1" l="1"/>
  <c r="P9" i="1"/>
  <c r="P11" i="1"/>
  <c r="P19" i="1"/>
  <c r="P26" i="1"/>
  <c r="P29" i="1"/>
  <c r="P31" i="1"/>
  <c r="P36" i="1"/>
  <c r="P40" i="1"/>
  <c r="P42" i="1"/>
  <c r="P44" i="1"/>
  <c r="P46" i="1"/>
  <c r="P49" i="1"/>
  <c r="P51" i="1"/>
  <c r="P54" i="1"/>
  <c r="P56" i="1"/>
  <c r="P61" i="1"/>
  <c r="P63" i="1"/>
  <c r="P65" i="1"/>
  <c r="P71" i="1"/>
  <c r="P75" i="1"/>
  <c r="P77" i="1"/>
  <c r="P79" i="1"/>
  <c r="P81" i="1"/>
  <c r="P84" i="1"/>
  <c r="P86" i="1"/>
  <c r="P91" i="1"/>
  <c r="P94" i="1"/>
  <c r="P96" i="1"/>
  <c r="P106" i="1"/>
  <c r="P112" i="1"/>
  <c r="P114" i="1"/>
  <c r="O115" i="1"/>
  <c r="N115" i="1"/>
  <c r="O114" i="1"/>
  <c r="N114" i="1"/>
  <c r="O112" i="1"/>
  <c r="N112" i="1"/>
  <c r="O106" i="1"/>
  <c r="N106" i="1"/>
  <c r="O96" i="1"/>
  <c r="N96" i="1"/>
  <c r="O94" i="1"/>
  <c r="N94" i="1"/>
  <c r="O91" i="1"/>
  <c r="N91" i="1"/>
  <c r="O86" i="1"/>
  <c r="N86" i="1"/>
  <c r="O84" i="1"/>
  <c r="N84" i="1"/>
  <c r="O81" i="1"/>
  <c r="N81" i="1"/>
  <c r="O79" i="1"/>
  <c r="N79" i="1"/>
  <c r="O77" i="1"/>
  <c r="N77" i="1"/>
  <c r="O75" i="1"/>
  <c r="N75" i="1"/>
  <c r="O71" i="1"/>
  <c r="N71" i="1"/>
  <c r="O65" i="1"/>
  <c r="N65" i="1"/>
  <c r="O63" i="1"/>
  <c r="N63" i="1"/>
  <c r="O61" i="1"/>
  <c r="N61" i="1"/>
  <c r="O56" i="1"/>
  <c r="N56" i="1"/>
  <c r="O54" i="1"/>
  <c r="N54" i="1"/>
  <c r="O51" i="1"/>
  <c r="N51" i="1"/>
  <c r="O49" i="1"/>
  <c r="N49" i="1"/>
  <c r="O46" i="1"/>
  <c r="N46" i="1"/>
  <c r="O44" i="1"/>
  <c r="N44" i="1"/>
  <c r="O42" i="1"/>
  <c r="N42" i="1"/>
  <c r="O40" i="1"/>
  <c r="N40" i="1"/>
  <c r="O36" i="1"/>
  <c r="N36" i="1"/>
  <c r="O31" i="1"/>
  <c r="N31" i="1"/>
  <c r="O29" i="1"/>
  <c r="N29" i="1"/>
  <c r="O26" i="1"/>
  <c r="N26" i="1"/>
  <c r="O19" i="1"/>
  <c r="N19" i="1"/>
  <c r="O11" i="1"/>
  <c r="N11" i="1"/>
  <c r="O9" i="1"/>
  <c r="N9" i="1"/>
  <c r="O7" i="1"/>
  <c r="N7" i="1"/>
</calcChain>
</file>

<file path=xl/sharedStrings.xml><?xml version="1.0" encoding="utf-8"?>
<sst xmlns="http://schemas.openxmlformats.org/spreadsheetml/2006/main" count="676" uniqueCount="195">
  <si>
    <t>2026.08.17 14:08:11 SUCU:   2 CAJA: 1</t>
  </si>
  <si>
    <t xml:space="preserve">PUTRUELE HNOS. S.A.A.I.C.  </t>
  </si>
  <si>
    <t>LS040-VENTAS PERIODO:17/08/26-17/08/26</t>
  </si>
  <si>
    <t>fecha</t>
  </si>
  <si>
    <t>it1</t>
  </si>
  <si>
    <t>it2</t>
  </si>
  <si>
    <t>especie</t>
  </si>
  <si>
    <t>variedad</t>
  </si>
  <si>
    <t>zp</t>
  </si>
  <si>
    <t>calidad</t>
  </si>
  <si>
    <t>present</t>
  </si>
  <si>
    <t>tamano</t>
  </si>
  <si>
    <t>codenv</t>
  </si>
  <si>
    <t>nomenv</t>
  </si>
  <si>
    <t>codprv</t>
  </si>
  <si>
    <t>nomprv</t>
  </si>
  <si>
    <t>ventas</t>
  </si>
  <si>
    <t>recaudado</t>
  </si>
  <si>
    <t>promedio</t>
  </si>
  <si>
    <t xml:space="preserve">TOMATE    </t>
  </si>
  <si>
    <t xml:space="preserve">PERITA    </t>
  </si>
  <si>
    <t xml:space="preserve">BS.AS.    </t>
  </si>
  <si>
    <t xml:space="preserve">ELG       </t>
  </si>
  <si>
    <t xml:space="preserve">          </t>
  </si>
  <si>
    <t xml:space="preserve">C/M       </t>
  </si>
  <si>
    <t xml:space="preserve">PRODUCTOS      </t>
  </si>
  <si>
    <t xml:space="preserve">NARANJA   </t>
  </si>
  <si>
    <t xml:space="preserve">JUGO      </t>
  </si>
  <si>
    <t xml:space="preserve">E.R.      </t>
  </si>
  <si>
    <t xml:space="preserve">CARLINO AL     </t>
  </si>
  <si>
    <t xml:space="preserve">MELON     </t>
  </si>
  <si>
    <t>AMARILLO S</t>
  </si>
  <si>
    <t xml:space="preserve">BRASIL    </t>
  </si>
  <si>
    <t xml:space="preserve">5         </t>
  </si>
  <si>
    <t xml:space="preserve">C/C       </t>
  </si>
  <si>
    <t xml:space="preserve">DINA INDUS     </t>
  </si>
  <si>
    <t xml:space="preserve">AMARILLO  </t>
  </si>
  <si>
    <t xml:space="preserve">CAT I     </t>
  </si>
  <si>
    <t xml:space="preserve">N§9       </t>
  </si>
  <si>
    <t xml:space="preserve">N§6       </t>
  </si>
  <si>
    <t xml:space="preserve">NORFFRUIT      </t>
  </si>
  <si>
    <t xml:space="preserve">JENGIBRE  </t>
  </si>
  <si>
    <t xml:space="preserve">ENLU-COMER     </t>
  </si>
  <si>
    <t xml:space="preserve">COCO      </t>
  </si>
  <si>
    <t xml:space="preserve">BAHIA     </t>
  </si>
  <si>
    <t xml:space="preserve">BLS       </t>
  </si>
  <si>
    <t xml:space="preserve">UVA       </t>
  </si>
  <si>
    <t>SUGAR CRIS</t>
  </si>
  <si>
    <t xml:space="preserve">SERRA BRAN     </t>
  </si>
  <si>
    <t xml:space="preserve">KIWI      </t>
  </si>
  <si>
    <t xml:space="preserve">SUN GOLD  </t>
  </si>
  <si>
    <t>NUEVA ZELA</t>
  </si>
  <si>
    <t xml:space="preserve">T.30      </t>
  </si>
  <si>
    <t xml:space="preserve">ZESPRI INT     </t>
  </si>
  <si>
    <t xml:space="preserve">LIMA      </t>
  </si>
  <si>
    <t xml:space="preserve">TAHITI    </t>
  </si>
  <si>
    <t xml:space="preserve">ESPARRAGO </t>
  </si>
  <si>
    <t xml:space="preserve">PAQUETE   </t>
  </si>
  <si>
    <t xml:space="preserve">PAQUETES  </t>
  </si>
  <si>
    <t xml:space="preserve">PRIME TIME     </t>
  </si>
  <si>
    <t xml:space="preserve">C/CUB     </t>
  </si>
  <si>
    <t>RACIMO ROJ</t>
  </si>
  <si>
    <t xml:space="preserve">CTES.     </t>
  </si>
  <si>
    <t xml:space="preserve">BAND      </t>
  </si>
  <si>
    <t xml:space="preserve">FINCA LA J     </t>
  </si>
  <si>
    <t xml:space="preserve">CHERRY    </t>
  </si>
  <si>
    <t xml:space="preserve">PALTA     </t>
  </si>
  <si>
    <t xml:space="preserve">HASS      </t>
  </si>
  <si>
    <t xml:space="preserve">CAT 2     </t>
  </si>
  <si>
    <t xml:space="preserve">16-20     </t>
  </si>
  <si>
    <t xml:space="preserve">C/PL      </t>
  </si>
  <si>
    <t xml:space="preserve">OTAVIO RES     </t>
  </si>
  <si>
    <t xml:space="preserve">CHILE     </t>
  </si>
  <si>
    <t xml:space="preserve">84        </t>
  </si>
  <si>
    <t xml:space="preserve">EXPOR PROP     </t>
  </si>
  <si>
    <t>AGUA DE CO</t>
  </si>
  <si>
    <t xml:space="preserve">16        </t>
  </si>
  <si>
    <t xml:space="preserve">JOSE ALCID     </t>
  </si>
  <si>
    <t>PALTA PILA</t>
  </si>
  <si>
    <t xml:space="preserve">PILAR     </t>
  </si>
  <si>
    <t xml:space="preserve">BOLSONELLA     </t>
  </si>
  <si>
    <t xml:space="preserve">PI¥A      </t>
  </si>
  <si>
    <t xml:space="preserve">ECUADOR   </t>
  </si>
  <si>
    <t xml:space="preserve">PI¥AS RICA     </t>
  </si>
  <si>
    <t xml:space="preserve">VERDE     </t>
  </si>
  <si>
    <t xml:space="preserve">CBA       </t>
  </si>
  <si>
    <t xml:space="preserve">GREEN PATA     </t>
  </si>
  <si>
    <t xml:space="preserve">MANZANA   </t>
  </si>
  <si>
    <t>SUPER CHIE</t>
  </si>
  <si>
    <t xml:space="preserve">R.N.      </t>
  </si>
  <si>
    <t xml:space="preserve">CELESTINO </t>
  </si>
  <si>
    <t xml:space="preserve">CELESTINO      </t>
  </si>
  <si>
    <t xml:space="preserve">PERA      </t>
  </si>
  <si>
    <t xml:space="preserve">PACKHAM S </t>
  </si>
  <si>
    <t xml:space="preserve">1/2 CAJA  </t>
  </si>
  <si>
    <t xml:space="preserve">T.16      </t>
  </si>
  <si>
    <t xml:space="preserve">LIMON     </t>
  </si>
  <si>
    <t xml:space="preserve">EUREKA    </t>
  </si>
  <si>
    <t xml:space="preserve">TMAN      </t>
  </si>
  <si>
    <t xml:space="preserve">AGRO ALIAN     </t>
  </si>
  <si>
    <t>PORTOBELLO</t>
  </si>
  <si>
    <t xml:space="preserve">HONGOS DEL     </t>
  </si>
  <si>
    <t xml:space="preserve">PERU      </t>
  </si>
  <si>
    <t xml:space="preserve">RAMA      </t>
  </si>
  <si>
    <t xml:space="preserve">FINCA EL R     </t>
  </si>
  <si>
    <t xml:space="preserve">MANGO     </t>
  </si>
  <si>
    <t xml:space="preserve">TOMMY     </t>
  </si>
  <si>
    <t xml:space="preserve">T.12      </t>
  </si>
  <si>
    <t xml:space="preserve">SPECIAL FR     </t>
  </si>
  <si>
    <t xml:space="preserve">T.14      </t>
  </si>
  <si>
    <t>AUTUN CRIS</t>
  </si>
  <si>
    <t xml:space="preserve">RED GLOBE </t>
  </si>
  <si>
    <t xml:space="preserve">CIRUELA   </t>
  </si>
  <si>
    <t>CRIMSON GL</t>
  </si>
  <si>
    <t xml:space="preserve">ESPA¥A    </t>
  </si>
  <si>
    <t xml:space="preserve">60-65     </t>
  </si>
  <si>
    <t xml:space="preserve">FRUTINA IM     </t>
  </si>
  <si>
    <t>PRIME TIME</t>
  </si>
  <si>
    <t xml:space="preserve">INKA SELEC     </t>
  </si>
  <si>
    <t xml:space="preserve">ARANDANO  </t>
  </si>
  <si>
    <t>SNOWCHASER</t>
  </si>
  <si>
    <t xml:space="preserve">GRAMM AGRO     </t>
  </si>
  <si>
    <t xml:space="preserve">FRUTILLA  </t>
  </si>
  <si>
    <t xml:space="preserve">S.FE      </t>
  </si>
  <si>
    <t xml:space="preserve">GARCIA Y G     </t>
  </si>
  <si>
    <t xml:space="preserve">ZAPALLITO </t>
  </si>
  <si>
    <t xml:space="preserve">REDONDO   </t>
  </si>
  <si>
    <t xml:space="preserve">CAMINO FER     </t>
  </si>
  <si>
    <t xml:space="preserve">SANDIA    </t>
  </si>
  <si>
    <t xml:space="preserve">BABY      </t>
  </si>
  <si>
    <t xml:space="preserve">POTIS SRL      </t>
  </si>
  <si>
    <t>CHAMPIG¥ON</t>
  </si>
  <si>
    <t xml:space="preserve">C/VERDE   </t>
  </si>
  <si>
    <t xml:space="preserve">C-AZUL    </t>
  </si>
  <si>
    <t xml:space="preserve">SEG.      </t>
  </si>
  <si>
    <t xml:space="preserve">REPOLLITO </t>
  </si>
  <si>
    <t xml:space="preserve">BRUSELA   </t>
  </si>
  <si>
    <t xml:space="preserve">GUILLERMO      </t>
  </si>
  <si>
    <t xml:space="preserve">A.ROCKY S.     </t>
  </si>
  <si>
    <t xml:space="preserve">PAPA      </t>
  </si>
  <si>
    <t xml:space="preserve">LAVADA    </t>
  </si>
  <si>
    <t>PALTA NUEV</t>
  </si>
  <si>
    <t xml:space="preserve">BONELLA        </t>
  </si>
  <si>
    <t xml:space="preserve">18        </t>
  </si>
  <si>
    <t xml:space="preserve">24        </t>
  </si>
  <si>
    <t xml:space="preserve">MAMON     </t>
  </si>
  <si>
    <t xml:space="preserve">FORMOSA   </t>
  </si>
  <si>
    <t xml:space="preserve">PAPIN     </t>
  </si>
  <si>
    <t xml:space="preserve">AGATA     </t>
  </si>
  <si>
    <t xml:space="preserve">MORRON    </t>
  </si>
  <si>
    <t xml:space="preserve">ROJO      </t>
  </si>
  <si>
    <t xml:space="preserve">SJN       </t>
  </si>
  <si>
    <t xml:space="preserve">PUTRUELE H     </t>
  </si>
  <si>
    <t xml:space="preserve">BANANA    </t>
  </si>
  <si>
    <t xml:space="preserve">DON JAIME      </t>
  </si>
  <si>
    <t xml:space="preserve">RACIMO    </t>
  </si>
  <si>
    <t xml:space="preserve">RAF NEGRO </t>
  </si>
  <si>
    <t xml:space="preserve">CIRUELE   </t>
  </si>
  <si>
    <t>RACIMO PER</t>
  </si>
  <si>
    <t>RACIMO RED</t>
  </si>
  <si>
    <t>NEGRO COMU</t>
  </si>
  <si>
    <t>ROJO COMUN</t>
  </si>
  <si>
    <t>Total AGUA DE CO</t>
  </si>
  <si>
    <t xml:space="preserve">Total ARANDANO  </t>
  </si>
  <si>
    <t xml:space="preserve">Total BANANA    </t>
  </si>
  <si>
    <t>Total CHAMPIG¥ON</t>
  </si>
  <si>
    <t xml:space="preserve">Total CHERRY    </t>
  </si>
  <si>
    <t xml:space="preserve">Total CIRUELA   </t>
  </si>
  <si>
    <t xml:space="preserve">Total COCO      </t>
  </si>
  <si>
    <t xml:space="preserve">Total ESPARRAGO </t>
  </si>
  <si>
    <t xml:space="preserve">Total FRUTILLA  </t>
  </si>
  <si>
    <t xml:space="preserve">Total JENGIBRE  </t>
  </si>
  <si>
    <t xml:space="preserve">Total KIWI      </t>
  </si>
  <si>
    <t xml:space="preserve">Total LIMA      </t>
  </si>
  <si>
    <t xml:space="preserve">Total LIMON     </t>
  </si>
  <si>
    <t xml:space="preserve">Total MAMON     </t>
  </si>
  <si>
    <t xml:space="preserve">Total MANGO     </t>
  </si>
  <si>
    <t xml:space="preserve">Total MANZANA   </t>
  </si>
  <si>
    <t xml:space="preserve">Total MELON     </t>
  </si>
  <si>
    <t xml:space="preserve">Total MORRON    </t>
  </si>
  <si>
    <t xml:space="preserve">Total NARANJA   </t>
  </si>
  <si>
    <t xml:space="preserve">Total PALTA     </t>
  </si>
  <si>
    <t>Total PALTA NUEV</t>
  </si>
  <si>
    <t>Total PALTA PILA</t>
  </si>
  <si>
    <t xml:space="preserve">Total PAPA      </t>
  </si>
  <si>
    <t xml:space="preserve">Total PAPIN     </t>
  </si>
  <si>
    <t xml:space="preserve">Total PERA      </t>
  </si>
  <si>
    <t xml:space="preserve">Total PI¥A      </t>
  </si>
  <si>
    <t>Total PORTOBELLO</t>
  </si>
  <si>
    <t xml:space="preserve">Total REPOLLITO </t>
  </si>
  <si>
    <t xml:space="preserve">Total SANDIA    </t>
  </si>
  <si>
    <t xml:space="preserve">Total TOMATE    </t>
  </si>
  <si>
    <t xml:space="preserve">Total UVA       </t>
  </si>
  <si>
    <t xml:space="preserve">Total ZAPALLITO 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</si>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</sst>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2C0A]\ #,##0.00"/>
  </numFmts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quotePrefix="1" applyFont="1"/>
    <xf numFmtId="0" fontId="2" fillId="0" borderId="0" xfId="0" applyFont="1"/>
    <xf numFmtId="0" fontId="1" fillId="0" borderId="0" xfId="0" applyFont="1"/>
    <xf numFmtId="0" fontId="1" fillId="2" borderId="0" xfId="0" applyFont="1" applyFill="1" applyAlignment="1">
      <alignment horizontal="center"/>
    </xf>
    <xf numFmtId="14" fontId="2" fillId="0" borderId="0" xfId="0" applyNumberFormat="1" applyFont="1"/>
    <xf numFmtId="164" fontId="2" fillId="0" borderId="0" xfId="0" applyNumberFormat="1" applyFont="1"/>
    <xf numFmtId="16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5"/>
  <sheetViews>
    <sheetView tabSelected="1" topLeftCell="A97" workbookViewId="0">
      <selection activeCell="D116" sqref="D116"/>
    </sheetView>
  </sheetViews>
  <sheetFormatPr baseColWidth="10" defaultRowHeight="11.25" outlineLevelRow="2" x14ac:dyDescent="0.2"/>
  <cols>
    <col min="1" max="14" width="11.42578125" style="2"/>
    <col min="15" max="15" width="12" style="6" bestFit="1" customWidth="1"/>
    <col min="16" max="16" width="11.5703125" style="6" bestFit="1" customWidth="1"/>
    <col min="17" max="16384" width="11.42578125" style="2"/>
  </cols>
  <sheetData>
    <row r="1" spans="1:16" x14ac:dyDescent="0.2">
      <c r="A1" s="1" t="s">
        <v>0</v>
      </c>
    </row>
    <row r="2" spans="1:16" x14ac:dyDescent="0.2">
      <c r="A2" s="3" t="s">
        <v>1</v>
      </c>
    </row>
    <row r="3" spans="1:16" x14ac:dyDescent="0.2">
      <c r="A3" s="3" t="s">
        <v>2</v>
      </c>
    </row>
    <row r="4" spans="1:16" x14ac:dyDescent="0.2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7" t="s">
        <v>17</v>
      </c>
      <c r="P4" s="7" t="s">
        <v>18</v>
      </c>
    </row>
    <row r="5" spans="1:16" outlineLevel="2" x14ac:dyDescent="0.2">
      <c r="A5" s="5">
        <v>46237</v>
      </c>
      <c r="B5" s="2">
        <v>161333</v>
      </c>
      <c r="C5" s="2">
        <v>2</v>
      </c>
      <c r="D5" s="2" t="s">
        <v>75</v>
      </c>
      <c r="E5" s="2" t="s">
        <v>23</v>
      </c>
      <c r="F5" s="2" t="s">
        <v>32</v>
      </c>
      <c r="G5" s="2" t="s">
        <v>22</v>
      </c>
      <c r="H5" s="2" t="s">
        <v>23</v>
      </c>
      <c r="I5" s="2" t="s">
        <v>23</v>
      </c>
      <c r="J5" s="2">
        <v>1</v>
      </c>
      <c r="K5" s="2" t="s">
        <v>34</v>
      </c>
      <c r="L5" s="2">
        <v>2521</v>
      </c>
      <c r="M5" s="2" t="s">
        <v>42</v>
      </c>
      <c r="N5" s="2">
        <v>1</v>
      </c>
      <c r="O5" s="6">
        <v>44495.07</v>
      </c>
      <c r="P5" s="6">
        <v>44495.07</v>
      </c>
    </row>
    <row r="6" spans="1:16" outlineLevel="2" x14ac:dyDescent="0.2">
      <c r="A6" s="5">
        <v>46251</v>
      </c>
      <c r="B6" s="2">
        <v>161722</v>
      </c>
      <c r="C6" s="2">
        <v>1</v>
      </c>
      <c r="D6" s="2" t="s">
        <v>75</v>
      </c>
      <c r="E6" s="2" t="s">
        <v>23</v>
      </c>
      <c r="F6" s="2" t="s">
        <v>32</v>
      </c>
      <c r="G6" s="2" t="s">
        <v>22</v>
      </c>
      <c r="H6" s="2" t="s">
        <v>23</v>
      </c>
      <c r="I6" s="2" t="s">
        <v>23</v>
      </c>
      <c r="J6" s="2">
        <v>1</v>
      </c>
      <c r="K6" s="2" t="s">
        <v>34</v>
      </c>
      <c r="L6" s="2">
        <v>2521</v>
      </c>
      <c r="M6" s="2" t="s">
        <v>42</v>
      </c>
      <c r="N6" s="2">
        <v>28</v>
      </c>
      <c r="O6" s="6">
        <v>1231546.92</v>
      </c>
      <c r="P6" s="6">
        <v>43983.82</v>
      </c>
    </row>
    <row r="7" spans="1:16" outlineLevel="1" x14ac:dyDescent="0.2">
      <c r="A7" s="5"/>
      <c r="D7" s="4" t="s">
        <v>162</v>
      </c>
      <c r="E7" s="4"/>
      <c r="F7" s="4"/>
      <c r="G7" s="4"/>
      <c r="H7" s="4"/>
      <c r="I7" s="4"/>
      <c r="J7" s="4"/>
      <c r="K7" s="4"/>
      <c r="L7" s="4"/>
      <c r="M7" s="4"/>
      <c r="N7" s="4">
        <f>SUBTOTAL(9,N5:N6)</f>
        <v>29</v>
      </c>
      <c r="O7" s="7">
        <f>SUBTOTAL(9,O5:O6)</f>
        <v>1276041.99</v>
      </c>
      <c r="P7" s="7">
        <f>+O7/N7</f>
        <v>44001.447931034483</v>
      </c>
    </row>
    <row r="8" spans="1:16" outlineLevel="2" x14ac:dyDescent="0.2">
      <c r="A8" s="5">
        <v>46246</v>
      </c>
      <c r="B8" s="2">
        <v>161600</v>
      </c>
      <c r="C8" s="2">
        <v>1</v>
      </c>
      <c r="D8" s="2" t="s">
        <v>119</v>
      </c>
      <c r="E8" s="2" t="s">
        <v>120</v>
      </c>
      <c r="F8" s="2" t="s">
        <v>28</v>
      </c>
      <c r="G8" s="2" t="s">
        <v>22</v>
      </c>
      <c r="H8" s="2" t="s">
        <v>23</v>
      </c>
      <c r="I8" s="2" t="s">
        <v>23</v>
      </c>
      <c r="J8" s="2">
        <v>86</v>
      </c>
      <c r="K8" s="2" t="s">
        <v>60</v>
      </c>
      <c r="L8" s="2">
        <v>896</v>
      </c>
      <c r="M8" s="2" t="s">
        <v>121</v>
      </c>
      <c r="N8" s="2">
        <v>58</v>
      </c>
      <c r="O8" s="6">
        <v>762061.21</v>
      </c>
      <c r="P8" s="6">
        <v>13138.99</v>
      </c>
    </row>
    <row r="9" spans="1:16" outlineLevel="1" x14ac:dyDescent="0.2">
      <c r="A9" s="5"/>
      <c r="D9" s="4" t="s">
        <v>163</v>
      </c>
      <c r="E9" s="4"/>
      <c r="F9" s="4"/>
      <c r="G9" s="4"/>
      <c r="H9" s="4"/>
      <c r="I9" s="4"/>
      <c r="J9" s="4"/>
      <c r="K9" s="4"/>
      <c r="L9" s="4"/>
      <c r="M9" s="4"/>
      <c r="N9" s="4">
        <f>SUBTOTAL(9,N8:N8)</f>
        <v>58</v>
      </c>
      <c r="O9" s="7">
        <f>SUBTOTAL(9,O8:O8)</f>
        <v>762061.21</v>
      </c>
      <c r="P9" s="7">
        <f>+O9/N9</f>
        <v>13138.986379310345</v>
      </c>
    </row>
    <row r="10" spans="1:16" outlineLevel="2" x14ac:dyDescent="0.2">
      <c r="A10" s="5">
        <v>46251</v>
      </c>
      <c r="B10" s="2">
        <v>161742</v>
      </c>
      <c r="C10" s="2">
        <v>1</v>
      </c>
      <c r="D10" s="2" t="s">
        <v>153</v>
      </c>
      <c r="E10" s="2" t="s">
        <v>23</v>
      </c>
      <c r="F10" s="2" t="s">
        <v>82</v>
      </c>
      <c r="G10" s="2" t="s">
        <v>22</v>
      </c>
      <c r="H10" s="2" t="s">
        <v>23</v>
      </c>
      <c r="I10" s="2" t="s">
        <v>23</v>
      </c>
      <c r="J10" s="2">
        <v>1</v>
      </c>
      <c r="K10" s="2" t="s">
        <v>34</v>
      </c>
      <c r="L10" s="2">
        <v>1503</v>
      </c>
      <c r="M10" s="2" t="s">
        <v>154</v>
      </c>
      <c r="N10" s="2">
        <v>24</v>
      </c>
      <c r="O10" s="6">
        <v>1212564.6399999999</v>
      </c>
      <c r="P10" s="6">
        <v>50523.53</v>
      </c>
    </row>
    <row r="11" spans="1:16" outlineLevel="1" x14ac:dyDescent="0.2">
      <c r="A11" s="5"/>
      <c r="D11" s="4" t="s">
        <v>164</v>
      </c>
      <c r="E11" s="4"/>
      <c r="F11" s="4"/>
      <c r="G11" s="4"/>
      <c r="H11" s="4"/>
      <c r="I11" s="4"/>
      <c r="J11" s="4"/>
      <c r="K11" s="4"/>
      <c r="L11" s="4"/>
      <c r="M11" s="4"/>
      <c r="N11" s="4">
        <f>SUBTOTAL(9,N10:N10)</f>
        <v>24</v>
      </c>
      <c r="O11" s="7">
        <f>SUBTOTAL(9,O10:O10)</f>
        <v>1212564.6399999999</v>
      </c>
      <c r="P11" s="7">
        <f>+O11/N11</f>
        <v>50523.526666666665</v>
      </c>
    </row>
    <row r="12" spans="1:16" outlineLevel="2" x14ac:dyDescent="0.2">
      <c r="A12" s="5">
        <v>46248</v>
      </c>
      <c r="B12" s="2">
        <v>161627</v>
      </c>
      <c r="C12" s="2">
        <v>2</v>
      </c>
      <c r="D12" s="2" t="s">
        <v>131</v>
      </c>
      <c r="E12" s="2" t="s">
        <v>23</v>
      </c>
      <c r="F12" s="2" t="s">
        <v>21</v>
      </c>
      <c r="G12" s="2" t="s">
        <v>22</v>
      </c>
      <c r="H12" s="2" t="s">
        <v>132</v>
      </c>
      <c r="I12" s="2" t="s">
        <v>23</v>
      </c>
      <c r="J12" s="2">
        <v>41</v>
      </c>
      <c r="K12" s="2" t="s">
        <v>63</v>
      </c>
      <c r="L12" s="2">
        <v>25213</v>
      </c>
      <c r="M12" s="2" t="s">
        <v>101</v>
      </c>
      <c r="N12" s="2">
        <v>4</v>
      </c>
      <c r="O12" s="6">
        <v>13695</v>
      </c>
      <c r="P12" s="6">
        <v>3423.75</v>
      </c>
    </row>
    <row r="13" spans="1:16" outlineLevel="2" x14ac:dyDescent="0.2">
      <c r="A13" s="5">
        <v>46248</v>
      </c>
      <c r="B13" s="2">
        <v>161627</v>
      </c>
      <c r="C13" s="2">
        <v>3</v>
      </c>
      <c r="D13" s="2" t="s">
        <v>131</v>
      </c>
      <c r="E13" s="2" t="s">
        <v>23</v>
      </c>
      <c r="F13" s="2" t="s">
        <v>21</v>
      </c>
      <c r="G13" s="2" t="s">
        <v>22</v>
      </c>
      <c r="H13" s="2" t="s">
        <v>133</v>
      </c>
      <c r="I13" s="2" t="s">
        <v>23</v>
      </c>
      <c r="J13" s="2">
        <v>41</v>
      </c>
      <c r="K13" s="2" t="s">
        <v>63</v>
      </c>
      <c r="L13" s="2">
        <v>25213</v>
      </c>
      <c r="M13" s="2" t="s">
        <v>101</v>
      </c>
      <c r="N13" s="2">
        <v>1</v>
      </c>
      <c r="O13" s="6">
        <v>3890.48</v>
      </c>
      <c r="P13" s="6">
        <v>3890.48</v>
      </c>
    </row>
    <row r="14" spans="1:16" outlineLevel="2" x14ac:dyDescent="0.2">
      <c r="A14" s="5">
        <v>46248</v>
      </c>
      <c r="B14" s="2">
        <v>161627</v>
      </c>
      <c r="C14" s="2">
        <v>5</v>
      </c>
      <c r="D14" s="2" t="s">
        <v>131</v>
      </c>
      <c r="E14" s="2" t="s">
        <v>23</v>
      </c>
      <c r="F14" s="2" t="s">
        <v>21</v>
      </c>
      <c r="G14" s="2" t="s">
        <v>134</v>
      </c>
      <c r="H14" s="2" t="s">
        <v>23</v>
      </c>
      <c r="I14" s="2" t="s">
        <v>23</v>
      </c>
      <c r="J14" s="2">
        <v>1</v>
      </c>
      <c r="K14" s="2" t="s">
        <v>34</v>
      </c>
      <c r="L14" s="2">
        <v>25213</v>
      </c>
      <c r="M14" s="2" t="s">
        <v>101</v>
      </c>
      <c r="N14" s="2">
        <v>1</v>
      </c>
      <c r="O14" s="6">
        <v>65030.73</v>
      </c>
      <c r="P14" s="6">
        <v>65030.73</v>
      </c>
    </row>
    <row r="15" spans="1:16" outlineLevel="2" x14ac:dyDescent="0.2">
      <c r="A15" s="5">
        <v>46251</v>
      </c>
      <c r="B15" s="2">
        <v>161740</v>
      </c>
      <c r="C15" s="2">
        <v>1</v>
      </c>
      <c r="D15" s="2" t="s">
        <v>131</v>
      </c>
      <c r="E15" s="2" t="s">
        <v>23</v>
      </c>
      <c r="F15" s="2" t="s">
        <v>21</v>
      </c>
      <c r="G15" s="2" t="s">
        <v>22</v>
      </c>
      <c r="H15" s="2" t="s">
        <v>133</v>
      </c>
      <c r="I15" s="2" t="s">
        <v>23</v>
      </c>
      <c r="J15" s="2">
        <v>41</v>
      </c>
      <c r="K15" s="2" t="s">
        <v>63</v>
      </c>
      <c r="L15" s="2">
        <v>25213</v>
      </c>
      <c r="M15" s="2" t="s">
        <v>101</v>
      </c>
      <c r="N15" s="2">
        <v>50</v>
      </c>
      <c r="O15" s="6">
        <v>180522</v>
      </c>
      <c r="P15" s="6">
        <v>3610.44</v>
      </c>
    </row>
    <row r="16" spans="1:16" outlineLevel="2" x14ac:dyDescent="0.2">
      <c r="A16" s="5">
        <v>46251</v>
      </c>
      <c r="B16" s="2">
        <v>161740</v>
      </c>
      <c r="C16" s="2">
        <v>2</v>
      </c>
      <c r="D16" s="2" t="s">
        <v>131</v>
      </c>
      <c r="E16" s="2" t="s">
        <v>23</v>
      </c>
      <c r="F16" s="2" t="s">
        <v>21</v>
      </c>
      <c r="G16" s="2" t="s">
        <v>22</v>
      </c>
      <c r="H16" s="2" t="s">
        <v>132</v>
      </c>
      <c r="I16" s="2" t="s">
        <v>23</v>
      </c>
      <c r="J16" s="2">
        <v>41</v>
      </c>
      <c r="K16" s="2" t="s">
        <v>63</v>
      </c>
      <c r="L16" s="2">
        <v>25213</v>
      </c>
      <c r="M16" s="2" t="s">
        <v>101</v>
      </c>
      <c r="N16" s="2">
        <v>50</v>
      </c>
      <c r="O16" s="6">
        <v>171187.5</v>
      </c>
      <c r="P16" s="6">
        <v>3423.75</v>
      </c>
    </row>
    <row r="17" spans="1:16" outlineLevel="2" x14ac:dyDescent="0.2">
      <c r="A17" s="5">
        <v>46251</v>
      </c>
      <c r="B17" s="2">
        <v>161740</v>
      </c>
      <c r="C17" s="2">
        <v>3</v>
      </c>
      <c r="D17" s="2" t="s">
        <v>131</v>
      </c>
      <c r="E17" s="2" t="s">
        <v>23</v>
      </c>
      <c r="F17" s="2" t="s">
        <v>21</v>
      </c>
      <c r="G17" s="2" t="s">
        <v>134</v>
      </c>
      <c r="H17" s="2" t="s">
        <v>23</v>
      </c>
      <c r="I17" s="2" t="s">
        <v>23</v>
      </c>
      <c r="J17" s="2">
        <v>1</v>
      </c>
      <c r="K17" s="2" t="s">
        <v>34</v>
      </c>
      <c r="L17" s="2">
        <v>25213</v>
      </c>
      <c r="M17" s="2" t="s">
        <v>101</v>
      </c>
      <c r="N17" s="2">
        <v>8</v>
      </c>
      <c r="O17" s="6">
        <v>525846.48</v>
      </c>
      <c r="P17" s="6">
        <v>65730.81</v>
      </c>
    </row>
    <row r="18" spans="1:16" outlineLevel="2" x14ac:dyDescent="0.2">
      <c r="A18" s="5">
        <v>46251</v>
      </c>
      <c r="B18" s="2">
        <v>161740</v>
      </c>
      <c r="C18" s="2">
        <v>4</v>
      </c>
      <c r="D18" s="2" t="s">
        <v>131</v>
      </c>
      <c r="E18" s="2" t="s">
        <v>23</v>
      </c>
      <c r="F18" s="2" t="s">
        <v>21</v>
      </c>
      <c r="G18" s="2" t="s">
        <v>22</v>
      </c>
      <c r="H18" s="2" t="s">
        <v>23</v>
      </c>
      <c r="I18" s="2" t="s">
        <v>23</v>
      </c>
      <c r="J18" s="2">
        <v>1</v>
      </c>
      <c r="K18" s="2" t="s">
        <v>34</v>
      </c>
      <c r="L18" s="2">
        <v>25213</v>
      </c>
      <c r="M18" s="2" t="s">
        <v>101</v>
      </c>
      <c r="N18" s="2">
        <v>5</v>
      </c>
      <c r="O18" s="6">
        <v>433432.54</v>
      </c>
      <c r="P18" s="6">
        <v>86686.51</v>
      </c>
    </row>
    <row r="19" spans="1:16" outlineLevel="1" x14ac:dyDescent="0.2">
      <c r="A19" s="5"/>
      <c r="D19" s="4" t="s">
        <v>165</v>
      </c>
      <c r="E19" s="4"/>
      <c r="F19" s="4"/>
      <c r="G19" s="4"/>
      <c r="H19" s="4"/>
      <c r="I19" s="4"/>
      <c r="J19" s="4"/>
      <c r="K19" s="4"/>
      <c r="L19" s="4"/>
      <c r="M19" s="4"/>
      <c r="N19" s="4">
        <f>SUBTOTAL(9,N12:N18)</f>
        <v>119</v>
      </c>
      <c r="O19" s="7">
        <f>SUBTOTAL(9,O12:O18)</f>
        <v>1393604.73</v>
      </c>
      <c r="P19" s="7">
        <f>+O19/N19</f>
        <v>11710.96411764706</v>
      </c>
    </row>
    <row r="20" spans="1:16" outlineLevel="2" x14ac:dyDescent="0.2">
      <c r="A20" s="5">
        <v>46232</v>
      </c>
      <c r="B20" s="2">
        <v>161248</v>
      </c>
      <c r="C20" s="2">
        <v>22</v>
      </c>
      <c r="D20" s="2" t="s">
        <v>65</v>
      </c>
      <c r="E20" s="2" t="s">
        <v>36</v>
      </c>
      <c r="F20" s="2" t="s">
        <v>62</v>
      </c>
      <c r="G20" s="2" t="s">
        <v>22</v>
      </c>
      <c r="H20" s="2" t="s">
        <v>23</v>
      </c>
      <c r="I20" s="2" t="s">
        <v>23</v>
      </c>
      <c r="J20" s="2">
        <v>41</v>
      </c>
      <c r="K20" s="2" t="s">
        <v>63</v>
      </c>
      <c r="L20" s="2">
        <v>801</v>
      </c>
      <c r="M20" s="2" t="s">
        <v>64</v>
      </c>
      <c r="N20" s="2">
        <v>3</v>
      </c>
      <c r="O20" s="6">
        <v>31740.36</v>
      </c>
      <c r="P20" s="6">
        <v>10580.12</v>
      </c>
    </row>
    <row r="21" spans="1:16" outlineLevel="2" x14ac:dyDescent="0.2">
      <c r="A21" s="5">
        <v>46251</v>
      </c>
      <c r="B21" s="2">
        <v>161776</v>
      </c>
      <c r="C21" s="2">
        <v>16</v>
      </c>
      <c r="D21" s="2" t="s">
        <v>65</v>
      </c>
      <c r="E21" s="2" t="s">
        <v>157</v>
      </c>
      <c r="F21" s="2" t="s">
        <v>62</v>
      </c>
      <c r="G21" s="2" t="s">
        <v>22</v>
      </c>
      <c r="H21" s="2" t="s">
        <v>23</v>
      </c>
      <c r="I21" s="2" t="s">
        <v>23</v>
      </c>
      <c r="J21" s="2">
        <v>41</v>
      </c>
      <c r="K21" s="2" t="s">
        <v>63</v>
      </c>
      <c r="L21" s="2">
        <v>801</v>
      </c>
      <c r="M21" s="2" t="s">
        <v>64</v>
      </c>
      <c r="N21" s="2">
        <v>38</v>
      </c>
      <c r="O21" s="6">
        <v>720035.91</v>
      </c>
      <c r="P21" s="6">
        <v>18948.310000000001</v>
      </c>
    </row>
    <row r="22" spans="1:16" outlineLevel="2" x14ac:dyDescent="0.2">
      <c r="A22" s="5">
        <v>46251</v>
      </c>
      <c r="B22" s="2">
        <v>161776</v>
      </c>
      <c r="C22" s="2">
        <v>22</v>
      </c>
      <c r="D22" s="2" t="s">
        <v>65</v>
      </c>
      <c r="E22" s="2" t="s">
        <v>160</v>
      </c>
      <c r="F22" s="2" t="s">
        <v>62</v>
      </c>
      <c r="G22" s="2" t="s">
        <v>22</v>
      </c>
      <c r="H22" s="2" t="s">
        <v>23</v>
      </c>
      <c r="I22" s="2" t="s">
        <v>23</v>
      </c>
      <c r="J22" s="2">
        <v>41</v>
      </c>
      <c r="K22" s="2" t="s">
        <v>63</v>
      </c>
      <c r="L22" s="2">
        <v>801</v>
      </c>
      <c r="M22" s="2" t="s">
        <v>64</v>
      </c>
      <c r="N22" s="2">
        <v>13</v>
      </c>
      <c r="O22" s="6">
        <v>309605.51</v>
      </c>
      <c r="P22" s="6">
        <v>23815.81</v>
      </c>
    </row>
    <row r="23" spans="1:16" outlineLevel="2" x14ac:dyDescent="0.2">
      <c r="A23" s="5">
        <v>46251</v>
      </c>
      <c r="B23" s="2">
        <v>161776</v>
      </c>
      <c r="C23" s="2">
        <v>17</v>
      </c>
      <c r="D23" s="2" t="s">
        <v>65</v>
      </c>
      <c r="E23" s="2" t="s">
        <v>158</v>
      </c>
      <c r="F23" s="2" t="s">
        <v>62</v>
      </c>
      <c r="G23" s="2" t="s">
        <v>22</v>
      </c>
      <c r="H23" s="2" t="s">
        <v>23</v>
      </c>
      <c r="I23" s="2" t="s">
        <v>23</v>
      </c>
      <c r="J23" s="2">
        <v>41</v>
      </c>
      <c r="K23" s="2" t="s">
        <v>63</v>
      </c>
      <c r="L23" s="2">
        <v>801</v>
      </c>
      <c r="M23" s="2" t="s">
        <v>64</v>
      </c>
      <c r="N23" s="2">
        <v>2</v>
      </c>
      <c r="O23" s="6">
        <v>36717.54</v>
      </c>
      <c r="P23" s="6">
        <v>18358.77</v>
      </c>
    </row>
    <row r="24" spans="1:16" outlineLevel="2" x14ac:dyDescent="0.2">
      <c r="A24" s="5">
        <v>46251</v>
      </c>
      <c r="B24" s="2">
        <v>161776</v>
      </c>
      <c r="C24" s="2">
        <v>20</v>
      </c>
      <c r="D24" s="2" t="s">
        <v>65</v>
      </c>
      <c r="E24" s="2" t="s">
        <v>159</v>
      </c>
      <c r="F24" s="2" t="s">
        <v>62</v>
      </c>
      <c r="G24" s="2" t="s">
        <v>22</v>
      </c>
      <c r="H24" s="2" t="s">
        <v>23</v>
      </c>
      <c r="I24" s="2" t="s">
        <v>23</v>
      </c>
      <c r="J24" s="2">
        <v>41</v>
      </c>
      <c r="K24" s="2" t="s">
        <v>63</v>
      </c>
      <c r="L24" s="2">
        <v>801</v>
      </c>
      <c r="M24" s="2" t="s">
        <v>64</v>
      </c>
      <c r="N24" s="2">
        <v>53</v>
      </c>
      <c r="O24" s="6">
        <v>1346070.61</v>
      </c>
      <c r="P24" s="6">
        <v>25397.56</v>
      </c>
    </row>
    <row r="25" spans="1:16" outlineLevel="2" x14ac:dyDescent="0.2">
      <c r="A25" s="5">
        <v>46251</v>
      </c>
      <c r="B25" s="2">
        <v>161777</v>
      </c>
      <c r="C25" s="2">
        <v>7</v>
      </c>
      <c r="D25" s="2" t="s">
        <v>65</v>
      </c>
      <c r="E25" s="2" t="s">
        <v>161</v>
      </c>
      <c r="F25" s="2" t="s">
        <v>62</v>
      </c>
      <c r="G25" s="2" t="s">
        <v>22</v>
      </c>
      <c r="H25" s="2" t="s">
        <v>23</v>
      </c>
      <c r="I25" s="2" t="s">
        <v>23</v>
      </c>
      <c r="J25" s="2">
        <v>2</v>
      </c>
      <c r="K25" s="2" t="s">
        <v>24</v>
      </c>
      <c r="L25" s="2">
        <v>106</v>
      </c>
      <c r="M25" s="2" t="s">
        <v>138</v>
      </c>
      <c r="N25" s="2">
        <v>8</v>
      </c>
      <c r="O25" s="6">
        <v>185141.22</v>
      </c>
      <c r="P25" s="6">
        <v>23142.65</v>
      </c>
    </row>
    <row r="26" spans="1:16" outlineLevel="1" x14ac:dyDescent="0.2">
      <c r="A26" s="5"/>
      <c r="D26" s="4" t="s">
        <v>166</v>
      </c>
      <c r="E26" s="4"/>
      <c r="F26" s="4"/>
      <c r="G26" s="4"/>
      <c r="H26" s="4"/>
      <c r="I26" s="4"/>
      <c r="J26" s="4"/>
      <c r="K26" s="4"/>
      <c r="L26" s="4"/>
      <c r="M26" s="4"/>
      <c r="N26" s="4">
        <f>SUBTOTAL(9,N20:N25)</f>
        <v>117</v>
      </c>
      <c r="O26" s="7">
        <f>SUBTOTAL(9,O20:O25)</f>
        <v>2629311.1500000004</v>
      </c>
      <c r="P26" s="7">
        <f>+O26/N26</f>
        <v>22472.744871794876</v>
      </c>
    </row>
    <row r="27" spans="1:16" outlineLevel="2" x14ac:dyDescent="0.2">
      <c r="A27" s="5">
        <v>46251</v>
      </c>
      <c r="B27" s="2">
        <v>161585</v>
      </c>
      <c r="C27" s="2">
        <v>6</v>
      </c>
      <c r="D27" s="2" t="s">
        <v>112</v>
      </c>
      <c r="E27" s="2" t="s">
        <v>113</v>
      </c>
      <c r="F27" s="2" t="s">
        <v>114</v>
      </c>
      <c r="G27" s="2" t="s">
        <v>22</v>
      </c>
      <c r="H27" s="2" t="s">
        <v>23</v>
      </c>
      <c r="I27" s="2" t="s">
        <v>115</v>
      </c>
      <c r="J27" s="2">
        <v>2</v>
      </c>
      <c r="K27" s="2" t="s">
        <v>24</v>
      </c>
      <c r="L27" s="2">
        <v>25249</v>
      </c>
      <c r="M27" s="2" t="s">
        <v>116</v>
      </c>
      <c r="N27" s="2">
        <v>28</v>
      </c>
      <c r="O27" s="6">
        <v>1510014.71</v>
      </c>
      <c r="P27" s="6">
        <v>53929.1</v>
      </c>
    </row>
    <row r="28" spans="1:16" outlineLevel="2" x14ac:dyDescent="0.2">
      <c r="A28" s="5">
        <v>46244</v>
      </c>
      <c r="B28" s="2">
        <v>161585</v>
      </c>
      <c r="C28" s="2">
        <v>7</v>
      </c>
      <c r="D28" s="2" t="s">
        <v>112</v>
      </c>
      <c r="E28" s="2" t="s">
        <v>117</v>
      </c>
      <c r="F28" s="2" t="s">
        <v>114</v>
      </c>
      <c r="G28" s="2" t="s">
        <v>22</v>
      </c>
      <c r="H28" s="2" t="s">
        <v>23</v>
      </c>
      <c r="I28" s="2" t="s">
        <v>115</v>
      </c>
      <c r="J28" s="2">
        <v>1</v>
      </c>
      <c r="K28" s="2" t="s">
        <v>34</v>
      </c>
      <c r="L28" s="2">
        <v>25249</v>
      </c>
      <c r="M28" s="2" t="s">
        <v>116</v>
      </c>
      <c r="N28" s="2">
        <v>39</v>
      </c>
      <c r="O28" s="6">
        <v>2204203.83</v>
      </c>
      <c r="P28" s="6">
        <v>56518.05</v>
      </c>
    </row>
    <row r="29" spans="1:16" outlineLevel="1" x14ac:dyDescent="0.2">
      <c r="A29" s="5"/>
      <c r="D29" s="4" t="s">
        <v>167</v>
      </c>
      <c r="E29" s="4"/>
      <c r="F29" s="4"/>
      <c r="G29" s="4"/>
      <c r="H29" s="4"/>
      <c r="I29" s="4"/>
      <c r="J29" s="4"/>
      <c r="K29" s="4"/>
      <c r="L29" s="4"/>
      <c r="M29" s="4"/>
      <c r="N29" s="4">
        <f>SUBTOTAL(9,N27:N28)</f>
        <v>67</v>
      </c>
      <c r="O29" s="7">
        <f>SUBTOTAL(9,O27:O28)</f>
        <v>3714218.54</v>
      </c>
      <c r="P29" s="7">
        <f>+O29/N29</f>
        <v>55436.097611940299</v>
      </c>
    </row>
    <row r="30" spans="1:16" outlineLevel="2" x14ac:dyDescent="0.2">
      <c r="A30" s="5">
        <v>46237</v>
      </c>
      <c r="B30" s="2">
        <v>161052</v>
      </c>
      <c r="C30" s="2">
        <v>1</v>
      </c>
      <c r="D30" s="2" t="s">
        <v>43</v>
      </c>
      <c r="E30" s="2" t="s">
        <v>44</v>
      </c>
      <c r="F30" s="2" t="s">
        <v>32</v>
      </c>
      <c r="G30" s="2" t="s">
        <v>22</v>
      </c>
      <c r="H30" s="2" t="s">
        <v>23</v>
      </c>
      <c r="I30" s="2" t="s">
        <v>23</v>
      </c>
      <c r="J30" s="2">
        <v>5</v>
      </c>
      <c r="K30" s="2" t="s">
        <v>45</v>
      </c>
      <c r="L30" s="2">
        <v>2521</v>
      </c>
      <c r="M30" s="2" t="s">
        <v>42</v>
      </c>
      <c r="N30" s="2">
        <v>7</v>
      </c>
      <c r="O30" s="6">
        <v>150290.57999999999</v>
      </c>
      <c r="P30" s="6">
        <v>21470.080000000002</v>
      </c>
    </row>
    <row r="31" spans="1:16" outlineLevel="1" x14ac:dyDescent="0.2">
      <c r="A31" s="5"/>
      <c r="D31" s="4" t="s">
        <v>168</v>
      </c>
      <c r="E31" s="4"/>
      <c r="F31" s="4"/>
      <c r="G31" s="4"/>
      <c r="H31" s="4"/>
      <c r="I31" s="4"/>
      <c r="J31" s="4"/>
      <c r="K31" s="4"/>
      <c r="L31" s="4"/>
      <c r="M31" s="4"/>
      <c r="N31" s="4">
        <f>SUBTOTAL(9,N30:N30)</f>
        <v>7</v>
      </c>
      <c r="O31" s="7">
        <f>SUBTOTAL(9,O30:O30)</f>
        <v>150290.57999999999</v>
      </c>
      <c r="P31" s="7">
        <f>+O31/N31</f>
        <v>21470.082857142854</v>
      </c>
    </row>
    <row r="32" spans="1:16" outlineLevel="2" x14ac:dyDescent="0.2">
      <c r="A32" s="5">
        <v>46230</v>
      </c>
      <c r="B32" s="2">
        <v>161207</v>
      </c>
      <c r="C32" s="2">
        <v>200</v>
      </c>
      <c r="D32" s="2" t="s">
        <v>56</v>
      </c>
      <c r="E32" s="2" t="s">
        <v>57</v>
      </c>
      <c r="F32" s="2" t="s">
        <v>23</v>
      </c>
      <c r="G32" s="2" t="s">
        <v>22</v>
      </c>
      <c r="H32" s="2" t="s">
        <v>23</v>
      </c>
      <c r="I32" s="2" t="s">
        <v>23</v>
      </c>
      <c r="J32" s="2">
        <v>39</v>
      </c>
      <c r="K32" s="2" t="s">
        <v>58</v>
      </c>
      <c r="L32" s="2">
        <v>25205</v>
      </c>
      <c r="M32" s="2" t="s">
        <v>59</v>
      </c>
      <c r="N32" s="2">
        <v>8</v>
      </c>
      <c r="O32" s="6">
        <v>4987.5200000000004</v>
      </c>
      <c r="P32" s="6">
        <v>623.44000000000005</v>
      </c>
    </row>
    <row r="33" spans="1:16" outlineLevel="2" x14ac:dyDescent="0.2">
      <c r="A33" s="5">
        <v>46240</v>
      </c>
      <c r="B33" s="2">
        <v>161455</v>
      </c>
      <c r="C33" s="2">
        <v>1</v>
      </c>
      <c r="D33" s="2" t="s">
        <v>56</v>
      </c>
      <c r="E33" s="2" t="s">
        <v>84</v>
      </c>
      <c r="F33" s="2" t="s">
        <v>85</v>
      </c>
      <c r="G33" s="2" t="s">
        <v>22</v>
      </c>
      <c r="H33" s="2" t="s">
        <v>23</v>
      </c>
      <c r="I33" s="2" t="s">
        <v>23</v>
      </c>
      <c r="J33" s="2">
        <v>1</v>
      </c>
      <c r="K33" s="2" t="s">
        <v>34</v>
      </c>
      <c r="L33" s="2">
        <v>1829</v>
      </c>
      <c r="M33" s="2" t="s">
        <v>86</v>
      </c>
      <c r="N33" s="2">
        <v>38</v>
      </c>
      <c r="O33" s="6">
        <v>1854780.84</v>
      </c>
      <c r="P33" s="6">
        <v>48810.02</v>
      </c>
    </row>
    <row r="34" spans="1:16" outlineLevel="2" x14ac:dyDescent="0.2">
      <c r="A34" s="5">
        <v>46246</v>
      </c>
      <c r="B34" s="2">
        <v>161563</v>
      </c>
      <c r="C34" s="2">
        <v>1</v>
      </c>
      <c r="D34" s="2" t="s">
        <v>56</v>
      </c>
      <c r="E34" s="2" t="s">
        <v>84</v>
      </c>
      <c r="F34" s="2" t="s">
        <v>102</v>
      </c>
      <c r="G34" s="2" t="s">
        <v>22</v>
      </c>
      <c r="H34" s="2" t="s">
        <v>23</v>
      </c>
      <c r="I34" s="2" t="s">
        <v>23</v>
      </c>
      <c r="J34" s="2">
        <v>1</v>
      </c>
      <c r="K34" s="2" t="s">
        <v>34</v>
      </c>
      <c r="L34" s="2">
        <v>25205</v>
      </c>
      <c r="M34" s="2" t="s">
        <v>59</v>
      </c>
      <c r="N34" s="2">
        <v>50</v>
      </c>
      <c r="O34" s="6">
        <v>3200305.52</v>
      </c>
      <c r="P34" s="6">
        <v>64006.11</v>
      </c>
    </row>
    <row r="35" spans="1:16" outlineLevel="2" x14ac:dyDescent="0.2">
      <c r="A35" s="5">
        <v>46251</v>
      </c>
      <c r="B35" s="2">
        <v>161738</v>
      </c>
      <c r="C35" s="2">
        <v>1</v>
      </c>
      <c r="D35" s="2" t="s">
        <v>56</v>
      </c>
      <c r="E35" s="2" t="s">
        <v>84</v>
      </c>
      <c r="F35" s="2" t="s">
        <v>151</v>
      </c>
      <c r="G35" s="2" t="s">
        <v>22</v>
      </c>
      <c r="H35" s="2" t="s">
        <v>23</v>
      </c>
      <c r="I35" s="2" t="s">
        <v>23</v>
      </c>
      <c r="J35" s="2">
        <v>39</v>
      </c>
      <c r="K35" s="2" t="s">
        <v>58</v>
      </c>
      <c r="L35" s="2">
        <v>1</v>
      </c>
      <c r="M35" s="2" t="s">
        <v>152</v>
      </c>
      <c r="N35" s="2">
        <v>127</v>
      </c>
      <c r="O35" s="6">
        <v>477288.56</v>
      </c>
      <c r="P35" s="6">
        <v>3758.18</v>
      </c>
    </row>
    <row r="36" spans="1:16" outlineLevel="1" x14ac:dyDescent="0.2">
      <c r="A36" s="5"/>
      <c r="D36" s="4" t="s">
        <v>169</v>
      </c>
      <c r="E36" s="4"/>
      <c r="F36" s="4"/>
      <c r="G36" s="4"/>
      <c r="H36" s="4"/>
      <c r="I36" s="4"/>
      <c r="J36" s="4"/>
      <c r="K36" s="4"/>
      <c r="L36" s="4"/>
      <c r="M36" s="4"/>
      <c r="N36" s="4">
        <f>SUBTOTAL(9,N32:N35)</f>
        <v>223</v>
      </c>
      <c r="O36" s="7">
        <f>SUBTOTAL(9,O32:O35)</f>
        <v>5537362.4399999995</v>
      </c>
      <c r="P36" s="7">
        <f>+O36/N36</f>
        <v>24831.221704035874</v>
      </c>
    </row>
    <row r="37" spans="1:16" outlineLevel="2" x14ac:dyDescent="0.2">
      <c r="A37" s="5">
        <v>46251</v>
      </c>
      <c r="B37" s="2">
        <v>161601</v>
      </c>
      <c r="C37" s="2">
        <v>2</v>
      </c>
      <c r="D37" s="2" t="s">
        <v>122</v>
      </c>
      <c r="E37" s="2" t="s">
        <v>23</v>
      </c>
      <c r="F37" s="2" t="s">
        <v>123</v>
      </c>
      <c r="G37" s="2" t="s">
        <v>22</v>
      </c>
      <c r="H37" s="2" t="s">
        <v>23</v>
      </c>
      <c r="I37" s="2" t="s">
        <v>23</v>
      </c>
      <c r="J37" s="2">
        <v>86</v>
      </c>
      <c r="K37" s="2" t="s">
        <v>60</v>
      </c>
      <c r="L37" s="2">
        <v>1795</v>
      </c>
      <c r="M37" s="2" t="s">
        <v>124</v>
      </c>
      <c r="N37" s="2">
        <v>2</v>
      </c>
      <c r="O37" s="6">
        <v>14315.02</v>
      </c>
      <c r="P37" s="6">
        <v>7157.51</v>
      </c>
    </row>
    <row r="38" spans="1:16" outlineLevel="2" x14ac:dyDescent="0.2">
      <c r="A38" s="5">
        <v>46248</v>
      </c>
      <c r="B38" s="2">
        <v>161618</v>
      </c>
      <c r="C38" s="2">
        <v>1</v>
      </c>
      <c r="D38" s="2" t="s">
        <v>122</v>
      </c>
      <c r="E38" s="2" t="s">
        <v>23</v>
      </c>
      <c r="F38" s="2" t="s">
        <v>123</v>
      </c>
      <c r="G38" s="2" t="s">
        <v>22</v>
      </c>
      <c r="H38" s="2" t="s">
        <v>23</v>
      </c>
      <c r="I38" s="2" t="s">
        <v>23</v>
      </c>
      <c r="J38" s="2">
        <v>1</v>
      </c>
      <c r="K38" s="2" t="s">
        <v>34</v>
      </c>
      <c r="L38" s="2">
        <v>25190</v>
      </c>
      <c r="M38" s="2" t="s">
        <v>127</v>
      </c>
      <c r="N38" s="2">
        <v>10</v>
      </c>
      <c r="O38" s="6">
        <v>52906.3</v>
      </c>
      <c r="P38" s="6">
        <v>5290.63</v>
      </c>
    </row>
    <row r="39" spans="1:16" outlineLevel="2" x14ac:dyDescent="0.2">
      <c r="A39" s="5">
        <v>46251</v>
      </c>
      <c r="B39" s="2">
        <v>161732</v>
      </c>
      <c r="C39" s="2">
        <v>3</v>
      </c>
      <c r="D39" s="2" t="s">
        <v>122</v>
      </c>
      <c r="E39" s="2" t="s">
        <v>23</v>
      </c>
      <c r="F39" s="2" t="s">
        <v>123</v>
      </c>
      <c r="G39" s="2" t="s">
        <v>22</v>
      </c>
      <c r="H39" s="2" t="s">
        <v>23</v>
      </c>
      <c r="I39" s="2" t="s">
        <v>23</v>
      </c>
      <c r="J39" s="2">
        <v>1</v>
      </c>
      <c r="K39" s="2" t="s">
        <v>34</v>
      </c>
      <c r="L39" s="2">
        <v>1795</v>
      </c>
      <c r="M39" s="2" t="s">
        <v>124</v>
      </c>
      <c r="N39" s="2">
        <v>7</v>
      </c>
      <c r="O39" s="6">
        <v>63170.73</v>
      </c>
      <c r="P39" s="6">
        <v>9024.39</v>
      </c>
    </row>
    <row r="40" spans="1:16" outlineLevel="1" x14ac:dyDescent="0.2">
      <c r="A40" s="5"/>
      <c r="D40" s="4" t="s">
        <v>170</v>
      </c>
      <c r="E40" s="4"/>
      <c r="F40" s="4"/>
      <c r="G40" s="4"/>
      <c r="H40" s="4"/>
      <c r="I40" s="4"/>
      <c r="J40" s="4"/>
      <c r="K40" s="4"/>
      <c r="L40" s="4"/>
      <c r="M40" s="4"/>
      <c r="N40" s="4">
        <f>SUBTOTAL(9,N37:N39)</f>
        <v>19</v>
      </c>
      <c r="O40" s="7">
        <f>SUBTOTAL(9,O37:O39)</f>
        <v>130392.05000000002</v>
      </c>
      <c r="P40" s="7">
        <f>+O40/N40</f>
        <v>6862.7394736842116</v>
      </c>
    </row>
    <row r="41" spans="1:16" outlineLevel="2" x14ac:dyDescent="0.2">
      <c r="A41" s="5">
        <v>46237</v>
      </c>
      <c r="B41" s="2">
        <v>161007</v>
      </c>
      <c r="C41" s="2">
        <v>1</v>
      </c>
      <c r="D41" s="2" t="s">
        <v>41</v>
      </c>
      <c r="E41" s="2" t="s">
        <v>23</v>
      </c>
      <c r="F41" s="2" t="s">
        <v>32</v>
      </c>
      <c r="G41" s="2" t="s">
        <v>22</v>
      </c>
      <c r="H41" s="2" t="s">
        <v>23</v>
      </c>
      <c r="I41" s="2" t="s">
        <v>23</v>
      </c>
      <c r="J41" s="2">
        <v>1</v>
      </c>
      <c r="K41" s="2" t="s">
        <v>34</v>
      </c>
      <c r="L41" s="2">
        <v>2521</v>
      </c>
      <c r="M41" s="2" t="s">
        <v>42</v>
      </c>
      <c r="N41" s="2">
        <v>10</v>
      </c>
      <c r="O41" s="6">
        <v>325604.93</v>
      </c>
      <c r="P41" s="6">
        <v>32560.49</v>
      </c>
    </row>
    <row r="42" spans="1:16" outlineLevel="1" x14ac:dyDescent="0.2">
      <c r="A42" s="5"/>
      <c r="D42" s="4" t="s">
        <v>171</v>
      </c>
      <c r="E42" s="4"/>
      <c r="F42" s="4"/>
      <c r="G42" s="4"/>
      <c r="H42" s="4"/>
      <c r="I42" s="4"/>
      <c r="J42" s="4"/>
      <c r="K42" s="4"/>
      <c r="L42" s="4"/>
      <c r="M42" s="4"/>
      <c r="N42" s="4">
        <f>SUBTOTAL(9,N41:N41)</f>
        <v>10</v>
      </c>
      <c r="O42" s="7">
        <f>SUBTOTAL(9,O41:O41)</f>
        <v>325604.93</v>
      </c>
      <c r="P42" s="7">
        <f>+O42/N42</f>
        <v>32560.492999999999</v>
      </c>
    </row>
    <row r="43" spans="1:16" outlineLevel="2" x14ac:dyDescent="0.2">
      <c r="A43" s="5">
        <v>46251</v>
      </c>
      <c r="B43" s="2">
        <v>161125</v>
      </c>
      <c r="C43" s="2">
        <v>3</v>
      </c>
      <c r="D43" s="2" t="s">
        <v>49</v>
      </c>
      <c r="E43" s="2" t="s">
        <v>50</v>
      </c>
      <c r="F43" s="2" t="s">
        <v>51</v>
      </c>
      <c r="G43" s="2" t="s">
        <v>22</v>
      </c>
      <c r="H43" s="2" t="s">
        <v>23</v>
      </c>
      <c r="I43" s="2" t="s">
        <v>52</v>
      </c>
      <c r="J43" s="2">
        <v>1</v>
      </c>
      <c r="K43" s="2" t="s">
        <v>34</v>
      </c>
      <c r="L43" s="2">
        <v>2535</v>
      </c>
      <c r="M43" s="2" t="s">
        <v>53</v>
      </c>
      <c r="N43" s="2">
        <v>173</v>
      </c>
      <c r="O43" s="6">
        <v>8485121.1099999994</v>
      </c>
      <c r="P43" s="6">
        <v>49046.94</v>
      </c>
    </row>
    <row r="44" spans="1:16" outlineLevel="1" x14ac:dyDescent="0.2">
      <c r="A44" s="5"/>
      <c r="D44" s="4" t="s">
        <v>172</v>
      </c>
      <c r="E44" s="4"/>
      <c r="F44" s="4"/>
      <c r="G44" s="4"/>
      <c r="H44" s="4"/>
      <c r="I44" s="4"/>
      <c r="J44" s="4"/>
      <c r="K44" s="4"/>
      <c r="L44" s="4"/>
      <c r="M44" s="4"/>
      <c r="N44" s="4">
        <f>SUBTOTAL(9,N43:N43)</f>
        <v>173</v>
      </c>
      <c r="O44" s="7">
        <f>SUBTOTAL(9,O43:O43)</f>
        <v>8485121.1099999994</v>
      </c>
      <c r="P44" s="7">
        <f>+O44/N44</f>
        <v>49046.942832369939</v>
      </c>
    </row>
    <row r="45" spans="1:16" outlineLevel="2" x14ac:dyDescent="0.2">
      <c r="A45" s="5">
        <v>46246</v>
      </c>
      <c r="B45" s="2">
        <v>161138</v>
      </c>
      <c r="C45" s="2">
        <v>1</v>
      </c>
      <c r="D45" s="2" t="s">
        <v>54</v>
      </c>
      <c r="E45" s="2" t="s">
        <v>55</v>
      </c>
      <c r="F45" s="2" t="s">
        <v>32</v>
      </c>
      <c r="G45" s="2" t="s">
        <v>22</v>
      </c>
      <c r="H45" s="2" t="s">
        <v>23</v>
      </c>
      <c r="I45" s="2" t="s">
        <v>23</v>
      </c>
      <c r="J45" s="2">
        <v>1</v>
      </c>
      <c r="K45" s="2" t="s">
        <v>34</v>
      </c>
      <c r="L45" s="2">
        <v>2521</v>
      </c>
      <c r="M45" s="2" t="s">
        <v>42</v>
      </c>
      <c r="N45" s="2">
        <v>42</v>
      </c>
      <c r="O45" s="6">
        <v>811781.74</v>
      </c>
      <c r="P45" s="6">
        <v>19328.14</v>
      </c>
    </row>
    <row r="46" spans="1:16" outlineLevel="1" x14ac:dyDescent="0.2">
      <c r="A46" s="5"/>
      <c r="D46" s="4" t="s">
        <v>173</v>
      </c>
      <c r="E46" s="4"/>
      <c r="F46" s="4"/>
      <c r="G46" s="4"/>
      <c r="H46" s="4"/>
      <c r="I46" s="4"/>
      <c r="J46" s="4"/>
      <c r="K46" s="4"/>
      <c r="L46" s="4"/>
      <c r="M46" s="4"/>
      <c r="N46" s="4">
        <f>SUBTOTAL(9,N45:N45)</f>
        <v>42</v>
      </c>
      <c r="O46" s="7">
        <f>SUBTOTAL(9,O45:O45)</f>
        <v>811781.74</v>
      </c>
      <c r="P46" s="7">
        <f>+O46/N46</f>
        <v>19328.136666666665</v>
      </c>
    </row>
    <row r="47" spans="1:16" outlineLevel="2" x14ac:dyDescent="0.2">
      <c r="A47" s="5">
        <v>46246</v>
      </c>
      <c r="B47" s="2">
        <v>161522</v>
      </c>
      <c r="C47" s="2">
        <v>1</v>
      </c>
      <c r="D47" s="2" t="s">
        <v>96</v>
      </c>
      <c r="E47" s="2" t="s">
        <v>97</v>
      </c>
      <c r="F47" s="2" t="s">
        <v>98</v>
      </c>
      <c r="G47" s="2" t="s">
        <v>22</v>
      </c>
      <c r="H47" s="2" t="s">
        <v>23</v>
      </c>
      <c r="I47" s="2" t="s">
        <v>23</v>
      </c>
      <c r="J47" s="2">
        <v>1</v>
      </c>
      <c r="K47" s="2" t="s">
        <v>34</v>
      </c>
      <c r="L47" s="2">
        <v>2602</v>
      </c>
      <c r="M47" s="2" t="s">
        <v>99</v>
      </c>
      <c r="N47" s="2">
        <v>25</v>
      </c>
      <c r="O47" s="6">
        <v>182671.51</v>
      </c>
      <c r="P47" s="6">
        <v>7306.86</v>
      </c>
    </row>
    <row r="48" spans="1:16" outlineLevel="2" x14ac:dyDescent="0.2">
      <c r="A48" s="5">
        <v>46251</v>
      </c>
      <c r="B48" s="2">
        <v>161522</v>
      </c>
      <c r="C48" s="2">
        <v>315</v>
      </c>
      <c r="D48" s="2" t="s">
        <v>96</v>
      </c>
      <c r="E48" s="2" t="s">
        <v>97</v>
      </c>
      <c r="F48" s="2" t="s">
        <v>98</v>
      </c>
      <c r="G48" s="2" t="s">
        <v>22</v>
      </c>
      <c r="H48" s="2" t="s">
        <v>23</v>
      </c>
      <c r="I48" s="2" t="s">
        <v>23</v>
      </c>
      <c r="J48" s="2">
        <v>5</v>
      </c>
      <c r="K48" s="2" t="s">
        <v>45</v>
      </c>
      <c r="L48" s="2">
        <v>2602</v>
      </c>
      <c r="M48" s="2" t="s">
        <v>99</v>
      </c>
      <c r="N48" s="2">
        <v>87</v>
      </c>
      <c r="O48" s="6">
        <v>494822.29</v>
      </c>
      <c r="P48" s="6">
        <v>5687.61</v>
      </c>
    </row>
    <row r="49" spans="1:16" outlineLevel="1" x14ac:dyDescent="0.2">
      <c r="A49" s="5"/>
      <c r="D49" s="4" t="s">
        <v>174</v>
      </c>
      <c r="E49" s="4"/>
      <c r="F49" s="4"/>
      <c r="G49" s="4"/>
      <c r="H49" s="4"/>
      <c r="I49" s="4"/>
      <c r="J49" s="4"/>
      <c r="K49" s="4"/>
      <c r="L49" s="4"/>
      <c r="M49" s="4"/>
      <c r="N49" s="4">
        <f>SUBTOTAL(9,N47:N48)</f>
        <v>112</v>
      </c>
      <c r="O49" s="7">
        <f>SUBTOTAL(9,O47:O48)</f>
        <v>677493.8</v>
      </c>
      <c r="P49" s="7">
        <f>+O49/N49</f>
        <v>6049.0517857142859</v>
      </c>
    </row>
    <row r="50" spans="1:16" outlineLevel="2" x14ac:dyDescent="0.2">
      <c r="A50" s="5">
        <v>46251</v>
      </c>
      <c r="B50" s="2">
        <v>161722</v>
      </c>
      <c r="C50" s="2">
        <v>2</v>
      </c>
      <c r="D50" s="2" t="s">
        <v>145</v>
      </c>
      <c r="E50" s="2" t="s">
        <v>146</v>
      </c>
      <c r="F50" s="2" t="s">
        <v>32</v>
      </c>
      <c r="G50" s="2" t="s">
        <v>22</v>
      </c>
      <c r="H50" s="2" t="s">
        <v>23</v>
      </c>
      <c r="I50" s="2" t="s">
        <v>23</v>
      </c>
      <c r="J50" s="2">
        <v>1</v>
      </c>
      <c r="K50" s="2" t="s">
        <v>34</v>
      </c>
      <c r="L50" s="2">
        <v>2521</v>
      </c>
      <c r="M50" s="2" t="s">
        <v>42</v>
      </c>
      <c r="N50" s="2">
        <v>91</v>
      </c>
      <c r="O50" s="6">
        <v>3636467.45</v>
      </c>
      <c r="P50" s="6">
        <v>39961.18</v>
      </c>
    </row>
    <row r="51" spans="1:16" outlineLevel="1" x14ac:dyDescent="0.2">
      <c r="A51" s="5"/>
      <c r="D51" s="4" t="s">
        <v>175</v>
      </c>
      <c r="E51" s="4"/>
      <c r="F51" s="4"/>
      <c r="G51" s="4"/>
      <c r="H51" s="4"/>
      <c r="I51" s="4"/>
      <c r="J51" s="4"/>
      <c r="K51" s="4"/>
      <c r="L51" s="4"/>
      <c r="M51" s="4"/>
      <c r="N51" s="4">
        <f>SUBTOTAL(9,N50:N50)</f>
        <v>91</v>
      </c>
      <c r="O51" s="7">
        <f>SUBTOTAL(9,O50:O50)</f>
        <v>3636467.45</v>
      </c>
      <c r="P51" s="7">
        <f>+O51/N51</f>
        <v>39961.18076923077</v>
      </c>
    </row>
    <row r="52" spans="1:16" outlineLevel="2" x14ac:dyDescent="0.2">
      <c r="A52" s="5">
        <v>46244</v>
      </c>
      <c r="B52" s="2">
        <v>161570</v>
      </c>
      <c r="C52" s="2">
        <v>3</v>
      </c>
      <c r="D52" s="2" t="s">
        <v>105</v>
      </c>
      <c r="E52" s="2" t="s">
        <v>106</v>
      </c>
      <c r="F52" s="2" t="s">
        <v>32</v>
      </c>
      <c r="G52" s="2" t="s">
        <v>22</v>
      </c>
      <c r="H52" s="2" t="s">
        <v>23</v>
      </c>
      <c r="I52" s="2" t="s">
        <v>107</v>
      </c>
      <c r="J52" s="2">
        <v>1</v>
      </c>
      <c r="K52" s="2" t="s">
        <v>34</v>
      </c>
      <c r="L52" s="2">
        <v>331</v>
      </c>
      <c r="M52" s="2" t="s">
        <v>108</v>
      </c>
      <c r="N52" s="2">
        <v>29</v>
      </c>
      <c r="O52" s="6">
        <v>416027.74</v>
      </c>
      <c r="P52" s="6">
        <v>14345.78</v>
      </c>
    </row>
    <row r="53" spans="1:16" outlineLevel="2" x14ac:dyDescent="0.2">
      <c r="A53" s="5">
        <v>46248</v>
      </c>
      <c r="B53" s="2">
        <v>161570</v>
      </c>
      <c r="C53" s="2">
        <v>4</v>
      </c>
      <c r="D53" s="2" t="s">
        <v>105</v>
      </c>
      <c r="E53" s="2" t="s">
        <v>106</v>
      </c>
      <c r="F53" s="2" t="s">
        <v>32</v>
      </c>
      <c r="G53" s="2" t="s">
        <v>22</v>
      </c>
      <c r="H53" s="2" t="s">
        <v>23</v>
      </c>
      <c r="I53" s="2" t="s">
        <v>109</v>
      </c>
      <c r="J53" s="2">
        <v>1</v>
      </c>
      <c r="K53" s="2" t="s">
        <v>34</v>
      </c>
      <c r="L53" s="2">
        <v>331</v>
      </c>
      <c r="M53" s="2" t="s">
        <v>108</v>
      </c>
      <c r="N53" s="2">
        <v>13</v>
      </c>
      <c r="O53" s="6">
        <v>158388.29999999999</v>
      </c>
      <c r="P53" s="6">
        <v>12183.72</v>
      </c>
    </row>
    <row r="54" spans="1:16" outlineLevel="1" x14ac:dyDescent="0.2">
      <c r="A54" s="5"/>
      <c r="D54" s="4" t="s">
        <v>176</v>
      </c>
      <c r="E54" s="4"/>
      <c r="F54" s="4"/>
      <c r="G54" s="4"/>
      <c r="H54" s="4"/>
      <c r="I54" s="4"/>
      <c r="J54" s="4"/>
      <c r="K54" s="4"/>
      <c r="L54" s="4"/>
      <c r="M54" s="4"/>
      <c r="N54" s="4">
        <f>SUBTOTAL(9,N52:N53)</f>
        <v>42</v>
      </c>
      <c r="O54" s="7">
        <f>SUBTOTAL(9,O52:O53)</f>
        <v>574416.04</v>
      </c>
      <c r="P54" s="7">
        <f>+O54/N54</f>
        <v>13676.572380952382</v>
      </c>
    </row>
    <row r="55" spans="1:16" outlineLevel="2" x14ac:dyDescent="0.2">
      <c r="A55" s="5">
        <v>46241</v>
      </c>
      <c r="B55" s="2">
        <v>161462</v>
      </c>
      <c r="C55" s="2">
        <v>1</v>
      </c>
      <c r="D55" s="2" t="s">
        <v>87</v>
      </c>
      <c r="E55" s="2" t="s">
        <v>88</v>
      </c>
      <c r="F55" s="2" t="s">
        <v>89</v>
      </c>
      <c r="G55" s="2" t="s">
        <v>22</v>
      </c>
      <c r="H55" s="2" t="s">
        <v>90</v>
      </c>
      <c r="I55" s="2" t="s">
        <v>23</v>
      </c>
      <c r="J55" s="2">
        <v>1</v>
      </c>
      <c r="K55" s="2" t="s">
        <v>34</v>
      </c>
      <c r="L55" s="2">
        <v>226</v>
      </c>
      <c r="M55" s="2" t="s">
        <v>91</v>
      </c>
      <c r="N55" s="2">
        <v>1</v>
      </c>
      <c r="O55" s="6">
        <v>41694.75</v>
      </c>
      <c r="P55" s="6">
        <v>41694.75</v>
      </c>
    </row>
    <row r="56" spans="1:16" outlineLevel="1" x14ac:dyDescent="0.2">
      <c r="A56" s="5"/>
      <c r="D56" s="4" t="s">
        <v>177</v>
      </c>
      <c r="E56" s="4"/>
      <c r="F56" s="4"/>
      <c r="G56" s="4"/>
      <c r="H56" s="4"/>
      <c r="I56" s="4"/>
      <c r="J56" s="4"/>
      <c r="K56" s="4"/>
      <c r="L56" s="4"/>
      <c r="M56" s="4"/>
      <c r="N56" s="4">
        <f>SUBTOTAL(9,N55:N55)</f>
        <v>1</v>
      </c>
      <c r="O56" s="7">
        <f>SUBTOTAL(9,O55:O55)</f>
        <v>41694.75</v>
      </c>
      <c r="P56" s="7">
        <f>+O56/N56</f>
        <v>41694.75</v>
      </c>
    </row>
    <row r="57" spans="1:16" outlineLevel="2" x14ac:dyDescent="0.2">
      <c r="A57" s="5">
        <v>46246</v>
      </c>
      <c r="B57" s="2">
        <v>160714</v>
      </c>
      <c r="C57" s="2">
        <v>4</v>
      </c>
      <c r="D57" s="2" t="s">
        <v>30</v>
      </c>
      <c r="E57" s="2" t="s">
        <v>36</v>
      </c>
      <c r="F57" s="2" t="s">
        <v>32</v>
      </c>
      <c r="G57" s="2" t="s">
        <v>37</v>
      </c>
      <c r="H57" s="2" t="s">
        <v>23</v>
      </c>
      <c r="I57" s="2" t="s">
        <v>38</v>
      </c>
      <c r="J57" s="2">
        <v>1</v>
      </c>
      <c r="K57" s="2" t="s">
        <v>34</v>
      </c>
      <c r="L57" s="2">
        <v>25077</v>
      </c>
      <c r="M57" s="2" t="s">
        <v>35</v>
      </c>
      <c r="N57" s="2">
        <v>4</v>
      </c>
      <c r="O57" s="6">
        <v>92103.92</v>
      </c>
      <c r="P57" s="6">
        <v>23025.98</v>
      </c>
    </row>
    <row r="58" spans="1:16" outlineLevel="2" x14ac:dyDescent="0.2">
      <c r="A58" s="5">
        <v>46239</v>
      </c>
      <c r="B58" s="2">
        <v>160834</v>
      </c>
      <c r="C58" s="2">
        <v>2</v>
      </c>
      <c r="D58" s="2" t="s">
        <v>30</v>
      </c>
      <c r="E58" s="2" t="s">
        <v>36</v>
      </c>
      <c r="F58" s="2" t="s">
        <v>32</v>
      </c>
      <c r="G58" s="2" t="s">
        <v>22</v>
      </c>
      <c r="H58" s="2" t="s">
        <v>23</v>
      </c>
      <c r="I58" s="2" t="s">
        <v>39</v>
      </c>
      <c r="J58" s="2">
        <v>1</v>
      </c>
      <c r="K58" s="2" t="s">
        <v>34</v>
      </c>
      <c r="L58" s="2">
        <v>634</v>
      </c>
      <c r="M58" s="2" t="s">
        <v>40</v>
      </c>
      <c r="N58" s="2">
        <v>35</v>
      </c>
      <c r="O58" s="6">
        <v>714044.14</v>
      </c>
      <c r="P58" s="6">
        <v>20401.259999999998</v>
      </c>
    </row>
    <row r="59" spans="1:16" outlineLevel="2" x14ac:dyDescent="0.2">
      <c r="A59" s="5">
        <v>46232</v>
      </c>
      <c r="B59" s="2">
        <v>161094</v>
      </c>
      <c r="C59" s="2">
        <v>1</v>
      </c>
      <c r="D59" s="2" t="s">
        <v>30</v>
      </c>
      <c r="E59" s="2" t="s">
        <v>36</v>
      </c>
      <c r="F59" s="2" t="s">
        <v>32</v>
      </c>
      <c r="G59" s="2" t="s">
        <v>22</v>
      </c>
      <c r="H59" s="2" t="s">
        <v>23</v>
      </c>
      <c r="I59" s="2" t="s">
        <v>23</v>
      </c>
      <c r="J59" s="2">
        <v>1</v>
      </c>
      <c r="K59" s="2" t="s">
        <v>34</v>
      </c>
      <c r="L59" s="2">
        <v>634</v>
      </c>
      <c r="M59" s="2" t="s">
        <v>40</v>
      </c>
      <c r="N59" s="2">
        <v>21</v>
      </c>
      <c r="O59" s="6">
        <v>146573.95000000001</v>
      </c>
      <c r="P59" s="6">
        <v>6979.71</v>
      </c>
    </row>
    <row r="60" spans="1:16" outlineLevel="2" x14ac:dyDescent="0.2">
      <c r="A60" s="5">
        <v>46208</v>
      </c>
      <c r="B60" s="2">
        <v>160714</v>
      </c>
      <c r="C60" s="2">
        <v>1</v>
      </c>
      <c r="D60" s="2" t="s">
        <v>30</v>
      </c>
      <c r="E60" s="2" t="s">
        <v>31</v>
      </c>
      <c r="F60" s="2" t="s">
        <v>32</v>
      </c>
      <c r="G60" s="2" t="s">
        <v>22</v>
      </c>
      <c r="H60" s="2" t="s">
        <v>23</v>
      </c>
      <c r="I60" s="2" t="s">
        <v>33</v>
      </c>
      <c r="J60" s="2">
        <v>1</v>
      </c>
      <c r="K60" s="2" t="s">
        <v>34</v>
      </c>
      <c r="L60" s="2">
        <v>25077</v>
      </c>
      <c r="M60" s="2" t="s">
        <v>35</v>
      </c>
      <c r="N60" s="2">
        <v>13</v>
      </c>
      <c r="O60" s="6">
        <v>312092.42</v>
      </c>
      <c r="P60" s="6">
        <v>24007.11</v>
      </c>
    </row>
    <row r="61" spans="1:16" outlineLevel="1" x14ac:dyDescent="0.2">
      <c r="A61" s="5"/>
      <c r="D61" s="4" t="s">
        <v>178</v>
      </c>
      <c r="E61" s="4"/>
      <c r="F61" s="4"/>
      <c r="G61" s="4"/>
      <c r="H61" s="4"/>
      <c r="I61" s="4"/>
      <c r="J61" s="4"/>
      <c r="K61" s="4"/>
      <c r="L61" s="4"/>
      <c r="M61" s="4"/>
      <c r="N61" s="4">
        <f>SUBTOTAL(9,N57:N60)</f>
        <v>73</v>
      </c>
      <c r="O61" s="7">
        <f>SUBTOTAL(9,O57:O60)</f>
        <v>1264814.43</v>
      </c>
      <c r="P61" s="7">
        <f>+O61/N61</f>
        <v>17326.22506849315</v>
      </c>
    </row>
    <row r="62" spans="1:16" outlineLevel="2" x14ac:dyDescent="0.2">
      <c r="A62" s="5">
        <v>46251</v>
      </c>
      <c r="B62" s="2">
        <v>161728</v>
      </c>
      <c r="C62" s="2">
        <v>301</v>
      </c>
      <c r="D62" s="2" t="s">
        <v>149</v>
      </c>
      <c r="E62" s="2" t="s">
        <v>150</v>
      </c>
      <c r="F62" s="2" t="s">
        <v>62</v>
      </c>
      <c r="G62" s="2" t="s">
        <v>22</v>
      </c>
      <c r="H62" s="2" t="s">
        <v>23</v>
      </c>
      <c r="I62" s="2" t="s">
        <v>23</v>
      </c>
      <c r="J62" s="2">
        <v>2</v>
      </c>
      <c r="K62" s="2" t="s">
        <v>24</v>
      </c>
      <c r="L62" s="2">
        <v>801</v>
      </c>
      <c r="M62" s="2" t="s">
        <v>64</v>
      </c>
      <c r="N62" s="2">
        <v>14</v>
      </c>
      <c r="O62" s="6">
        <v>102068.58</v>
      </c>
      <c r="P62" s="6">
        <v>7290.61</v>
      </c>
    </row>
    <row r="63" spans="1:16" outlineLevel="1" x14ac:dyDescent="0.2">
      <c r="A63" s="5"/>
      <c r="D63" s="4" t="s">
        <v>179</v>
      </c>
      <c r="E63" s="4"/>
      <c r="F63" s="4"/>
      <c r="G63" s="4"/>
      <c r="H63" s="4"/>
      <c r="I63" s="4"/>
      <c r="J63" s="4"/>
      <c r="K63" s="4"/>
      <c r="L63" s="4"/>
      <c r="M63" s="4"/>
      <c r="N63" s="4">
        <f>SUBTOTAL(9,N62:N62)</f>
        <v>14</v>
      </c>
      <c r="O63" s="7">
        <f>SUBTOTAL(9,O62:O62)</f>
        <v>102068.58</v>
      </c>
      <c r="P63" s="7">
        <f>+O63/N63</f>
        <v>7290.6128571428571</v>
      </c>
    </row>
    <row r="64" spans="1:16" outlineLevel="2" x14ac:dyDescent="0.2">
      <c r="A64" s="5">
        <v>46248</v>
      </c>
      <c r="B64" s="2">
        <v>158931</v>
      </c>
      <c r="C64" s="2">
        <v>315</v>
      </c>
      <c r="D64" s="2" t="s">
        <v>26</v>
      </c>
      <c r="E64" s="2" t="s">
        <v>27</v>
      </c>
      <c r="F64" s="2" t="s">
        <v>28</v>
      </c>
      <c r="G64" s="2" t="s">
        <v>23</v>
      </c>
      <c r="H64" s="2" t="s">
        <v>23</v>
      </c>
      <c r="I64" s="2" t="s">
        <v>23</v>
      </c>
      <c r="J64" s="2">
        <v>2</v>
      </c>
      <c r="K64" s="2" t="s">
        <v>24</v>
      </c>
      <c r="L64" s="2">
        <v>1921</v>
      </c>
      <c r="M64" s="2" t="s">
        <v>29</v>
      </c>
      <c r="N64" s="2">
        <v>10</v>
      </c>
      <c r="O64" s="6">
        <v>34237.5</v>
      </c>
      <c r="P64" s="6">
        <v>3423.75</v>
      </c>
    </row>
    <row r="65" spans="1:16" outlineLevel="1" x14ac:dyDescent="0.2">
      <c r="A65" s="5"/>
      <c r="D65" s="4" t="s">
        <v>180</v>
      </c>
      <c r="E65" s="4"/>
      <c r="F65" s="4"/>
      <c r="G65" s="4"/>
      <c r="H65" s="4"/>
      <c r="I65" s="4"/>
      <c r="J65" s="4"/>
      <c r="K65" s="4"/>
      <c r="L65" s="4"/>
      <c r="M65" s="4"/>
      <c r="N65" s="4">
        <f>SUBTOTAL(9,N64:N64)</f>
        <v>10</v>
      </c>
      <c r="O65" s="7">
        <f>SUBTOTAL(9,O64:O64)</f>
        <v>34237.5</v>
      </c>
      <c r="P65" s="7">
        <f>+O65/N65</f>
        <v>3423.75</v>
      </c>
    </row>
    <row r="66" spans="1:16" outlineLevel="2" x14ac:dyDescent="0.2">
      <c r="A66" s="5">
        <v>46244</v>
      </c>
      <c r="B66" s="2">
        <v>161331</v>
      </c>
      <c r="C66" s="2">
        <v>6</v>
      </c>
      <c r="D66" s="2" t="s">
        <v>66</v>
      </c>
      <c r="E66" s="2" t="s">
        <v>67</v>
      </c>
      <c r="F66" s="2" t="s">
        <v>32</v>
      </c>
      <c r="G66" s="2" t="s">
        <v>68</v>
      </c>
      <c r="H66" s="2" t="s">
        <v>23</v>
      </c>
      <c r="I66" s="2" t="s">
        <v>69</v>
      </c>
      <c r="J66" s="2">
        <v>40</v>
      </c>
      <c r="K66" s="2" t="s">
        <v>70</v>
      </c>
      <c r="L66" s="2">
        <v>2813</v>
      </c>
      <c r="M66" s="2" t="s">
        <v>71</v>
      </c>
      <c r="N66" s="2">
        <v>8</v>
      </c>
      <c r="O66" s="6">
        <v>258882.9</v>
      </c>
      <c r="P66" s="6">
        <v>32360.36</v>
      </c>
    </row>
    <row r="67" spans="1:16" outlineLevel="2" x14ac:dyDescent="0.2">
      <c r="A67" s="5">
        <v>46237</v>
      </c>
      <c r="B67" s="2">
        <v>161332</v>
      </c>
      <c r="C67" s="2">
        <v>2</v>
      </c>
      <c r="D67" s="2" t="s">
        <v>66</v>
      </c>
      <c r="E67" s="2" t="s">
        <v>67</v>
      </c>
      <c r="F67" s="2" t="s">
        <v>72</v>
      </c>
      <c r="G67" s="2" t="s">
        <v>37</v>
      </c>
      <c r="H67" s="2" t="s">
        <v>23</v>
      </c>
      <c r="I67" s="2" t="s">
        <v>73</v>
      </c>
      <c r="J67" s="2">
        <v>1</v>
      </c>
      <c r="K67" s="2" t="s">
        <v>34</v>
      </c>
      <c r="L67" s="2">
        <v>1846</v>
      </c>
      <c r="M67" s="2" t="s">
        <v>74</v>
      </c>
      <c r="N67" s="2">
        <v>136</v>
      </c>
      <c r="O67" s="6">
        <v>8185638.0199999996</v>
      </c>
      <c r="P67" s="6">
        <v>60188.51</v>
      </c>
    </row>
    <row r="68" spans="1:16" outlineLevel="2" x14ac:dyDescent="0.2">
      <c r="A68" s="5">
        <v>46246</v>
      </c>
      <c r="B68" s="2">
        <v>161408</v>
      </c>
      <c r="C68" s="2">
        <v>1</v>
      </c>
      <c r="D68" s="2" t="s">
        <v>66</v>
      </c>
      <c r="E68" s="2" t="s">
        <v>67</v>
      </c>
      <c r="F68" s="2" t="s">
        <v>32</v>
      </c>
      <c r="G68" s="2" t="s">
        <v>68</v>
      </c>
      <c r="H68" s="2" t="s">
        <v>23</v>
      </c>
      <c r="I68" s="2" t="s">
        <v>76</v>
      </c>
      <c r="J68" s="2">
        <v>40</v>
      </c>
      <c r="K68" s="2" t="s">
        <v>70</v>
      </c>
      <c r="L68" s="2">
        <v>1502</v>
      </c>
      <c r="M68" s="2" t="s">
        <v>77</v>
      </c>
      <c r="N68" s="2">
        <v>2</v>
      </c>
      <c r="O68" s="6">
        <v>74055.12</v>
      </c>
      <c r="P68" s="6">
        <v>37027.56</v>
      </c>
    </row>
    <row r="69" spans="1:16" outlineLevel="2" x14ac:dyDescent="0.2">
      <c r="A69" s="5">
        <v>46248</v>
      </c>
      <c r="B69" s="2">
        <v>161518</v>
      </c>
      <c r="C69" s="2">
        <v>1</v>
      </c>
      <c r="D69" s="2" t="s">
        <v>66</v>
      </c>
      <c r="E69" s="2" t="s">
        <v>67</v>
      </c>
      <c r="F69" s="2" t="s">
        <v>32</v>
      </c>
      <c r="G69" s="2" t="s">
        <v>22</v>
      </c>
      <c r="H69" s="2" t="s">
        <v>23</v>
      </c>
      <c r="I69" s="2" t="s">
        <v>95</v>
      </c>
      <c r="J69" s="2">
        <v>40</v>
      </c>
      <c r="K69" s="2" t="s">
        <v>70</v>
      </c>
      <c r="L69" s="2">
        <v>1502</v>
      </c>
      <c r="M69" s="2" t="s">
        <v>77</v>
      </c>
      <c r="N69" s="2">
        <v>29</v>
      </c>
      <c r="O69" s="6">
        <v>980448.42</v>
      </c>
      <c r="P69" s="6">
        <v>33808.57</v>
      </c>
    </row>
    <row r="70" spans="1:16" outlineLevel="2" x14ac:dyDescent="0.2">
      <c r="A70" s="5">
        <v>46246</v>
      </c>
      <c r="B70" s="2">
        <v>161589</v>
      </c>
      <c r="C70" s="2">
        <v>3</v>
      </c>
      <c r="D70" s="2" t="s">
        <v>66</v>
      </c>
      <c r="E70" s="2" t="s">
        <v>67</v>
      </c>
      <c r="F70" s="2" t="s">
        <v>102</v>
      </c>
      <c r="G70" s="2" t="s">
        <v>22</v>
      </c>
      <c r="H70" s="2" t="s">
        <v>23</v>
      </c>
      <c r="I70" s="2" t="s">
        <v>73</v>
      </c>
      <c r="J70" s="2">
        <v>1</v>
      </c>
      <c r="K70" s="2" t="s">
        <v>34</v>
      </c>
      <c r="L70" s="2">
        <v>2814</v>
      </c>
      <c r="M70" s="2" t="s">
        <v>118</v>
      </c>
      <c r="N70" s="2">
        <v>11</v>
      </c>
      <c r="O70" s="6">
        <v>374632.75</v>
      </c>
      <c r="P70" s="6">
        <v>34057.519999999997</v>
      </c>
    </row>
    <row r="71" spans="1:16" outlineLevel="1" x14ac:dyDescent="0.2">
      <c r="A71" s="5"/>
      <c r="D71" s="4" t="s">
        <v>181</v>
      </c>
      <c r="E71" s="4"/>
      <c r="F71" s="4"/>
      <c r="G71" s="4"/>
      <c r="H71" s="4"/>
      <c r="I71" s="4"/>
      <c r="J71" s="4"/>
      <c r="K71" s="4"/>
      <c r="L71" s="4"/>
      <c r="M71" s="4"/>
      <c r="N71" s="4">
        <f>SUBTOTAL(9,N66:N70)</f>
        <v>186</v>
      </c>
      <c r="O71" s="7">
        <f>SUBTOTAL(9,O66:O70)</f>
        <v>9873657.209999999</v>
      </c>
      <c r="P71" s="7">
        <f>+O71/N71</f>
        <v>53084.178548387092</v>
      </c>
    </row>
    <row r="72" spans="1:16" outlineLevel="2" x14ac:dyDescent="0.2">
      <c r="A72" s="5">
        <v>46251</v>
      </c>
      <c r="B72" s="2">
        <v>161690</v>
      </c>
      <c r="C72" s="2">
        <v>1</v>
      </c>
      <c r="D72" s="2" t="s">
        <v>141</v>
      </c>
      <c r="E72" s="2" t="s">
        <v>67</v>
      </c>
      <c r="F72" s="2" t="s">
        <v>32</v>
      </c>
      <c r="G72" s="2" t="s">
        <v>68</v>
      </c>
      <c r="H72" s="2" t="s">
        <v>23</v>
      </c>
      <c r="I72" s="2" t="s">
        <v>76</v>
      </c>
      <c r="J72" s="2">
        <v>40</v>
      </c>
      <c r="K72" s="2" t="s">
        <v>70</v>
      </c>
      <c r="L72" s="2">
        <v>25243</v>
      </c>
      <c r="M72" s="2" t="s">
        <v>142</v>
      </c>
      <c r="N72" s="2">
        <v>272</v>
      </c>
      <c r="O72" s="6">
        <v>13191043.92</v>
      </c>
      <c r="P72" s="6">
        <v>48496.49</v>
      </c>
    </row>
    <row r="73" spans="1:16" outlineLevel="2" x14ac:dyDescent="0.2">
      <c r="A73" s="5">
        <v>46251</v>
      </c>
      <c r="B73" s="2">
        <v>161690</v>
      </c>
      <c r="C73" s="2">
        <v>2</v>
      </c>
      <c r="D73" s="2" t="s">
        <v>141</v>
      </c>
      <c r="E73" s="2" t="s">
        <v>67</v>
      </c>
      <c r="F73" s="2" t="s">
        <v>32</v>
      </c>
      <c r="G73" s="2" t="s">
        <v>68</v>
      </c>
      <c r="H73" s="2" t="s">
        <v>23</v>
      </c>
      <c r="I73" s="2" t="s">
        <v>143</v>
      </c>
      <c r="J73" s="2">
        <v>40</v>
      </c>
      <c r="K73" s="2" t="s">
        <v>70</v>
      </c>
      <c r="L73" s="2">
        <v>25243</v>
      </c>
      <c r="M73" s="2" t="s">
        <v>142</v>
      </c>
      <c r="N73" s="2">
        <v>97</v>
      </c>
      <c r="O73" s="6">
        <v>4867356.66</v>
      </c>
      <c r="P73" s="6">
        <v>50178.93</v>
      </c>
    </row>
    <row r="74" spans="1:16" outlineLevel="2" x14ac:dyDescent="0.2">
      <c r="A74" s="5">
        <v>46251</v>
      </c>
      <c r="B74" s="2">
        <v>161690</v>
      </c>
      <c r="C74" s="2">
        <v>3</v>
      </c>
      <c r="D74" s="2" t="s">
        <v>141</v>
      </c>
      <c r="E74" s="2" t="s">
        <v>67</v>
      </c>
      <c r="F74" s="2" t="s">
        <v>32</v>
      </c>
      <c r="G74" s="2" t="s">
        <v>68</v>
      </c>
      <c r="H74" s="2" t="s">
        <v>23</v>
      </c>
      <c r="I74" s="2" t="s">
        <v>144</v>
      </c>
      <c r="J74" s="2">
        <v>40</v>
      </c>
      <c r="K74" s="2" t="s">
        <v>70</v>
      </c>
      <c r="L74" s="2">
        <v>25243</v>
      </c>
      <c r="M74" s="2" t="s">
        <v>142</v>
      </c>
      <c r="N74" s="2">
        <v>90</v>
      </c>
      <c r="O74" s="6">
        <v>4146745.41</v>
      </c>
      <c r="P74" s="6">
        <v>46074.95</v>
      </c>
    </row>
    <row r="75" spans="1:16" outlineLevel="1" x14ac:dyDescent="0.2">
      <c r="A75" s="5"/>
      <c r="D75" s="4" t="s">
        <v>182</v>
      </c>
      <c r="E75" s="4"/>
      <c r="F75" s="4"/>
      <c r="G75" s="4"/>
      <c r="H75" s="4"/>
      <c r="I75" s="4"/>
      <c r="J75" s="4"/>
      <c r="K75" s="4"/>
      <c r="L75" s="4"/>
      <c r="M75" s="4"/>
      <c r="N75" s="4">
        <f>SUBTOTAL(9,N72:N74)</f>
        <v>459</v>
      </c>
      <c r="O75" s="7">
        <f>SUBTOTAL(9,O72:O74)</f>
        <v>22205145.989999998</v>
      </c>
      <c r="P75" s="7">
        <f>+O75/N75</f>
        <v>48377.224379084961</v>
      </c>
    </row>
    <row r="76" spans="1:16" outlineLevel="2" x14ac:dyDescent="0.2">
      <c r="A76" s="5">
        <v>46244</v>
      </c>
      <c r="B76" s="2">
        <v>161408</v>
      </c>
      <c r="C76" s="2">
        <v>300</v>
      </c>
      <c r="D76" s="2" t="s">
        <v>78</v>
      </c>
      <c r="E76" s="2" t="s">
        <v>67</v>
      </c>
      <c r="F76" s="2" t="s">
        <v>79</v>
      </c>
      <c r="G76" s="2" t="s">
        <v>23</v>
      </c>
      <c r="H76" s="2" t="s">
        <v>23</v>
      </c>
      <c r="I76" s="2" t="s">
        <v>23</v>
      </c>
      <c r="J76" s="2">
        <v>40</v>
      </c>
      <c r="K76" s="2" t="s">
        <v>70</v>
      </c>
      <c r="L76" s="2">
        <v>133</v>
      </c>
      <c r="M76" s="2" t="s">
        <v>80</v>
      </c>
      <c r="N76" s="2">
        <v>44</v>
      </c>
      <c r="O76" s="6">
        <v>666213.37</v>
      </c>
      <c r="P76" s="6">
        <v>15141.21</v>
      </c>
    </row>
    <row r="77" spans="1:16" outlineLevel="1" x14ac:dyDescent="0.2">
      <c r="A77" s="5"/>
      <c r="D77" s="4" t="s">
        <v>183</v>
      </c>
      <c r="E77" s="4"/>
      <c r="F77" s="4"/>
      <c r="G77" s="4"/>
      <c r="H77" s="4"/>
      <c r="I77" s="4"/>
      <c r="J77" s="4"/>
      <c r="K77" s="4"/>
      <c r="L77" s="4"/>
      <c r="M77" s="4"/>
      <c r="N77" s="4">
        <f>SUBTOTAL(9,N76:N76)</f>
        <v>44</v>
      </c>
      <c r="O77" s="7">
        <f>SUBTOTAL(9,O76:O76)</f>
        <v>666213.37</v>
      </c>
      <c r="P77" s="7">
        <f>+O77/N77</f>
        <v>15141.212954545454</v>
      </c>
    </row>
    <row r="78" spans="1:16" outlineLevel="2" x14ac:dyDescent="0.2">
      <c r="A78" s="5">
        <v>46251</v>
      </c>
      <c r="B78" s="2">
        <v>161689</v>
      </c>
      <c r="C78" s="2">
        <v>1</v>
      </c>
      <c r="D78" s="2" t="s">
        <v>139</v>
      </c>
      <c r="E78" s="2" t="s">
        <v>140</v>
      </c>
      <c r="F78" s="2" t="s">
        <v>32</v>
      </c>
      <c r="G78" s="2" t="s">
        <v>22</v>
      </c>
      <c r="H78" s="2" t="s">
        <v>23</v>
      </c>
      <c r="I78" s="2" t="s">
        <v>23</v>
      </c>
      <c r="J78" s="2">
        <v>5</v>
      </c>
      <c r="K78" s="2" t="s">
        <v>45</v>
      </c>
      <c r="L78" s="2">
        <v>2521</v>
      </c>
      <c r="M78" s="2" t="s">
        <v>42</v>
      </c>
      <c r="N78" s="2">
        <v>35</v>
      </c>
      <c r="O78" s="6">
        <v>1115187.3899999999</v>
      </c>
      <c r="P78" s="6">
        <v>31862.5</v>
      </c>
    </row>
    <row r="79" spans="1:16" outlineLevel="1" x14ac:dyDescent="0.2">
      <c r="A79" s="5"/>
      <c r="D79" s="4" t="s">
        <v>184</v>
      </c>
      <c r="E79" s="4"/>
      <c r="F79" s="4"/>
      <c r="G79" s="4"/>
      <c r="H79" s="4"/>
      <c r="I79" s="4"/>
      <c r="J79" s="4"/>
      <c r="K79" s="4"/>
      <c r="L79" s="4"/>
      <c r="M79" s="4"/>
      <c r="N79" s="4">
        <f>SUBTOTAL(9,N78:N78)</f>
        <v>35</v>
      </c>
      <c r="O79" s="7">
        <f>SUBTOTAL(9,O78:O78)</f>
        <v>1115187.3899999999</v>
      </c>
      <c r="P79" s="7">
        <f>+O79/N79</f>
        <v>31862.496857142854</v>
      </c>
    </row>
    <row r="80" spans="1:16" outlineLevel="2" x14ac:dyDescent="0.2">
      <c r="A80" s="5">
        <v>46251</v>
      </c>
      <c r="B80" s="2">
        <v>161724</v>
      </c>
      <c r="C80" s="2">
        <v>1</v>
      </c>
      <c r="D80" s="2" t="s">
        <v>147</v>
      </c>
      <c r="E80" s="2" t="s">
        <v>148</v>
      </c>
      <c r="F80" s="2" t="s">
        <v>32</v>
      </c>
      <c r="G80" s="2" t="s">
        <v>22</v>
      </c>
      <c r="H80" s="2" t="s">
        <v>23</v>
      </c>
      <c r="I80" s="2" t="s">
        <v>23</v>
      </c>
      <c r="J80" s="2">
        <v>5</v>
      </c>
      <c r="K80" s="2" t="s">
        <v>45</v>
      </c>
      <c r="L80" s="2">
        <v>2521</v>
      </c>
      <c r="M80" s="2" t="s">
        <v>42</v>
      </c>
      <c r="N80" s="2">
        <v>39</v>
      </c>
      <c r="O80" s="6">
        <v>1160922.5900000001</v>
      </c>
      <c r="P80" s="6">
        <v>29767.25</v>
      </c>
    </row>
    <row r="81" spans="1:16" outlineLevel="1" x14ac:dyDescent="0.2">
      <c r="A81" s="5"/>
      <c r="D81" s="4" t="s">
        <v>185</v>
      </c>
      <c r="E81" s="4"/>
      <c r="F81" s="4"/>
      <c r="G81" s="4"/>
      <c r="H81" s="4"/>
      <c r="I81" s="4"/>
      <c r="J81" s="4"/>
      <c r="K81" s="4"/>
      <c r="L81" s="4"/>
      <c r="M81" s="4"/>
      <c r="N81" s="4">
        <f>SUBTOTAL(9,N80:N80)</f>
        <v>39</v>
      </c>
      <c r="O81" s="7">
        <f>SUBTOTAL(9,O80:O80)</f>
        <v>1160922.5900000001</v>
      </c>
      <c r="P81" s="7">
        <f>+O81/N81</f>
        <v>29767.2458974359</v>
      </c>
    </row>
    <row r="82" spans="1:16" outlineLevel="2" x14ac:dyDescent="0.2">
      <c r="A82" s="5">
        <v>46241</v>
      </c>
      <c r="B82" s="2">
        <v>161462</v>
      </c>
      <c r="C82" s="2">
        <v>3</v>
      </c>
      <c r="D82" s="2" t="s">
        <v>92</v>
      </c>
      <c r="E82" s="2" t="s">
        <v>93</v>
      </c>
      <c r="F82" s="2" t="s">
        <v>89</v>
      </c>
      <c r="G82" s="2" t="s">
        <v>22</v>
      </c>
      <c r="H82" s="2" t="s">
        <v>90</v>
      </c>
      <c r="I82" s="2" t="s">
        <v>23</v>
      </c>
      <c r="J82" s="2">
        <v>78</v>
      </c>
      <c r="K82" s="2" t="s">
        <v>94</v>
      </c>
      <c r="L82" s="2">
        <v>226</v>
      </c>
      <c r="M82" s="2" t="s">
        <v>91</v>
      </c>
      <c r="N82" s="2">
        <v>4</v>
      </c>
      <c r="O82" s="6">
        <v>81212.639999999999</v>
      </c>
      <c r="P82" s="6">
        <v>20303.16</v>
      </c>
    </row>
    <row r="83" spans="1:16" outlineLevel="2" x14ac:dyDescent="0.2">
      <c r="A83" s="5">
        <v>46251</v>
      </c>
      <c r="B83" s="2">
        <v>161739</v>
      </c>
      <c r="C83" s="2">
        <v>2</v>
      </c>
      <c r="D83" s="2" t="s">
        <v>92</v>
      </c>
      <c r="E83" s="2" t="s">
        <v>93</v>
      </c>
      <c r="F83" s="2" t="s">
        <v>89</v>
      </c>
      <c r="G83" s="2" t="s">
        <v>22</v>
      </c>
      <c r="H83" s="2" t="s">
        <v>23</v>
      </c>
      <c r="I83" s="2" t="s">
        <v>23</v>
      </c>
      <c r="J83" s="2">
        <v>78</v>
      </c>
      <c r="K83" s="2" t="s">
        <v>94</v>
      </c>
      <c r="L83" s="2">
        <v>226</v>
      </c>
      <c r="M83" s="2" t="s">
        <v>91</v>
      </c>
      <c r="N83" s="2">
        <v>38</v>
      </c>
      <c r="O83" s="6">
        <v>759240.58</v>
      </c>
      <c r="P83" s="6">
        <v>19980.02</v>
      </c>
    </row>
    <row r="84" spans="1:16" outlineLevel="1" x14ac:dyDescent="0.2">
      <c r="A84" s="5"/>
      <c r="D84" s="4" t="s">
        <v>186</v>
      </c>
      <c r="E84" s="4"/>
      <c r="F84" s="4"/>
      <c r="G84" s="4"/>
      <c r="H84" s="4"/>
      <c r="I84" s="4"/>
      <c r="J84" s="4"/>
      <c r="K84" s="4"/>
      <c r="L84" s="4"/>
      <c r="M84" s="4"/>
      <c r="N84" s="4">
        <f>SUBTOTAL(9,N82:N83)</f>
        <v>42</v>
      </c>
      <c r="O84" s="7">
        <f>SUBTOTAL(9,O82:O83)</f>
        <v>840453.22</v>
      </c>
      <c r="P84" s="7">
        <f>+O84/N84</f>
        <v>20010.79095238095</v>
      </c>
    </row>
    <row r="85" spans="1:16" outlineLevel="2" x14ac:dyDescent="0.2">
      <c r="A85" s="5">
        <v>46244</v>
      </c>
      <c r="B85" s="2">
        <v>161409</v>
      </c>
      <c r="C85" s="2">
        <v>2</v>
      </c>
      <c r="D85" s="2" t="s">
        <v>81</v>
      </c>
      <c r="E85" s="2" t="s">
        <v>23</v>
      </c>
      <c r="F85" s="2" t="s">
        <v>82</v>
      </c>
      <c r="G85" s="2" t="s">
        <v>22</v>
      </c>
      <c r="H85" s="2" t="s">
        <v>23</v>
      </c>
      <c r="I85" s="2" t="s">
        <v>23</v>
      </c>
      <c r="J85" s="2">
        <v>1</v>
      </c>
      <c r="K85" s="2" t="s">
        <v>34</v>
      </c>
      <c r="L85" s="2">
        <v>2024</v>
      </c>
      <c r="M85" s="2" t="s">
        <v>83</v>
      </c>
      <c r="N85" s="2">
        <v>3</v>
      </c>
      <c r="O85" s="6">
        <v>117616.75</v>
      </c>
      <c r="P85" s="6">
        <v>39205.58</v>
      </c>
    </row>
    <row r="86" spans="1:16" outlineLevel="1" x14ac:dyDescent="0.2">
      <c r="A86" s="5"/>
      <c r="D86" s="4" t="s">
        <v>187</v>
      </c>
      <c r="E86" s="4"/>
      <c r="F86" s="4"/>
      <c r="G86" s="4"/>
      <c r="H86" s="4"/>
      <c r="I86" s="4"/>
      <c r="J86" s="4"/>
      <c r="K86" s="4"/>
      <c r="L86" s="4"/>
      <c r="M86" s="4"/>
      <c r="N86" s="4">
        <f>SUBTOTAL(9,N85:N85)</f>
        <v>3</v>
      </c>
      <c r="O86" s="7">
        <f>SUBTOTAL(9,O85:O85)</f>
        <v>117616.75</v>
      </c>
      <c r="P86" s="7">
        <f>+O86/N86</f>
        <v>39205.583333333336</v>
      </c>
    </row>
    <row r="87" spans="1:16" outlineLevel="2" x14ac:dyDescent="0.2">
      <c r="A87" s="5">
        <v>46246</v>
      </c>
      <c r="B87" s="2">
        <v>161558</v>
      </c>
      <c r="C87" s="2">
        <v>1</v>
      </c>
      <c r="D87" s="2" t="s">
        <v>100</v>
      </c>
      <c r="E87" s="2" t="s">
        <v>23</v>
      </c>
      <c r="F87" s="2" t="s">
        <v>21</v>
      </c>
      <c r="G87" s="2" t="s">
        <v>22</v>
      </c>
      <c r="H87" s="2" t="s">
        <v>23</v>
      </c>
      <c r="I87" s="2" t="s">
        <v>23</v>
      </c>
      <c r="J87" s="2">
        <v>1</v>
      </c>
      <c r="K87" s="2" t="s">
        <v>34</v>
      </c>
      <c r="L87" s="2">
        <v>25213</v>
      </c>
      <c r="M87" s="2" t="s">
        <v>101</v>
      </c>
      <c r="N87" s="2">
        <v>1</v>
      </c>
      <c r="O87" s="6">
        <v>97701.08</v>
      </c>
      <c r="P87" s="6">
        <v>97701.08</v>
      </c>
    </row>
    <row r="88" spans="1:16" outlineLevel="2" x14ac:dyDescent="0.2">
      <c r="A88" s="5">
        <v>46248</v>
      </c>
      <c r="B88" s="2">
        <v>161627</v>
      </c>
      <c r="C88" s="2">
        <v>1</v>
      </c>
      <c r="D88" s="2" t="s">
        <v>100</v>
      </c>
      <c r="E88" s="2" t="s">
        <v>23</v>
      </c>
      <c r="F88" s="2" t="s">
        <v>21</v>
      </c>
      <c r="G88" s="2" t="s">
        <v>22</v>
      </c>
      <c r="H88" s="2" t="s">
        <v>23</v>
      </c>
      <c r="I88" s="2" t="s">
        <v>23</v>
      </c>
      <c r="J88" s="2">
        <v>41</v>
      </c>
      <c r="K88" s="2" t="s">
        <v>63</v>
      </c>
      <c r="L88" s="2">
        <v>25213</v>
      </c>
      <c r="M88" s="2" t="s">
        <v>101</v>
      </c>
      <c r="N88" s="2">
        <v>10</v>
      </c>
      <c r="O88" s="6">
        <v>38904.800000000003</v>
      </c>
      <c r="P88" s="6">
        <v>3890.48</v>
      </c>
    </row>
    <row r="89" spans="1:16" outlineLevel="2" x14ac:dyDescent="0.2">
      <c r="A89" s="5">
        <v>46251</v>
      </c>
      <c r="B89" s="2">
        <v>161740</v>
      </c>
      <c r="C89" s="2">
        <v>5</v>
      </c>
      <c r="D89" s="2" t="s">
        <v>100</v>
      </c>
      <c r="E89" s="2" t="s">
        <v>23</v>
      </c>
      <c r="F89" s="2" t="s">
        <v>21</v>
      </c>
      <c r="G89" s="2" t="s">
        <v>22</v>
      </c>
      <c r="H89" s="2" t="s">
        <v>23</v>
      </c>
      <c r="I89" s="2" t="s">
        <v>23</v>
      </c>
      <c r="J89" s="2">
        <v>1</v>
      </c>
      <c r="K89" s="2" t="s">
        <v>34</v>
      </c>
      <c r="L89" s="2">
        <v>25213</v>
      </c>
      <c r="M89" s="2" t="s">
        <v>101</v>
      </c>
      <c r="N89" s="2">
        <v>5</v>
      </c>
      <c r="O89" s="6">
        <v>488505.4</v>
      </c>
      <c r="P89" s="6">
        <v>97701.08</v>
      </c>
    </row>
    <row r="90" spans="1:16" outlineLevel="2" x14ac:dyDescent="0.2">
      <c r="A90" s="5">
        <v>46251</v>
      </c>
      <c r="B90" s="2">
        <v>161740</v>
      </c>
      <c r="C90" s="2">
        <v>6</v>
      </c>
      <c r="D90" s="2" t="s">
        <v>100</v>
      </c>
      <c r="E90" s="2" t="s">
        <v>23</v>
      </c>
      <c r="F90" s="2" t="s">
        <v>21</v>
      </c>
      <c r="G90" s="2" t="s">
        <v>22</v>
      </c>
      <c r="H90" s="2" t="s">
        <v>23</v>
      </c>
      <c r="I90" s="2" t="s">
        <v>23</v>
      </c>
      <c r="J90" s="2">
        <v>41</v>
      </c>
      <c r="K90" s="2" t="s">
        <v>63</v>
      </c>
      <c r="L90" s="2">
        <v>25213</v>
      </c>
      <c r="M90" s="2" t="s">
        <v>101</v>
      </c>
      <c r="N90" s="2">
        <v>50</v>
      </c>
      <c r="O90" s="6">
        <v>199794</v>
      </c>
      <c r="P90" s="6">
        <v>3995.88</v>
      </c>
    </row>
    <row r="91" spans="1:16" outlineLevel="1" x14ac:dyDescent="0.2">
      <c r="A91" s="5"/>
      <c r="D91" s="4" t="s">
        <v>188</v>
      </c>
      <c r="E91" s="4"/>
      <c r="F91" s="4"/>
      <c r="G91" s="4"/>
      <c r="H91" s="4"/>
      <c r="I91" s="4"/>
      <c r="J91" s="4"/>
      <c r="K91" s="4"/>
      <c r="L91" s="4"/>
      <c r="M91" s="4"/>
      <c r="N91" s="4">
        <f>SUBTOTAL(9,N87:N90)</f>
        <v>66</v>
      </c>
      <c r="O91" s="7">
        <f>SUBTOTAL(9,O87:O90)</f>
        <v>824905.28</v>
      </c>
      <c r="P91" s="7">
        <f>+O91/N91</f>
        <v>12498.56484848485</v>
      </c>
    </row>
    <row r="92" spans="1:16" outlineLevel="2" x14ac:dyDescent="0.2">
      <c r="A92" s="5">
        <v>46248</v>
      </c>
      <c r="B92" s="2">
        <v>161629</v>
      </c>
      <c r="C92" s="2">
        <v>1</v>
      </c>
      <c r="D92" s="2" t="s">
        <v>135</v>
      </c>
      <c r="E92" s="2" t="s">
        <v>136</v>
      </c>
      <c r="F92" s="2" t="s">
        <v>21</v>
      </c>
      <c r="G92" s="2" t="s">
        <v>22</v>
      </c>
      <c r="H92" s="2" t="s">
        <v>23</v>
      </c>
      <c r="I92" s="2" t="s">
        <v>23</v>
      </c>
      <c r="J92" s="2">
        <v>41</v>
      </c>
      <c r="K92" s="2" t="s">
        <v>63</v>
      </c>
      <c r="L92" s="2">
        <v>2338</v>
      </c>
      <c r="M92" s="2" t="s">
        <v>137</v>
      </c>
      <c r="N92" s="2">
        <v>59</v>
      </c>
      <c r="O92" s="6">
        <v>61332.24</v>
      </c>
      <c r="P92" s="6">
        <v>1039.53</v>
      </c>
    </row>
    <row r="93" spans="1:16" outlineLevel="2" x14ac:dyDescent="0.2">
      <c r="A93" s="5">
        <v>46251</v>
      </c>
      <c r="B93" s="2">
        <v>161744</v>
      </c>
      <c r="C93" s="2">
        <v>1</v>
      </c>
      <c r="D93" s="2" t="s">
        <v>135</v>
      </c>
      <c r="E93" s="2" t="s">
        <v>136</v>
      </c>
      <c r="F93" s="2" t="s">
        <v>21</v>
      </c>
      <c r="G93" s="2" t="s">
        <v>22</v>
      </c>
      <c r="H93" s="2" t="s">
        <v>23</v>
      </c>
      <c r="I93" s="2" t="s">
        <v>23</v>
      </c>
      <c r="J93" s="2">
        <v>41</v>
      </c>
      <c r="K93" s="2" t="s">
        <v>63</v>
      </c>
      <c r="L93" s="2">
        <v>2338</v>
      </c>
      <c r="M93" s="2" t="s">
        <v>137</v>
      </c>
      <c r="N93" s="2">
        <v>597</v>
      </c>
      <c r="O93" s="6">
        <v>593468.88</v>
      </c>
      <c r="P93" s="6">
        <v>994.09</v>
      </c>
    </row>
    <row r="94" spans="1:16" outlineLevel="1" x14ac:dyDescent="0.2">
      <c r="A94" s="5"/>
      <c r="D94" s="4" t="s">
        <v>189</v>
      </c>
      <c r="E94" s="4"/>
      <c r="F94" s="4"/>
      <c r="G94" s="4"/>
      <c r="H94" s="4"/>
      <c r="I94" s="4"/>
      <c r="J94" s="4"/>
      <c r="K94" s="4"/>
      <c r="L94" s="4"/>
      <c r="M94" s="4"/>
      <c r="N94" s="4">
        <f>SUBTOTAL(9,N92:N93)</f>
        <v>656</v>
      </c>
      <c r="O94" s="7">
        <f>SUBTOTAL(9,O92:O93)</f>
        <v>654801.12</v>
      </c>
      <c r="P94" s="7">
        <f>+O94/N94</f>
        <v>998.1724390243902</v>
      </c>
    </row>
    <row r="95" spans="1:16" outlineLevel="2" x14ac:dyDescent="0.2">
      <c r="A95" s="5">
        <v>46248</v>
      </c>
      <c r="B95" s="2">
        <v>161625</v>
      </c>
      <c r="C95" s="2">
        <v>1</v>
      </c>
      <c r="D95" s="2" t="s">
        <v>128</v>
      </c>
      <c r="E95" s="2" t="s">
        <v>129</v>
      </c>
      <c r="F95" s="2" t="s">
        <v>62</v>
      </c>
      <c r="G95" s="2" t="s">
        <v>22</v>
      </c>
      <c r="H95" s="2" t="s">
        <v>23</v>
      </c>
      <c r="I95" s="2" t="s">
        <v>23</v>
      </c>
      <c r="J95" s="2">
        <v>1</v>
      </c>
      <c r="K95" s="2" t="s">
        <v>34</v>
      </c>
      <c r="L95" s="2">
        <v>25145</v>
      </c>
      <c r="M95" s="2" t="s">
        <v>130</v>
      </c>
      <c r="N95" s="2">
        <v>27</v>
      </c>
      <c r="O95" s="6">
        <v>810876</v>
      </c>
      <c r="P95" s="6">
        <v>30032.44</v>
      </c>
    </row>
    <row r="96" spans="1:16" outlineLevel="1" x14ac:dyDescent="0.2">
      <c r="A96" s="5"/>
      <c r="D96" s="4" t="s">
        <v>190</v>
      </c>
      <c r="E96" s="4"/>
      <c r="F96" s="4"/>
      <c r="G96" s="4"/>
      <c r="H96" s="4"/>
      <c r="I96" s="4"/>
      <c r="J96" s="4"/>
      <c r="K96" s="4"/>
      <c r="L96" s="4"/>
      <c r="M96" s="4"/>
      <c r="N96" s="4">
        <f>SUBTOTAL(9,N95:N95)</f>
        <v>27</v>
      </c>
      <c r="O96" s="7">
        <f>SUBTOTAL(9,O95:O95)</f>
        <v>810876</v>
      </c>
      <c r="P96" s="7">
        <f>+O96/N96</f>
        <v>30032.444444444445</v>
      </c>
    </row>
    <row r="97" spans="1:16" outlineLevel="2" x14ac:dyDescent="0.2">
      <c r="A97" s="5">
        <v>45790</v>
      </c>
      <c r="B97" s="2">
        <v>150150</v>
      </c>
      <c r="C97" s="2">
        <v>503</v>
      </c>
      <c r="D97" s="2" t="s">
        <v>19</v>
      </c>
      <c r="E97" s="2" t="s">
        <v>20</v>
      </c>
      <c r="F97" s="2" t="s">
        <v>21</v>
      </c>
      <c r="G97" s="2" t="s">
        <v>22</v>
      </c>
      <c r="H97" s="2" t="s">
        <v>23</v>
      </c>
      <c r="I97" s="2" t="s">
        <v>23</v>
      </c>
      <c r="J97" s="2">
        <v>2</v>
      </c>
      <c r="K97" s="2" t="s">
        <v>24</v>
      </c>
      <c r="L97" s="2">
        <v>626</v>
      </c>
      <c r="M97" s="2" t="s">
        <v>25</v>
      </c>
      <c r="N97" s="2">
        <v>0</v>
      </c>
      <c r="O97" s="6">
        <v>5600.63</v>
      </c>
      <c r="P97" s="6">
        <v>0</v>
      </c>
    </row>
    <row r="98" spans="1:16" outlineLevel="2" x14ac:dyDescent="0.2">
      <c r="A98" s="5">
        <v>46251</v>
      </c>
      <c r="B98" s="2">
        <v>161776</v>
      </c>
      <c r="C98" s="2">
        <v>15</v>
      </c>
      <c r="D98" s="2" t="s">
        <v>19</v>
      </c>
      <c r="E98" s="2" t="s">
        <v>20</v>
      </c>
      <c r="F98" s="2" t="s">
        <v>62</v>
      </c>
      <c r="G98" s="2" t="s">
        <v>22</v>
      </c>
      <c r="H98" s="2" t="s">
        <v>23</v>
      </c>
      <c r="I98" s="2" t="s">
        <v>23</v>
      </c>
      <c r="J98" s="2">
        <v>2</v>
      </c>
      <c r="K98" s="2" t="s">
        <v>24</v>
      </c>
      <c r="L98" s="2">
        <v>801</v>
      </c>
      <c r="M98" s="2" t="s">
        <v>64</v>
      </c>
      <c r="N98" s="2">
        <v>2</v>
      </c>
      <c r="O98" s="6">
        <v>14315.02</v>
      </c>
      <c r="P98" s="6">
        <v>7157.51</v>
      </c>
    </row>
    <row r="99" spans="1:16" outlineLevel="2" x14ac:dyDescent="0.2">
      <c r="A99" s="5">
        <v>46251</v>
      </c>
      <c r="B99" s="2">
        <v>161776</v>
      </c>
      <c r="C99" s="2">
        <v>9</v>
      </c>
      <c r="D99" s="2" t="s">
        <v>19</v>
      </c>
      <c r="E99" s="2" t="s">
        <v>155</v>
      </c>
      <c r="F99" s="2" t="s">
        <v>62</v>
      </c>
      <c r="G99" s="2" t="s">
        <v>22</v>
      </c>
      <c r="H99" s="2" t="s">
        <v>23</v>
      </c>
      <c r="I99" s="2" t="s">
        <v>23</v>
      </c>
      <c r="J99" s="2">
        <v>2</v>
      </c>
      <c r="K99" s="2" t="s">
        <v>24</v>
      </c>
      <c r="L99" s="2">
        <v>801</v>
      </c>
      <c r="M99" s="2" t="s">
        <v>64</v>
      </c>
      <c r="N99" s="2">
        <v>25</v>
      </c>
      <c r="O99" s="6">
        <v>832345</v>
      </c>
      <c r="P99" s="6">
        <v>33293.800000000003</v>
      </c>
    </row>
    <row r="100" spans="1:16" outlineLevel="2" x14ac:dyDescent="0.2">
      <c r="A100" s="5">
        <v>46251</v>
      </c>
      <c r="B100" s="2">
        <v>161776</v>
      </c>
      <c r="C100" s="2">
        <v>10</v>
      </c>
      <c r="D100" s="2" t="s">
        <v>19</v>
      </c>
      <c r="E100" s="2" t="s">
        <v>155</v>
      </c>
      <c r="F100" s="2" t="s">
        <v>62</v>
      </c>
      <c r="G100" s="2" t="s">
        <v>22</v>
      </c>
      <c r="H100" s="2" t="s">
        <v>23</v>
      </c>
      <c r="I100" s="2" t="s">
        <v>23</v>
      </c>
      <c r="J100" s="2">
        <v>41</v>
      </c>
      <c r="K100" s="2" t="s">
        <v>63</v>
      </c>
      <c r="L100" s="2">
        <v>801</v>
      </c>
      <c r="M100" s="2" t="s">
        <v>64</v>
      </c>
      <c r="N100" s="2">
        <v>60</v>
      </c>
      <c r="O100" s="6">
        <v>1071350.52</v>
      </c>
      <c r="P100" s="6">
        <v>17855.84</v>
      </c>
    </row>
    <row r="101" spans="1:16" outlineLevel="2" x14ac:dyDescent="0.2">
      <c r="A101" s="5">
        <v>46232</v>
      </c>
      <c r="B101" s="2">
        <v>161248</v>
      </c>
      <c r="C101" s="2">
        <v>2</v>
      </c>
      <c r="D101" s="2" t="s">
        <v>19</v>
      </c>
      <c r="E101" s="2" t="s">
        <v>61</v>
      </c>
      <c r="F101" s="2" t="s">
        <v>62</v>
      </c>
      <c r="G101" s="2" t="s">
        <v>22</v>
      </c>
      <c r="H101" s="2" t="s">
        <v>23</v>
      </c>
      <c r="I101" s="2" t="s">
        <v>23</v>
      </c>
      <c r="J101" s="2">
        <v>41</v>
      </c>
      <c r="K101" s="2" t="s">
        <v>63</v>
      </c>
      <c r="L101" s="2">
        <v>801</v>
      </c>
      <c r="M101" s="2" t="s">
        <v>64</v>
      </c>
      <c r="N101" s="2">
        <v>3</v>
      </c>
      <c r="O101" s="6">
        <v>47608.82</v>
      </c>
      <c r="P101" s="6">
        <v>15869.61</v>
      </c>
    </row>
    <row r="102" spans="1:16" outlineLevel="2" x14ac:dyDescent="0.2">
      <c r="A102" s="5">
        <v>46251</v>
      </c>
      <c r="B102" s="2">
        <v>161776</v>
      </c>
      <c r="C102" s="2">
        <v>14</v>
      </c>
      <c r="D102" s="2" t="s">
        <v>19</v>
      </c>
      <c r="E102" s="2" t="s">
        <v>156</v>
      </c>
      <c r="F102" s="2" t="s">
        <v>62</v>
      </c>
      <c r="G102" s="2" t="s">
        <v>22</v>
      </c>
      <c r="H102" s="2" t="s">
        <v>23</v>
      </c>
      <c r="I102" s="2" t="s">
        <v>23</v>
      </c>
      <c r="J102" s="2">
        <v>41</v>
      </c>
      <c r="K102" s="2" t="s">
        <v>63</v>
      </c>
      <c r="L102" s="2">
        <v>801</v>
      </c>
      <c r="M102" s="2" t="s">
        <v>64</v>
      </c>
      <c r="N102" s="2">
        <v>4</v>
      </c>
      <c r="O102" s="6">
        <v>73435.12</v>
      </c>
      <c r="P102" s="6">
        <v>18358.78</v>
      </c>
    </row>
    <row r="103" spans="1:16" outlineLevel="2" x14ac:dyDescent="0.2">
      <c r="A103" s="5">
        <v>46241</v>
      </c>
      <c r="B103" s="2">
        <v>161568</v>
      </c>
      <c r="C103" s="2">
        <v>9</v>
      </c>
      <c r="D103" s="2" t="s">
        <v>19</v>
      </c>
      <c r="E103" s="2" t="s">
        <v>103</v>
      </c>
      <c r="F103" s="2" t="s">
        <v>62</v>
      </c>
      <c r="G103" s="2" t="s">
        <v>22</v>
      </c>
      <c r="H103" s="2" t="s">
        <v>23</v>
      </c>
      <c r="I103" s="2" t="s">
        <v>23</v>
      </c>
      <c r="J103" s="2">
        <v>41</v>
      </c>
      <c r="K103" s="2" t="s">
        <v>63</v>
      </c>
      <c r="L103" s="2">
        <v>25088</v>
      </c>
      <c r="M103" s="2" t="s">
        <v>104</v>
      </c>
      <c r="N103" s="2">
        <v>3</v>
      </c>
      <c r="O103" s="6">
        <v>47608.82</v>
      </c>
      <c r="P103" s="6">
        <v>15869.61</v>
      </c>
    </row>
    <row r="104" spans="1:16" outlineLevel="2" x14ac:dyDescent="0.2">
      <c r="A104" s="5">
        <v>46246</v>
      </c>
      <c r="B104" s="2">
        <v>161646</v>
      </c>
      <c r="C104" s="2">
        <v>6</v>
      </c>
      <c r="D104" s="2" t="s">
        <v>19</v>
      </c>
      <c r="E104" s="2" t="s">
        <v>126</v>
      </c>
      <c r="F104" s="2" t="s">
        <v>62</v>
      </c>
      <c r="G104" s="2" t="s">
        <v>22</v>
      </c>
      <c r="H104" s="2" t="s">
        <v>23</v>
      </c>
      <c r="I104" s="2" t="s">
        <v>23</v>
      </c>
      <c r="J104" s="2">
        <v>2</v>
      </c>
      <c r="K104" s="2" t="s">
        <v>24</v>
      </c>
      <c r="L104" s="2">
        <v>106</v>
      </c>
      <c r="M104" s="2" t="s">
        <v>138</v>
      </c>
      <c r="N104" s="2">
        <v>17</v>
      </c>
      <c r="O104" s="6">
        <v>472960.77</v>
      </c>
      <c r="P104" s="6">
        <v>27821.22</v>
      </c>
    </row>
    <row r="105" spans="1:16" outlineLevel="2" x14ac:dyDescent="0.2">
      <c r="A105" s="5">
        <v>46251</v>
      </c>
      <c r="B105" s="2">
        <v>161777</v>
      </c>
      <c r="C105" s="2">
        <v>5</v>
      </c>
      <c r="D105" s="2" t="s">
        <v>19</v>
      </c>
      <c r="E105" s="2" t="s">
        <v>126</v>
      </c>
      <c r="F105" s="2" t="s">
        <v>62</v>
      </c>
      <c r="G105" s="2" t="s">
        <v>22</v>
      </c>
      <c r="H105" s="2" t="s">
        <v>23</v>
      </c>
      <c r="I105" s="2" t="s">
        <v>23</v>
      </c>
      <c r="J105" s="2">
        <v>2</v>
      </c>
      <c r="K105" s="2" t="s">
        <v>24</v>
      </c>
      <c r="L105" s="2">
        <v>106</v>
      </c>
      <c r="M105" s="2" t="s">
        <v>138</v>
      </c>
      <c r="N105" s="2">
        <v>32</v>
      </c>
      <c r="O105" s="6">
        <v>912290.24</v>
      </c>
      <c r="P105" s="6">
        <v>28509.07</v>
      </c>
    </row>
    <row r="106" spans="1:16" outlineLevel="1" x14ac:dyDescent="0.2">
      <c r="A106" s="5"/>
      <c r="D106" s="4" t="s">
        <v>191</v>
      </c>
      <c r="E106" s="4"/>
      <c r="F106" s="4"/>
      <c r="G106" s="4"/>
      <c r="H106" s="4"/>
      <c r="I106" s="4"/>
      <c r="J106" s="4"/>
      <c r="K106" s="4"/>
      <c r="L106" s="4"/>
      <c r="M106" s="4"/>
      <c r="N106" s="4">
        <f>SUBTOTAL(9,N97:N105)</f>
        <v>146</v>
      </c>
      <c r="O106" s="7">
        <f>SUBTOTAL(9,O97:O105)</f>
        <v>3477514.9400000004</v>
      </c>
      <c r="P106" s="7">
        <f>+O106/N106</f>
        <v>23818.595479452058</v>
      </c>
    </row>
    <row r="107" spans="1:16" outlineLevel="2" x14ac:dyDescent="0.2">
      <c r="A107" s="5">
        <v>46244</v>
      </c>
      <c r="B107" s="2">
        <v>161583</v>
      </c>
      <c r="C107" s="2">
        <v>1</v>
      </c>
      <c r="D107" s="2" t="s">
        <v>46</v>
      </c>
      <c r="E107" s="2" t="s">
        <v>110</v>
      </c>
      <c r="F107" s="2" t="s">
        <v>32</v>
      </c>
      <c r="G107" s="2" t="s">
        <v>22</v>
      </c>
      <c r="H107" s="2" t="s">
        <v>23</v>
      </c>
      <c r="I107" s="2" t="s">
        <v>23</v>
      </c>
      <c r="J107" s="2">
        <v>1</v>
      </c>
      <c r="K107" s="2" t="s">
        <v>34</v>
      </c>
      <c r="L107" s="2">
        <v>2541</v>
      </c>
      <c r="M107" s="2" t="s">
        <v>48</v>
      </c>
      <c r="N107" s="2">
        <v>107</v>
      </c>
      <c r="O107" s="6">
        <v>6986594.4299999997</v>
      </c>
      <c r="P107" s="6">
        <v>65295.28</v>
      </c>
    </row>
    <row r="108" spans="1:16" outlineLevel="2" x14ac:dyDescent="0.2">
      <c r="A108" s="5">
        <v>46244</v>
      </c>
      <c r="B108" s="2">
        <v>161583</v>
      </c>
      <c r="C108" s="2">
        <v>2</v>
      </c>
      <c r="D108" s="2" t="s">
        <v>46</v>
      </c>
      <c r="E108" s="2" t="s">
        <v>111</v>
      </c>
      <c r="F108" s="2" t="s">
        <v>32</v>
      </c>
      <c r="G108" s="2" t="s">
        <v>22</v>
      </c>
      <c r="H108" s="2" t="s">
        <v>23</v>
      </c>
      <c r="I108" s="2" t="s">
        <v>23</v>
      </c>
      <c r="J108" s="2">
        <v>1</v>
      </c>
      <c r="K108" s="2" t="s">
        <v>34</v>
      </c>
      <c r="L108" s="2">
        <v>2541</v>
      </c>
      <c r="M108" s="2" t="s">
        <v>48</v>
      </c>
      <c r="N108" s="2">
        <v>1</v>
      </c>
      <c r="O108" s="6">
        <v>66897.61</v>
      </c>
      <c r="P108" s="6">
        <v>66897.61</v>
      </c>
    </row>
    <row r="109" spans="1:16" outlineLevel="2" x14ac:dyDescent="0.2">
      <c r="A109" s="5">
        <v>46238</v>
      </c>
      <c r="B109" s="2">
        <v>161095</v>
      </c>
      <c r="C109" s="2">
        <v>3</v>
      </c>
      <c r="D109" s="2" t="s">
        <v>46</v>
      </c>
      <c r="E109" s="2" t="s">
        <v>47</v>
      </c>
      <c r="F109" s="2" t="s">
        <v>32</v>
      </c>
      <c r="G109" s="2" t="s">
        <v>22</v>
      </c>
      <c r="H109" s="2" t="s">
        <v>23</v>
      </c>
      <c r="I109" s="2" t="s">
        <v>23</v>
      </c>
      <c r="J109" s="2">
        <v>1</v>
      </c>
      <c r="K109" s="2" t="s">
        <v>34</v>
      </c>
      <c r="L109" s="2">
        <v>2541</v>
      </c>
      <c r="M109" s="2" t="s">
        <v>48</v>
      </c>
      <c r="N109" s="2">
        <v>3</v>
      </c>
      <c r="O109" s="6">
        <v>172689.62</v>
      </c>
      <c r="P109" s="6">
        <v>57563.21</v>
      </c>
    </row>
    <row r="110" spans="1:16" outlineLevel="2" x14ac:dyDescent="0.2">
      <c r="A110" s="5">
        <v>46246</v>
      </c>
      <c r="B110" s="2">
        <v>161208</v>
      </c>
      <c r="C110" s="2">
        <v>2</v>
      </c>
      <c r="D110" s="2" t="s">
        <v>46</v>
      </c>
      <c r="E110" s="2" t="s">
        <v>47</v>
      </c>
      <c r="F110" s="2" t="s">
        <v>32</v>
      </c>
      <c r="G110" s="2" t="s">
        <v>22</v>
      </c>
      <c r="H110" s="2" t="s">
        <v>23</v>
      </c>
      <c r="I110" s="2" t="s">
        <v>23</v>
      </c>
      <c r="J110" s="2">
        <v>86</v>
      </c>
      <c r="K110" s="2" t="s">
        <v>60</v>
      </c>
      <c r="L110" s="2">
        <v>2541</v>
      </c>
      <c r="M110" s="2" t="s">
        <v>48</v>
      </c>
      <c r="N110" s="2">
        <v>2</v>
      </c>
      <c r="O110" s="6">
        <v>74055.12</v>
      </c>
      <c r="P110" s="6">
        <v>37027.56</v>
      </c>
    </row>
    <row r="111" spans="1:16" outlineLevel="2" x14ac:dyDescent="0.2">
      <c r="A111" s="5">
        <v>46246</v>
      </c>
      <c r="B111" s="2">
        <v>161399</v>
      </c>
      <c r="C111" s="2">
        <v>4</v>
      </c>
      <c r="D111" s="2" t="s">
        <v>46</v>
      </c>
      <c r="E111" s="2" t="s">
        <v>47</v>
      </c>
      <c r="F111" s="2" t="s">
        <v>32</v>
      </c>
      <c r="G111" s="2" t="s">
        <v>22</v>
      </c>
      <c r="H111" s="2" t="s">
        <v>23</v>
      </c>
      <c r="I111" s="2" t="s">
        <v>23</v>
      </c>
      <c r="J111" s="2">
        <v>86</v>
      </c>
      <c r="K111" s="2" t="s">
        <v>60</v>
      </c>
      <c r="L111" s="2">
        <v>2541</v>
      </c>
      <c r="M111" s="2" t="s">
        <v>48</v>
      </c>
      <c r="N111" s="2">
        <v>11</v>
      </c>
      <c r="O111" s="6">
        <v>398278.76</v>
      </c>
      <c r="P111" s="6">
        <v>36207.160000000003</v>
      </c>
    </row>
    <row r="112" spans="1:16" outlineLevel="1" x14ac:dyDescent="0.2">
      <c r="A112" s="5"/>
      <c r="D112" s="4" t="s">
        <v>192</v>
      </c>
      <c r="E112" s="4"/>
      <c r="F112" s="4"/>
      <c r="G112" s="4"/>
      <c r="H112" s="4"/>
      <c r="I112" s="4"/>
      <c r="J112" s="4"/>
      <c r="K112" s="4"/>
      <c r="L112" s="4"/>
      <c r="M112" s="4"/>
      <c r="N112" s="4">
        <f>SUBTOTAL(9,N107:N111)</f>
        <v>124</v>
      </c>
      <c r="O112" s="7">
        <f>SUBTOTAL(9,O107:O111)</f>
        <v>7698515.54</v>
      </c>
      <c r="P112" s="7">
        <f>+O112/N112</f>
        <v>62084.802741935484</v>
      </c>
    </row>
    <row r="113" spans="1:16" outlineLevel="2" x14ac:dyDescent="0.2">
      <c r="A113" s="5">
        <v>46251</v>
      </c>
      <c r="B113" s="2">
        <v>161611</v>
      </c>
      <c r="C113" s="2">
        <v>315</v>
      </c>
      <c r="D113" s="2" t="s">
        <v>125</v>
      </c>
      <c r="E113" s="2" t="s">
        <v>126</v>
      </c>
      <c r="F113" s="2" t="s">
        <v>79</v>
      </c>
      <c r="G113" s="2" t="s">
        <v>23</v>
      </c>
      <c r="H113" s="2" t="s">
        <v>23</v>
      </c>
      <c r="I113" s="2" t="s">
        <v>23</v>
      </c>
      <c r="J113" s="2">
        <v>2</v>
      </c>
      <c r="K113" s="2" t="s">
        <v>24</v>
      </c>
      <c r="L113" s="2">
        <v>626</v>
      </c>
      <c r="M113" s="2" t="s">
        <v>25</v>
      </c>
      <c r="N113" s="2">
        <v>11</v>
      </c>
      <c r="O113" s="6">
        <v>68774.77</v>
      </c>
      <c r="P113" s="6">
        <v>6252.25</v>
      </c>
    </row>
    <row r="114" spans="1:16" outlineLevel="1" x14ac:dyDescent="0.2">
      <c r="A114" s="5"/>
      <c r="D114" s="4" t="s">
        <v>193</v>
      </c>
      <c r="E114" s="4"/>
      <c r="F114" s="4"/>
      <c r="G114" s="4"/>
      <c r="H114" s="4"/>
      <c r="I114" s="4"/>
      <c r="J114" s="4"/>
      <c r="K114" s="4"/>
      <c r="L114" s="4"/>
      <c r="M114" s="4"/>
      <c r="N114" s="4">
        <f>SUBTOTAL(9,N113:N113)</f>
        <v>11</v>
      </c>
      <c r="O114" s="7">
        <f>SUBTOTAL(9,O113:O113)</f>
        <v>68774.77</v>
      </c>
      <c r="P114" s="7">
        <f>+O114/N114</f>
        <v>6252.2518181818186</v>
      </c>
    </row>
    <row r="115" spans="1:16" x14ac:dyDescent="0.2">
      <c r="A115" s="5"/>
      <c r="D115" s="4" t="s">
        <v>194</v>
      </c>
      <c r="E115" s="4"/>
      <c r="F115" s="4"/>
      <c r="G115" s="4"/>
      <c r="H115" s="4"/>
      <c r="I115" s="4"/>
      <c r="J115" s="4"/>
      <c r="K115" s="4"/>
      <c r="L115" s="4"/>
      <c r="M115" s="4"/>
      <c r="N115" s="4">
        <f>SUBTOTAL(9,N5:N113)</f>
        <v>3069</v>
      </c>
      <c r="O115" s="7">
        <f>SUBTOTAL(9,O5:O113)</f>
        <v>82274131.829999968</v>
      </c>
      <c r="P115" s="7"/>
    </row>
  </sheetData>
  <sortState ref="A5:P82">
    <sortCondition ref="D5:D55"/>
    <sortCondition ref="E5:E5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</dc:creator>
  <cp:lastModifiedBy>ROBERTO</cp:lastModifiedBy>
  <cp:lastPrinted>2026-08-17T17:08:30Z</cp:lastPrinted>
  <dcterms:created xsi:type="dcterms:W3CDTF">2026-08-17T17:08:11Z</dcterms:created>
  <dcterms:modified xsi:type="dcterms:W3CDTF">2026-08-17T17:09:00Z</dcterms:modified>
</cp:coreProperties>
</file>