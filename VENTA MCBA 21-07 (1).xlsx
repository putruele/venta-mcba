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9" i="1"/>
  <c r="P13" i="1"/>
  <c r="P15" i="1"/>
  <c r="P17" i="1"/>
  <c r="P20" i="1"/>
  <c r="P23" i="1"/>
  <c r="P27" i="1"/>
  <c r="P29" i="1"/>
  <c r="P31" i="1"/>
  <c r="P33" i="1"/>
  <c r="P36" i="1"/>
  <c r="P38" i="1"/>
  <c r="P52" i="1"/>
  <c r="P55" i="1"/>
  <c r="P59" i="1"/>
  <c r="P63" i="1"/>
  <c r="P68" i="1"/>
  <c r="P73" i="1"/>
  <c r="O74" i="1"/>
  <c r="N74" i="1"/>
  <c r="O73" i="1"/>
  <c r="N73" i="1"/>
  <c r="O68" i="1"/>
  <c r="N68" i="1"/>
  <c r="O63" i="1"/>
  <c r="N63" i="1"/>
  <c r="O59" i="1"/>
  <c r="N59" i="1"/>
  <c r="O55" i="1"/>
  <c r="N55" i="1"/>
  <c r="O52" i="1"/>
  <c r="N52" i="1"/>
  <c r="O38" i="1"/>
  <c r="N38" i="1"/>
  <c r="O36" i="1"/>
  <c r="N36" i="1"/>
  <c r="O33" i="1"/>
  <c r="N33" i="1"/>
  <c r="O31" i="1"/>
  <c r="N31" i="1"/>
  <c r="O29" i="1"/>
  <c r="N29" i="1"/>
  <c r="O27" i="1"/>
  <c r="N27" i="1"/>
  <c r="O23" i="1"/>
  <c r="N23" i="1"/>
  <c r="O20" i="1"/>
  <c r="N20" i="1"/>
  <c r="O17" i="1"/>
  <c r="N17" i="1"/>
  <c r="O15" i="1"/>
  <c r="N15" i="1"/>
  <c r="O13" i="1"/>
  <c r="N13" i="1"/>
  <c r="O9" i="1"/>
  <c r="N9" i="1"/>
  <c r="O7" i="1"/>
  <c r="N7" i="1"/>
</calcChain>
</file>

<file path=xl/sharedStrings.xml><?xml version="1.0" encoding="utf-8"?>
<sst xmlns="http://schemas.openxmlformats.org/spreadsheetml/2006/main" count="439" uniqueCount="150">
  <si>
    <t>2026.07.21 12:26:16 SUCU:   2 CAJA: 1</t>
  </si>
  <si>
    <t xml:space="preserve">PUTRUELE HNOS. S.A.A.I.C.  </t>
  </si>
  <si>
    <t>LS040-VENTAS PERIODO:21/07/26-21/07/26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</si>
  <si>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</si>
  <si>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</si>
  <si>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</si>
  <si>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</si>
  <si>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</si>
  <si>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</si>
  <si>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</si>
  <si>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</si>
  <si>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</si>
  <si>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</si>
  <si>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</si>
  <si>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</si>
  <si>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</si>
  <si>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</si>
  <si>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</si>
  <si>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</si>
  <si>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JENGIBRE  </t>
  </si>
  <si>
    <t xml:space="preserve">FRESCO    </t>
  </si>
  <si>
    <t xml:space="preserve">          </t>
  </si>
  <si>
    <t xml:space="preserve">ELG       </t>
  </si>
  <si>
    <t xml:space="preserve">KILOS     </t>
  </si>
  <si>
    <t xml:space="preserve">MDR CORONA     </t>
  </si>
  <si>
    <t xml:space="preserve">PALTA     </t>
  </si>
  <si>
    <t xml:space="preserve">HASS      </t>
  </si>
  <si>
    <t xml:space="preserve">PERU      </t>
  </si>
  <si>
    <t>CAJA BLANC</t>
  </si>
  <si>
    <t xml:space="preserve">70        </t>
  </si>
  <si>
    <t xml:space="preserve">C/C       </t>
  </si>
  <si>
    <t xml:space="preserve">FRUGLOBE S     </t>
  </si>
  <si>
    <t xml:space="preserve">BANANA    </t>
  </si>
  <si>
    <t xml:space="preserve">PILAR     </t>
  </si>
  <si>
    <t xml:space="preserve">FRUTICOLA      </t>
  </si>
  <si>
    <t xml:space="preserve">KIWI      </t>
  </si>
  <si>
    <t xml:space="preserve">HAYWARD   </t>
  </si>
  <si>
    <t xml:space="preserve">CHILE     </t>
  </si>
  <si>
    <t xml:space="preserve">27        </t>
  </si>
  <si>
    <t xml:space="preserve">C/PL      </t>
  </si>
  <si>
    <t xml:space="preserve">EXPOR FRUG     </t>
  </si>
  <si>
    <t xml:space="preserve">WESTFALIA      </t>
  </si>
  <si>
    <t xml:space="preserve">UVA       </t>
  </si>
  <si>
    <t>SUGAR CRIS</t>
  </si>
  <si>
    <t xml:space="preserve">BRASIL    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</si>
  <si>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</si>
  <si>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</si>
  <si>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</si>
  <si>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</si>
  <si>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</si>
  <si>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AGROCORIBE     </t>
  </si>
  <si>
    <t xml:space="preserve">PI¥A      </t>
  </si>
  <si>
    <t xml:space="preserve">ECUADOR   </t>
  </si>
  <si>
    <t xml:space="preserve">6         </t>
  </si>
  <si>
    <t xml:space="preserve">PI¥AS RICA     </t>
  </si>
  <si>
    <t xml:space="preserve">7         </t>
  </si>
  <si>
    <t xml:space="preserve">N§6       </t>
  </si>
  <si>
    <t xml:space="preserve">JUJUY     </t>
  </si>
  <si>
    <t xml:space="preserve">VISION JUJ     </t>
  </si>
  <si>
    <t xml:space="preserve">TOMATE    </t>
  </si>
  <si>
    <t xml:space="preserve">REDONDO   </t>
  </si>
  <si>
    <t xml:space="preserve">SEG.      </t>
  </si>
  <si>
    <t xml:space="preserve">C/M       </t>
  </si>
  <si>
    <t xml:space="preserve">BOTARELLI      </t>
  </si>
  <si>
    <t xml:space="preserve">AMARILLO  </t>
  </si>
  <si>
    <t>NUEVA ZELA</t>
  </si>
  <si>
    <t xml:space="preserve">ZESPRI INT     </t>
  </si>
  <si>
    <t xml:space="preserve">18        </t>
  </si>
  <si>
    <t xml:space="preserve">JOSE ALCID     </t>
  </si>
  <si>
    <t xml:space="preserve">TMAN      </t>
  </si>
  <si>
    <t xml:space="preserve">32        </t>
  </si>
  <si>
    <t xml:space="preserve">GUAYAL S.A     </t>
  </si>
  <si>
    <t xml:space="preserve">60        </t>
  </si>
  <si>
    <t xml:space="preserve">EXPOR PROP     </t>
  </si>
  <si>
    <t>MELON COMU</t>
  </si>
  <si>
    <t xml:space="preserve">10        </t>
  </si>
  <si>
    <t xml:space="preserve">NOVAFRUIT      </t>
  </si>
  <si>
    <t xml:space="preserve">MELON     </t>
  </si>
  <si>
    <t>AMARILLO S</t>
  </si>
  <si>
    <t xml:space="preserve">5         </t>
  </si>
  <si>
    <t xml:space="preserve">DINA INDUS     </t>
  </si>
  <si>
    <t>AMARILLO C</t>
  </si>
  <si>
    <t xml:space="preserve">8         </t>
  </si>
  <si>
    <t xml:space="preserve">CAT I     </t>
  </si>
  <si>
    <t xml:space="preserve">25        </t>
  </si>
  <si>
    <t>AUTUN CRIS</t>
  </si>
  <si>
    <t xml:space="preserve">GRANADA   </t>
  </si>
  <si>
    <t xml:space="preserve">ESTANCIA L     </t>
  </si>
  <si>
    <t xml:space="preserve">LIMA      </t>
  </si>
  <si>
    <t xml:space="preserve">TAHITI    </t>
  </si>
  <si>
    <t>WONDERFULL</t>
  </si>
  <si>
    <t xml:space="preserve">CBA       </t>
  </si>
  <si>
    <t xml:space="preserve">T.10      </t>
  </si>
  <si>
    <t xml:space="preserve">COMERCIAL  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</si>
  <si>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</si>
  <si>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</si>
  <si>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</si>
  <si>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</si>
  <si>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14        </t>
  </si>
  <si>
    <t xml:space="preserve">CAT 2     </t>
  </si>
  <si>
    <t xml:space="preserve">16        </t>
  </si>
  <si>
    <t xml:space="preserve">BONELLA        </t>
  </si>
  <si>
    <t>CHAMPIG¥ON</t>
  </si>
  <si>
    <t xml:space="preserve">BS.AS.    </t>
  </si>
  <si>
    <t xml:space="preserve">HONGOS DEL     </t>
  </si>
  <si>
    <t xml:space="preserve">REPOLLITO </t>
  </si>
  <si>
    <t xml:space="preserve">BRUSELA   </t>
  </si>
  <si>
    <t xml:space="preserve">BAND      </t>
  </si>
  <si>
    <t xml:space="preserve">GUILLERMO      </t>
  </si>
  <si>
    <t xml:space="preserve">RAF       </t>
  </si>
  <si>
    <t xml:space="preserve">FINCA LA J     </t>
  </si>
  <si>
    <t xml:space="preserve">CAVENDISH </t>
  </si>
  <si>
    <t xml:space="preserve">MAMON     </t>
  </si>
  <si>
    <t xml:space="preserve">FORMOSA   </t>
  </si>
  <si>
    <t xml:space="preserve">84        </t>
  </si>
  <si>
    <t xml:space="preserve">CHERRY    </t>
  </si>
  <si>
    <t xml:space="preserve">CTES.     </t>
  </si>
  <si>
    <t xml:space="preserve">20        </t>
  </si>
  <si>
    <t xml:space="preserve">PAPIN     </t>
  </si>
  <si>
    <t xml:space="preserve">AGATA     </t>
  </si>
  <si>
    <t>AGATA FRAC</t>
  </si>
  <si>
    <t xml:space="preserve">CIRUELA   </t>
  </si>
  <si>
    <t>BLACK SPLE</t>
  </si>
  <si>
    <t xml:space="preserve">ESPA¥A    </t>
  </si>
  <si>
    <t xml:space="preserve">GRUPO CAST     </t>
  </si>
  <si>
    <t xml:space="preserve">RUBY RUSH </t>
  </si>
  <si>
    <t>COMUN ROJO</t>
  </si>
  <si>
    <t xml:space="preserve">A.ROCKY S.     </t>
  </si>
  <si>
    <t>RACIMO PER</t>
  </si>
  <si>
    <t xml:space="preserve">PERITA  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</si>
  <si>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</si>
  <si>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</si>
  <si>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</si>
  <si>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</si>
  <si>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</si>
  <si>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</si>
  <si>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</si>
  <si>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</si>
  <si>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</si>
  <si>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</si>
  <si>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</si>
  <si>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MELON     </t>
  </si>
  <si>
    <t>Total MELON COMU</t>
  </si>
  <si>
    <t xml:space="preserve">Total PALTA     </t>
  </si>
  <si>
    <t xml:space="preserve">Total PAPIN     </t>
  </si>
  <si>
    <t xml:space="preserve">Total PI¥A      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</si>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</sst>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tabSelected="1" topLeftCell="L49" workbookViewId="0">
      <selection activeCell="D75" sqref="D75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46223</v>
      </c>
      <c r="B5" s="2">
        <v>160934</v>
      </c>
      <c r="C5" s="2">
        <v>4</v>
      </c>
      <c r="D5" s="2" t="s">
        <v>32</v>
      </c>
      <c r="E5" s="2" t="s">
        <v>111</v>
      </c>
      <c r="F5" s="2" t="s">
        <v>33</v>
      </c>
      <c r="G5" s="2" t="s">
        <v>21</v>
      </c>
      <c r="H5" s="2" t="s">
        <v>21</v>
      </c>
      <c r="I5" s="2" t="s">
        <v>21</v>
      </c>
      <c r="J5" s="2">
        <v>1</v>
      </c>
      <c r="K5" s="2" t="s">
        <v>30</v>
      </c>
      <c r="L5" s="2">
        <v>2024</v>
      </c>
      <c r="M5" s="2" t="s">
        <v>54</v>
      </c>
      <c r="N5" s="2">
        <v>8</v>
      </c>
      <c r="O5" s="6">
        <v>228593.51</v>
      </c>
      <c r="P5" s="6">
        <v>28574.19</v>
      </c>
    </row>
    <row r="6" spans="1:16" outlineLevel="2" x14ac:dyDescent="0.2">
      <c r="A6" s="5">
        <v>46220</v>
      </c>
      <c r="B6" s="2">
        <v>160001</v>
      </c>
      <c r="C6" s="2">
        <v>1</v>
      </c>
      <c r="D6" s="2" t="s">
        <v>32</v>
      </c>
      <c r="E6" s="2" t="s">
        <v>33</v>
      </c>
      <c r="F6" s="2" t="s">
        <v>21</v>
      </c>
      <c r="G6" s="2" t="s">
        <v>21</v>
      </c>
      <c r="H6" s="2" t="s">
        <v>21</v>
      </c>
      <c r="I6" s="2" t="s">
        <v>21</v>
      </c>
      <c r="J6" s="2">
        <v>1</v>
      </c>
      <c r="K6" s="2" t="s">
        <v>30</v>
      </c>
      <c r="L6" s="2">
        <v>1833</v>
      </c>
      <c r="M6" s="2" t="s">
        <v>34</v>
      </c>
      <c r="N6" s="2">
        <v>2</v>
      </c>
      <c r="O6" s="6">
        <v>18064.77</v>
      </c>
      <c r="P6" s="6">
        <v>9032.39</v>
      </c>
    </row>
    <row r="7" spans="1:16" outlineLevel="1" x14ac:dyDescent="0.2">
      <c r="A7" s="5"/>
      <c r="D7" s="4" t="s">
        <v>130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10</v>
      </c>
      <c r="O7" s="7">
        <f>SUBTOTAL(9,O5:O6)</f>
        <v>246658.28</v>
      </c>
      <c r="P7" s="7">
        <f>+O7/N7</f>
        <v>24665.828000000001</v>
      </c>
    </row>
    <row r="8" spans="1:16" outlineLevel="2" x14ac:dyDescent="0.2">
      <c r="A8" s="5">
        <v>46218</v>
      </c>
      <c r="B8" s="2">
        <v>160863</v>
      </c>
      <c r="C8" s="2">
        <v>3</v>
      </c>
      <c r="D8" s="2" t="s">
        <v>102</v>
      </c>
      <c r="E8" s="2" t="s">
        <v>21</v>
      </c>
      <c r="F8" s="2" t="s">
        <v>103</v>
      </c>
      <c r="G8" s="2" t="s">
        <v>22</v>
      </c>
      <c r="H8" s="2" t="s">
        <v>21</v>
      </c>
      <c r="I8" s="2" t="s">
        <v>21</v>
      </c>
      <c r="J8" s="2">
        <v>1</v>
      </c>
      <c r="K8" s="2" t="s">
        <v>30</v>
      </c>
      <c r="L8" s="2">
        <v>25213</v>
      </c>
      <c r="M8" s="2" t="s">
        <v>104</v>
      </c>
      <c r="N8" s="2">
        <v>1</v>
      </c>
      <c r="O8" s="6">
        <v>65038.73</v>
      </c>
      <c r="P8" s="6">
        <v>65038.73</v>
      </c>
    </row>
    <row r="9" spans="1:16" outlineLevel="1" x14ac:dyDescent="0.2">
      <c r="A9" s="5"/>
      <c r="D9" s="4" t="s">
        <v>131</v>
      </c>
      <c r="E9" s="4"/>
      <c r="F9" s="4"/>
      <c r="G9" s="4"/>
      <c r="H9" s="4"/>
      <c r="I9" s="4"/>
      <c r="J9" s="4"/>
      <c r="K9" s="4"/>
      <c r="L9" s="4"/>
      <c r="M9" s="4"/>
      <c r="N9" s="4">
        <f>SUBTOTAL(9,N8:N8)</f>
        <v>1</v>
      </c>
      <c r="O9" s="7">
        <f>SUBTOTAL(9,O8:O8)</f>
        <v>65038.73</v>
      </c>
      <c r="P9" s="7">
        <f>+O9/N9</f>
        <v>65038.73</v>
      </c>
    </row>
    <row r="10" spans="1:16" outlineLevel="2" x14ac:dyDescent="0.2">
      <c r="A10" s="5">
        <v>46220</v>
      </c>
      <c r="B10" s="2">
        <v>161017</v>
      </c>
      <c r="C10" s="2">
        <v>24</v>
      </c>
      <c r="D10" s="2" t="s">
        <v>115</v>
      </c>
      <c r="E10" s="2" t="s">
        <v>64</v>
      </c>
      <c r="F10" s="2" t="s">
        <v>116</v>
      </c>
      <c r="G10" s="2" t="s">
        <v>22</v>
      </c>
      <c r="H10" s="2" t="s">
        <v>21</v>
      </c>
      <c r="I10" s="2" t="s">
        <v>21</v>
      </c>
      <c r="J10" s="2">
        <v>41</v>
      </c>
      <c r="K10" s="2" t="s">
        <v>107</v>
      </c>
      <c r="L10" s="2">
        <v>801</v>
      </c>
      <c r="M10" s="2" t="s">
        <v>110</v>
      </c>
      <c r="N10" s="2">
        <v>1</v>
      </c>
      <c r="O10" s="6">
        <v>18366.77</v>
      </c>
      <c r="P10" s="6">
        <v>18366.77</v>
      </c>
    </row>
    <row r="11" spans="1:16" outlineLevel="2" x14ac:dyDescent="0.2">
      <c r="A11" s="5">
        <v>46223</v>
      </c>
      <c r="B11" s="2">
        <v>161110</v>
      </c>
      <c r="C11" s="2">
        <v>8</v>
      </c>
      <c r="D11" s="2" t="s">
        <v>115</v>
      </c>
      <c r="E11" s="2" t="s">
        <v>126</v>
      </c>
      <c r="F11" s="2" t="s">
        <v>116</v>
      </c>
      <c r="G11" s="2" t="s">
        <v>22</v>
      </c>
      <c r="H11" s="2" t="s">
        <v>21</v>
      </c>
      <c r="I11" s="2" t="s">
        <v>21</v>
      </c>
      <c r="J11" s="2">
        <v>2</v>
      </c>
      <c r="K11" s="2" t="s">
        <v>62</v>
      </c>
      <c r="L11" s="2">
        <v>106</v>
      </c>
      <c r="M11" s="2" t="s">
        <v>127</v>
      </c>
      <c r="N11" s="2">
        <v>5</v>
      </c>
      <c r="O11" s="6">
        <v>91833.85</v>
      </c>
      <c r="P11" s="6">
        <v>18366.77</v>
      </c>
    </row>
    <row r="12" spans="1:16" outlineLevel="2" x14ac:dyDescent="0.2">
      <c r="A12" s="5">
        <v>46223</v>
      </c>
      <c r="B12" s="2">
        <v>161115</v>
      </c>
      <c r="C12" s="2">
        <v>22</v>
      </c>
      <c r="D12" s="2" t="s">
        <v>115</v>
      </c>
      <c r="E12" s="2" t="s">
        <v>128</v>
      </c>
      <c r="F12" s="2" t="s">
        <v>116</v>
      </c>
      <c r="G12" s="2" t="s">
        <v>22</v>
      </c>
      <c r="H12" s="2" t="s">
        <v>21</v>
      </c>
      <c r="I12" s="2" t="s">
        <v>21</v>
      </c>
      <c r="J12" s="2">
        <v>41</v>
      </c>
      <c r="K12" s="2" t="s">
        <v>107</v>
      </c>
      <c r="L12" s="2">
        <v>801</v>
      </c>
      <c r="M12" s="2" t="s">
        <v>110</v>
      </c>
      <c r="N12" s="2">
        <v>3</v>
      </c>
      <c r="O12" s="6">
        <v>49499.7</v>
      </c>
      <c r="P12" s="6">
        <v>16499.900000000001</v>
      </c>
    </row>
    <row r="13" spans="1:16" outlineLevel="1" x14ac:dyDescent="0.2">
      <c r="A13" s="5"/>
      <c r="D13" s="4" t="s">
        <v>132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SUBTOTAL(9,N10:N12)</f>
        <v>9</v>
      </c>
      <c r="O13" s="7">
        <f>SUBTOTAL(9,O10:O12)</f>
        <v>159700.32</v>
      </c>
      <c r="P13" s="7">
        <f>+O13/N13</f>
        <v>17744.48</v>
      </c>
    </row>
    <row r="14" spans="1:16" outlineLevel="2" x14ac:dyDescent="0.2">
      <c r="A14" s="5">
        <v>46223</v>
      </c>
      <c r="B14" s="2">
        <v>161093</v>
      </c>
      <c r="C14" s="2">
        <v>3</v>
      </c>
      <c r="D14" s="2" t="s">
        <v>121</v>
      </c>
      <c r="E14" s="2" t="s">
        <v>122</v>
      </c>
      <c r="F14" s="2" t="s">
        <v>123</v>
      </c>
      <c r="G14" s="2" t="s">
        <v>22</v>
      </c>
      <c r="H14" s="2" t="s">
        <v>21</v>
      </c>
      <c r="I14" s="2" t="s">
        <v>21</v>
      </c>
      <c r="J14" s="2">
        <v>2</v>
      </c>
      <c r="K14" s="2" t="s">
        <v>62</v>
      </c>
      <c r="L14" s="2">
        <v>2810</v>
      </c>
      <c r="M14" s="2" t="s">
        <v>124</v>
      </c>
      <c r="N14" s="2">
        <v>6</v>
      </c>
      <c r="O14" s="6">
        <v>345427.26</v>
      </c>
      <c r="P14" s="6">
        <v>57571.21</v>
      </c>
    </row>
    <row r="15" spans="1:16" outlineLevel="1" x14ac:dyDescent="0.2">
      <c r="A15" s="5"/>
      <c r="D15" s="4" t="s">
        <v>133</v>
      </c>
      <c r="E15" s="4"/>
      <c r="F15" s="4"/>
      <c r="G15" s="4"/>
      <c r="H15" s="4"/>
      <c r="I15" s="4"/>
      <c r="J15" s="4"/>
      <c r="K15" s="4"/>
      <c r="L15" s="4"/>
      <c r="M15" s="4"/>
      <c r="N15" s="4">
        <f>SUBTOTAL(9,N14:N14)</f>
        <v>6</v>
      </c>
      <c r="O15" s="7">
        <f>SUBTOTAL(9,O14:O14)</f>
        <v>345427.26</v>
      </c>
      <c r="P15" s="7">
        <f>+O15/N15</f>
        <v>57571.21</v>
      </c>
    </row>
    <row r="16" spans="1:16" outlineLevel="2" x14ac:dyDescent="0.2">
      <c r="A16" s="5">
        <v>46223</v>
      </c>
      <c r="B16" s="2">
        <v>160506</v>
      </c>
      <c r="C16" s="2">
        <v>1</v>
      </c>
      <c r="D16" s="2" t="s">
        <v>46</v>
      </c>
      <c r="E16" s="2" t="s">
        <v>47</v>
      </c>
      <c r="F16" s="2" t="s">
        <v>44</v>
      </c>
      <c r="G16" s="2" t="s">
        <v>22</v>
      </c>
      <c r="H16" s="2" t="s">
        <v>21</v>
      </c>
      <c r="I16" s="2" t="s">
        <v>21</v>
      </c>
      <c r="J16" s="2">
        <v>5</v>
      </c>
      <c r="K16" s="2" t="s">
        <v>48</v>
      </c>
      <c r="L16" s="2">
        <v>2521</v>
      </c>
      <c r="M16" s="2" t="s">
        <v>49</v>
      </c>
      <c r="N16" s="2">
        <v>1</v>
      </c>
      <c r="O16" s="6">
        <v>23218</v>
      </c>
      <c r="P16" s="6">
        <v>23218</v>
      </c>
    </row>
    <row r="17" spans="1:16" outlineLevel="1" x14ac:dyDescent="0.2">
      <c r="A17" s="5"/>
      <c r="D17" s="4" t="s">
        <v>134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SUBTOTAL(9,N16:N16)</f>
        <v>1</v>
      </c>
      <c r="O17" s="7">
        <f>SUBTOTAL(9,O16:O16)</f>
        <v>23218</v>
      </c>
      <c r="P17" s="7">
        <f>+O17/N17</f>
        <v>23218</v>
      </c>
    </row>
    <row r="18" spans="1:16" outlineLevel="2" x14ac:dyDescent="0.2">
      <c r="A18" s="5">
        <v>46219</v>
      </c>
      <c r="B18" s="2">
        <v>160723</v>
      </c>
      <c r="C18" s="2">
        <v>2</v>
      </c>
      <c r="D18" s="2" t="s">
        <v>86</v>
      </c>
      <c r="E18" s="2" t="s">
        <v>21</v>
      </c>
      <c r="F18" s="2" t="s">
        <v>21</v>
      </c>
      <c r="G18" s="2" t="s">
        <v>22</v>
      </c>
      <c r="H18" s="2" t="s">
        <v>21</v>
      </c>
      <c r="I18" s="2" t="s">
        <v>21</v>
      </c>
      <c r="J18" s="2">
        <v>1</v>
      </c>
      <c r="K18" s="2" t="s">
        <v>30</v>
      </c>
      <c r="L18" s="2">
        <v>2520</v>
      </c>
      <c r="M18" s="2" t="s">
        <v>87</v>
      </c>
      <c r="N18" s="2">
        <v>3</v>
      </c>
      <c r="O18" s="6">
        <v>36431.550000000003</v>
      </c>
      <c r="P18" s="6">
        <v>12143.85</v>
      </c>
    </row>
    <row r="19" spans="1:16" outlineLevel="2" x14ac:dyDescent="0.2">
      <c r="A19" s="5">
        <v>46223</v>
      </c>
      <c r="B19" s="2">
        <v>160823</v>
      </c>
      <c r="C19" s="2">
        <v>2</v>
      </c>
      <c r="D19" s="2" t="s">
        <v>86</v>
      </c>
      <c r="E19" s="2" t="s">
        <v>90</v>
      </c>
      <c r="F19" s="2" t="s">
        <v>91</v>
      </c>
      <c r="G19" s="2" t="s">
        <v>22</v>
      </c>
      <c r="H19" s="2" t="s">
        <v>21</v>
      </c>
      <c r="I19" s="2" t="s">
        <v>92</v>
      </c>
      <c r="J19" s="2">
        <v>1</v>
      </c>
      <c r="K19" s="2" t="s">
        <v>30</v>
      </c>
      <c r="L19" s="2">
        <v>2520</v>
      </c>
      <c r="M19" s="2" t="s">
        <v>87</v>
      </c>
      <c r="N19" s="2">
        <v>22</v>
      </c>
      <c r="O19" s="6">
        <v>524482.92000000004</v>
      </c>
      <c r="P19" s="6">
        <v>23840.13</v>
      </c>
    </row>
    <row r="20" spans="1:16" outlineLevel="1" x14ac:dyDescent="0.2">
      <c r="A20" s="5"/>
      <c r="D20" s="4" t="s">
        <v>135</v>
      </c>
      <c r="E20" s="4"/>
      <c r="F20" s="4"/>
      <c r="G20" s="4"/>
      <c r="H20" s="4"/>
      <c r="I20" s="4"/>
      <c r="J20" s="4"/>
      <c r="K20" s="4"/>
      <c r="L20" s="4"/>
      <c r="M20" s="4"/>
      <c r="N20" s="4">
        <f>SUBTOTAL(9,N18:N19)</f>
        <v>25</v>
      </c>
      <c r="O20" s="7">
        <f>SUBTOTAL(9,O18:O19)</f>
        <v>560914.47000000009</v>
      </c>
      <c r="P20" s="7">
        <f>+O20/N20</f>
        <v>22436.578800000003</v>
      </c>
    </row>
    <row r="21" spans="1:16" outlineLevel="2" x14ac:dyDescent="0.2">
      <c r="A21" s="5">
        <v>46213</v>
      </c>
      <c r="B21" s="2">
        <v>160511</v>
      </c>
      <c r="C21" s="2">
        <v>1</v>
      </c>
      <c r="D21" s="2" t="s">
        <v>19</v>
      </c>
      <c r="E21" s="2" t="s">
        <v>21</v>
      </c>
      <c r="F21" s="2" t="s">
        <v>44</v>
      </c>
      <c r="G21" s="2" t="s">
        <v>22</v>
      </c>
      <c r="H21" s="2" t="s">
        <v>21</v>
      </c>
      <c r="I21" s="2" t="s">
        <v>21</v>
      </c>
      <c r="J21" s="2">
        <v>1</v>
      </c>
      <c r="K21" s="2" t="s">
        <v>30</v>
      </c>
      <c r="L21" s="2">
        <v>25120</v>
      </c>
      <c r="M21" s="2" t="s">
        <v>50</v>
      </c>
      <c r="N21" s="2">
        <v>1</v>
      </c>
      <c r="O21" s="6">
        <v>33301.800000000003</v>
      </c>
      <c r="P21" s="6">
        <v>33301.800000000003</v>
      </c>
    </row>
    <row r="22" spans="1:16" outlineLevel="2" x14ac:dyDescent="0.2">
      <c r="A22" s="5">
        <v>46089</v>
      </c>
      <c r="B22" s="2">
        <v>157645</v>
      </c>
      <c r="C22" s="2">
        <v>200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21</v>
      </c>
      <c r="I22" s="2" t="s">
        <v>21</v>
      </c>
      <c r="J22" s="2">
        <v>46</v>
      </c>
      <c r="K22" s="2" t="s">
        <v>23</v>
      </c>
      <c r="L22" s="2">
        <v>6020</v>
      </c>
      <c r="M22" s="2" t="s">
        <v>24</v>
      </c>
      <c r="N22" s="2">
        <v>2.08</v>
      </c>
      <c r="O22" s="6">
        <v>1313.4</v>
      </c>
      <c r="P22" s="6">
        <v>631.44000000000005</v>
      </c>
    </row>
    <row r="23" spans="1:16" outlineLevel="1" x14ac:dyDescent="0.2">
      <c r="A23" s="5"/>
      <c r="D23" s="4" t="s">
        <v>136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SUBTOTAL(9,N21:N22)</f>
        <v>3.08</v>
      </c>
      <c r="O23" s="7">
        <f>SUBTOTAL(9,O21:O22)</f>
        <v>34615.200000000004</v>
      </c>
      <c r="P23" s="7">
        <f>+O23/N23</f>
        <v>11238.7012987013</v>
      </c>
    </row>
    <row r="24" spans="1:16" outlineLevel="2" x14ac:dyDescent="0.2">
      <c r="A24" s="5">
        <v>46208</v>
      </c>
      <c r="B24" s="2">
        <v>160626</v>
      </c>
      <c r="C24" s="2">
        <v>2</v>
      </c>
      <c r="D24" s="2" t="s">
        <v>35</v>
      </c>
      <c r="E24" s="2" t="s">
        <v>64</v>
      </c>
      <c r="F24" s="2" t="s">
        <v>65</v>
      </c>
      <c r="G24" s="2" t="s">
        <v>22</v>
      </c>
      <c r="H24" s="2" t="s">
        <v>21</v>
      </c>
      <c r="I24" s="2" t="s">
        <v>38</v>
      </c>
      <c r="J24" s="2">
        <v>1</v>
      </c>
      <c r="K24" s="2" t="s">
        <v>30</v>
      </c>
      <c r="L24" s="2">
        <v>2535</v>
      </c>
      <c r="M24" s="2" t="s">
        <v>66</v>
      </c>
      <c r="N24" s="2">
        <v>6</v>
      </c>
      <c r="O24" s="6">
        <v>281953.40000000002</v>
      </c>
      <c r="P24" s="6">
        <v>46992.23</v>
      </c>
    </row>
    <row r="25" spans="1:16" outlineLevel="2" x14ac:dyDescent="0.2">
      <c r="A25" s="5">
        <v>46211</v>
      </c>
      <c r="B25" s="2">
        <v>160210</v>
      </c>
      <c r="C25" s="2">
        <v>3</v>
      </c>
      <c r="D25" s="2" t="s">
        <v>35</v>
      </c>
      <c r="E25" s="2" t="s">
        <v>36</v>
      </c>
      <c r="F25" s="2" t="s">
        <v>37</v>
      </c>
      <c r="G25" s="2" t="s">
        <v>22</v>
      </c>
      <c r="H25" s="2" t="s">
        <v>21</v>
      </c>
      <c r="I25" s="2" t="s">
        <v>38</v>
      </c>
      <c r="J25" s="2">
        <v>40</v>
      </c>
      <c r="K25" s="2" t="s">
        <v>39</v>
      </c>
      <c r="L25" s="2">
        <v>1779</v>
      </c>
      <c r="M25" s="2" t="s">
        <v>40</v>
      </c>
      <c r="N25" s="2">
        <v>12</v>
      </c>
      <c r="O25" s="6">
        <v>500433</v>
      </c>
      <c r="P25" s="6">
        <v>41702.75</v>
      </c>
    </row>
    <row r="26" spans="1:16" outlineLevel="2" x14ac:dyDescent="0.2">
      <c r="A26" s="5">
        <v>46218</v>
      </c>
      <c r="B26" s="2">
        <v>160719</v>
      </c>
      <c r="C26" s="2">
        <v>1</v>
      </c>
      <c r="D26" s="2" t="s">
        <v>35</v>
      </c>
      <c r="E26" s="2" t="s">
        <v>36</v>
      </c>
      <c r="F26" s="2" t="s">
        <v>37</v>
      </c>
      <c r="G26" s="2" t="s">
        <v>83</v>
      </c>
      <c r="H26" s="2" t="s">
        <v>21</v>
      </c>
      <c r="I26" s="2" t="s">
        <v>84</v>
      </c>
      <c r="J26" s="2">
        <v>1</v>
      </c>
      <c r="K26" s="2" t="s">
        <v>30</v>
      </c>
      <c r="L26" s="2">
        <v>1779</v>
      </c>
      <c r="M26" s="2" t="s">
        <v>40</v>
      </c>
      <c r="N26" s="2">
        <v>10</v>
      </c>
      <c r="O26" s="6">
        <v>445030.7</v>
      </c>
      <c r="P26" s="6">
        <v>44503.07</v>
      </c>
    </row>
    <row r="27" spans="1:16" outlineLevel="1" x14ac:dyDescent="0.2">
      <c r="A27" s="5"/>
      <c r="D27" s="4" t="s">
        <v>137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SUBTOTAL(9,N24:N26)</f>
        <v>28</v>
      </c>
      <c r="O27" s="7">
        <f>SUBTOTAL(9,O24:O26)</f>
        <v>1227417.1000000001</v>
      </c>
      <c r="P27" s="7">
        <f>+O27/N27</f>
        <v>43836.325000000004</v>
      </c>
    </row>
    <row r="28" spans="1:16" outlineLevel="2" x14ac:dyDescent="0.2">
      <c r="A28" s="5">
        <v>46210</v>
      </c>
      <c r="B28" s="2">
        <v>160815</v>
      </c>
      <c r="C28" s="2">
        <v>1</v>
      </c>
      <c r="D28" s="2" t="s">
        <v>88</v>
      </c>
      <c r="E28" s="2" t="s">
        <v>89</v>
      </c>
      <c r="F28" s="2" t="s">
        <v>44</v>
      </c>
      <c r="G28" s="2" t="s">
        <v>22</v>
      </c>
      <c r="H28" s="2" t="s">
        <v>21</v>
      </c>
      <c r="I28" s="2" t="s">
        <v>21</v>
      </c>
      <c r="J28" s="2">
        <v>1</v>
      </c>
      <c r="K28" s="2" t="s">
        <v>30</v>
      </c>
      <c r="L28" s="2">
        <v>2521</v>
      </c>
      <c r="M28" s="2" t="s">
        <v>49</v>
      </c>
      <c r="N28" s="2">
        <v>7</v>
      </c>
      <c r="O28" s="6">
        <v>89362.98</v>
      </c>
      <c r="P28" s="6">
        <v>12766.14</v>
      </c>
    </row>
    <row r="29" spans="1:16" outlineLevel="1" x14ac:dyDescent="0.2">
      <c r="A29" s="5"/>
      <c r="D29" s="4" t="s">
        <v>138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7</v>
      </c>
      <c r="O29" s="7">
        <f>SUBTOTAL(9,O28:O28)</f>
        <v>89362.98</v>
      </c>
      <c r="P29" s="7">
        <f>+O29/N29</f>
        <v>12766.14</v>
      </c>
    </row>
    <row r="30" spans="1:16" outlineLevel="2" x14ac:dyDescent="0.2">
      <c r="A30" s="5">
        <v>46220</v>
      </c>
      <c r="B30" s="2">
        <v>161008</v>
      </c>
      <c r="C30" s="2">
        <v>2</v>
      </c>
      <c r="D30" s="2" t="s">
        <v>112</v>
      </c>
      <c r="E30" s="2" t="s">
        <v>113</v>
      </c>
      <c r="F30" s="2" t="s">
        <v>44</v>
      </c>
      <c r="G30" s="2" t="s">
        <v>22</v>
      </c>
      <c r="H30" s="2" t="s">
        <v>21</v>
      </c>
      <c r="I30" s="2" t="s">
        <v>21</v>
      </c>
      <c r="J30" s="2">
        <v>1</v>
      </c>
      <c r="K30" s="2" t="s">
        <v>30</v>
      </c>
      <c r="L30" s="2">
        <v>2521</v>
      </c>
      <c r="M30" s="2" t="s">
        <v>49</v>
      </c>
      <c r="N30" s="2">
        <v>1</v>
      </c>
      <c r="O30" s="6">
        <v>37035.56</v>
      </c>
      <c r="P30" s="6">
        <v>37035.56</v>
      </c>
    </row>
    <row r="31" spans="1:16" outlineLevel="1" x14ac:dyDescent="0.2">
      <c r="A31" s="5"/>
      <c r="D31" s="4" t="s">
        <v>139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SUBTOTAL(9,N30:N30)</f>
        <v>1</v>
      </c>
      <c r="O31" s="7">
        <f>SUBTOTAL(9,O30:O30)</f>
        <v>37035.56</v>
      </c>
      <c r="P31" s="7">
        <f>+O31/N31</f>
        <v>37035.56</v>
      </c>
    </row>
    <row r="32" spans="1:16" outlineLevel="2" x14ac:dyDescent="0.2">
      <c r="A32" s="5">
        <v>46216</v>
      </c>
      <c r="B32" s="2">
        <v>160833</v>
      </c>
      <c r="C32" s="2">
        <v>2</v>
      </c>
      <c r="D32" s="2" t="s">
        <v>94</v>
      </c>
      <c r="E32" s="2" t="s">
        <v>95</v>
      </c>
      <c r="F32" s="2" t="s">
        <v>44</v>
      </c>
      <c r="G32" s="2" t="s">
        <v>22</v>
      </c>
      <c r="H32" s="2" t="s">
        <v>21</v>
      </c>
      <c r="I32" s="2" t="s">
        <v>96</v>
      </c>
      <c r="J32" s="2">
        <v>1</v>
      </c>
      <c r="K32" s="2" t="s">
        <v>30</v>
      </c>
      <c r="L32" s="2">
        <v>331</v>
      </c>
      <c r="M32" s="2" t="s">
        <v>97</v>
      </c>
      <c r="N32" s="2">
        <v>14</v>
      </c>
      <c r="O32" s="6">
        <v>155389.96</v>
      </c>
      <c r="P32" s="6">
        <v>11099.28</v>
      </c>
    </row>
    <row r="33" spans="1:16" outlineLevel="1" x14ac:dyDescent="0.2">
      <c r="A33" s="5"/>
      <c r="D33" s="4" t="s">
        <v>140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SUBTOTAL(9,N32:N32)</f>
        <v>14</v>
      </c>
      <c r="O33" s="7">
        <f>SUBTOTAL(9,O32:O32)</f>
        <v>155389.96</v>
      </c>
      <c r="P33" s="7">
        <f>+O33/N33</f>
        <v>11099.282857142856</v>
      </c>
    </row>
    <row r="34" spans="1:16" outlineLevel="2" x14ac:dyDescent="0.2">
      <c r="A34" s="5">
        <v>46210</v>
      </c>
      <c r="B34" s="2">
        <v>160714</v>
      </c>
      <c r="C34" s="2">
        <v>3</v>
      </c>
      <c r="D34" s="2" t="s">
        <v>77</v>
      </c>
      <c r="E34" s="2" t="s">
        <v>81</v>
      </c>
      <c r="F34" s="2" t="s">
        <v>44</v>
      </c>
      <c r="G34" s="2" t="s">
        <v>22</v>
      </c>
      <c r="H34" s="2" t="s">
        <v>21</v>
      </c>
      <c r="I34" s="2" t="s">
        <v>82</v>
      </c>
      <c r="J34" s="2">
        <v>1</v>
      </c>
      <c r="K34" s="2" t="s">
        <v>30</v>
      </c>
      <c r="L34" s="2">
        <v>25077</v>
      </c>
      <c r="M34" s="2" t="s">
        <v>80</v>
      </c>
      <c r="N34" s="2">
        <v>2</v>
      </c>
      <c r="O34" s="6">
        <v>61936.42</v>
      </c>
      <c r="P34" s="6">
        <v>30968.21</v>
      </c>
    </row>
    <row r="35" spans="1:16" outlineLevel="2" x14ac:dyDescent="0.2">
      <c r="A35" s="5">
        <v>46208</v>
      </c>
      <c r="B35" s="2">
        <v>160714</v>
      </c>
      <c r="C35" s="2">
        <v>1</v>
      </c>
      <c r="D35" s="2" t="s">
        <v>77</v>
      </c>
      <c r="E35" s="2" t="s">
        <v>78</v>
      </c>
      <c r="F35" s="2" t="s">
        <v>44</v>
      </c>
      <c r="G35" s="2" t="s">
        <v>22</v>
      </c>
      <c r="H35" s="2" t="s">
        <v>21</v>
      </c>
      <c r="I35" s="2" t="s">
        <v>79</v>
      </c>
      <c r="J35" s="2">
        <v>1</v>
      </c>
      <c r="K35" s="2" t="s">
        <v>30</v>
      </c>
      <c r="L35" s="2">
        <v>25077</v>
      </c>
      <c r="M35" s="2" t="s">
        <v>80</v>
      </c>
      <c r="N35" s="2">
        <v>3</v>
      </c>
      <c r="O35" s="6">
        <v>92437.91</v>
      </c>
      <c r="P35" s="6">
        <v>30812.639999999999</v>
      </c>
    </row>
    <row r="36" spans="1:16" outlineLevel="1" x14ac:dyDescent="0.2">
      <c r="A36" s="5"/>
      <c r="D36" s="4" t="s">
        <v>141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SUBTOTAL(9,N34:N35)</f>
        <v>5</v>
      </c>
      <c r="O36" s="7">
        <f>SUBTOTAL(9,O34:O35)</f>
        <v>154374.33000000002</v>
      </c>
      <c r="P36" s="7">
        <f>+O36/N36</f>
        <v>30874.866000000002</v>
      </c>
    </row>
    <row r="37" spans="1:16" outlineLevel="2" x14ac:dyDescent="0.2">
      <c r="A37" s="5">
        <v>46211</v>
      </c>
      <c r="B37" s="2">
        <v>160713</v>
      </c>
      <c r="C37" s="2">
        <v>5</v>
      </c>
      <c r="D37" s="2" t="s">
        <v>74</v>
      </c>
      <c r="E37" s="2" t="s">
        <v>64</v>
      </c>
      <c r="F37" s="2" t="s">
        <v>21</v>
      </c>
      <c r="G37" s="2" t="s">
        <v>22</v>
      </c>
      <c r="H37" s="2" t="s">
        <v>21</v>
      </c>
      <c r="I37" s="2" t="s">
        <v>75</v>
      </c>
      <c r="J37" s="2">
        <v>1</v>
      </c>
      <c r="K37" s="2" t="s">
        <v>30</v>
      </c>
      <c r="L37" s="2">
        <v>2120</v>
      </c>
      <c r="M37" s="2" t="s">
        <v>76</v>
      </c>
      <c r="N37" s="2">
        <v>1</v>
      </c>
      <c r="O37" s="6">
        <v>31434.93</v>
      </c>
      <c r="P37" s="6">
        <v>31434.93</v>
      </c>
    </row>
    <row r="38" spans="1:16" outlineLevel="1" x14ac:dyDescent="0.2">
      <c r="A38" s="5"/>
      <c r="D38" s="4" t="s">
        <v>142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SUBTOTAL(9,N37:N37)</f>
        <v>1</v>
      </c>
      <c r="O38" s="7">
        <f>SUBTOTAL(9,O37:O37)</f>
        <v>31434.93</v>
      </c>
      <c r="P38" s="7">
        <f>+O38/N38</f>
        <v>31434.93</v>
      </c>
    </row>
    <row r="39" spans="1:16" outlineLevel="2" x14ac:dyDescent="0.2">
      <c r="A39" s="5">
        <v>46220</v>
      </c>
      <c r="B39" s="2">
        <v>159674</v>
      </c>
      <c r="C39" s="2">
        <v>1</v>
      </c>
      <c r="D39" s="2" t="s">
        <v>25</v>
      </c>
      <c r="E39" s="2" t="s">
        <v>26</v>
      </c>
      <c r="F39" s="2" t="s">
        <v>27</v>
      </c>
      <c r="G39" s="2" t="s">
        <v>28</v>
      </c>
      <c r="H39" s="2" t="s">
        <v>21</v>
      </c>
      <c r="I39" s="2" t="s">
        <v>29</v>
      </c>
      <c r="J39" s="2">
        <v>1</v>
      </c>
      <c r="K39" s="2" t="s">
        <v>30</v>
      </c>
      <c r="L39" s="2">
        <v>25186</v>
      </c>
      <c r="M39" s="2" t="s">
        <v>31</v>
      </c>
      <c r="N39" s="2">
        <v>1</v>
      </c>
      <c r="O39" s="6">
        <v>41702.75</v>
      </c>
      <c r="P39" s="6">
        <v>41702.75</v>
      </c>
    </row>
    <row r="40" spans="1:16" outlineLevel="2" x14ac:dyDescent="0.2">
      <c r="A40" s="5">
        <v>46195</v>
      </c>
      <c r="B40" s="2">
        <v>160227</v>
      </c>
      <c r="C40" s="2">
        <v>1</v>
      </c>
      <c r="D40" s="2" t="s">
        <v>25</v>
      </c>
      <c r="E40" s="2" t="s">
        <v>26</v>
      </c>
      <c r="F40" s="2" t="s">
        <v>27</v>
      </c>
      <c r="G40" s="2" t="s">
        <v>22</v>
      </c>
      <c r="H40" s="2" t="s">
        <v>21</v>
      </c>
      <c r="I40" s="2" t="s">
        <v>29</v>
      </c>
      <c r="J40" s="2">
        <v>1</v>
      </c>
      <c r="K40" s="2" t="s">
        <v>30</v>
      </c>
      <c r="L40" s="2">
        <v>25067</v>
      </c>
      <c r="M40" s="2" t="s">
        <v>41</v>
      </c>
      <c r="N40" s="2">
        <v>3</v>
      </c>
      <c r="O40" s="6">
        <v>139109.82</v>
      </c>
      <c r="P40" s="6">
        <v>46369.94</v>
      </c>
    </row>
    <row r="41" spans="1:16" outlineLevel="2" x14ac:dyDescent="0.2">
      <c r="A41" s="5">
        <v>46206</v>
      </c>
      <c r="B41" s="2">
        <v>160608</v>
      </c>
      <c r="C41" s="2">
        <v>1</v>
      </c>
      <c r="D41" s="2" t="s">
        <v>25</v>
      </c>
      <c r="E41" s="2" t="s">
        <v>26</v>
      </c>
      <c r="F41" s="2" t="s">
        <v>57</v>
      </c>
      <c r="G41" s="2" t="s">
        <v>22</v>
      </c>
      <c r="H41" s="2" t="s">
        <v>21</v>
      </c>
      <c r="I41" s="2" t="s">
        <v>21</v>
      </c>
      <c r="J41" s="2">
        <v>1</v>
      </c>
      <c r="K41" s="2" t="s">
        <v>30</v>
      </c>
      <c r="L41" s="2">
        <v>25101</v>
      </c>
      <c r="M41" s="2" t="s">
        <v>58</v>
      </c>
      <c r="N41" s="2">
        <v>79</v>
      </c>
      <c r="O41" s="6">
        <v>1464976.83</v>
      </c>
      <c r="P41" s="6">
        <v>18544.009999999998</v>
      </c>
    </row>
    <row r="42" spans="1:16" outlineLevel="2" x14ac:dyDescent="0.2">
      <c r="A42" s="5">
        <v>46209</v>
      </c>
      <c r="B42" s="2">
        <v>160641</v>
      </c>
      <c r="C42" s="2">
        <v>2</v>
      </c>
      <c r="D42" s="2" t="s">
        <v>25</v>
      </c>
      <c r="E42" s="2" t="s">
        <v>26</v>
      </c>
      <c r="F42" s="2" t="s">
        <v>44</v>
      </c>
      <c r="G42" s="2" t="s">
        <v>22</v>
      </c>
      <c r="H42" s="2" t="s">
        <v>21</v>
      </c>
      <c r="I42" s="2" t="s">
        <v>67</v>
      </c>
      <c r="J42" s="2">
        <v>40</v>
      </c>
      <c r="K42" s="2" t="s">
        <v>39</v>
      </c>
      <c r="L42" s="2">
        <v>1502</v>
      </c>
      <c r="M42" s="2" t="s">
        <v>68</v>
      </c>
      <c r="N42" s="2">
        <v>12</v>
      </c>
      <c r="O42" s="6">
        <v>388420.32</v>
      </c>
      <c r="P42" s="6">
        <v>32368.36</v>
      </c>
    </row>
    <row r="43" spans="1:16" outlineLevel="2" x14ac:dyDescent="0.2">
      <c r="A43" s="5">
        <v>46209</v>
      </c>
      <c r="B43" s="2">
        <v>160662</v>
      </c>
      <c r="C43" s="2">
        <v>2</v>
      </c>
      <c r="D43" s="2" t="s">
        <v>25</v>
      </c>
      <c r="E43" s="2" t="s">
        <v>26</v>
      </c>
      <c r="F43" s="2" t="s">
        <v>69</v>
      </c>
      <c r="G43" s="2" t="s">
        <v>22</v>
      </c>
      <c r="H43" s="2" t="s">
        <v>21</v>
      </c>
      <c r="I43" s="2" t="s">
        <v>70</v>
      </c>
      <c r="J43" s="2">
        <v>1</v>
      </c>
      <c r="K43" s="2" t="s">
        <v>30</v>
      </c>
      <c r="L43" s="2">
        <v>206</v>
      </c>
      <c r="M43" s="2" t="s">
        <v>71</v>
      </c>
      <c r="N43" s="2">
        <v>61</v>
      </c>
      <c r="O43" s="6">
        <v>693791.83</v>
      </c>
      <c r="P43" s="6">
        <v>11373.64</v>
      </c>
    </row>
    <row r="44" spans="1:16" outlineLevel="2" x14ac:dyDescent="0.2">
      <c r="A44" s="5">
        <v>46209</v>
      </c>
      <c r="B44" s="2">
        <v>160712</v>
      </c>
      <c r="C44" s="2">
        <v>1</v>
      </c>
      <c r="D44" s="2" t="s">
        <v>25</v>
      </c>
      <c r="E44" s="2" t="s">
        <v>26</v>
      </c>
      <c r="F44" s="2" t="s">
        <v>37</v>
      </c>
      <c r="G44" s="2" t="s">
        <v>22</v>
      </c>
      <c r="H44" s="2" t="s">
        <v>21</v>
      </c>
      <c r="I44" s="2" t="s">
        <v>72</v>
      </c>
      <c r="J44" s="2">
        <v>1</v>
      </c>
      <c r="K44" s="2" t="s">
        <v>30</v>
      </c>
      <c r="L44" s="2">
        <v>1846</v>
      </c>
      <c r="M44" s="2" t="s">
        <v>73</v>
      </c>
      <c r="N44" s="2">
        <v>6</v>
      </c>
      <c r="O44" s="6">
        <v>278219.64</v>
      </c>
      <c r="P44" s="6">
        <v>46369.94</v>
      </c>
    </row>
    <row r="45" spans="1:16" outlineLevel="2" x14ac:dyDescent="0.2">
      <c r="A45" s="5">
        <v>46216</v>
      </c>
      <c r="B45" s="2">
        <v>160743</v>
      </c>
      <c r="C45" s="2">
        <v>3</v>
      </c>
      <c r="D45" s="2" t="s">
        <v>25</v>
      </c>
      <c r="E45" s="2" t="s">
        <v>26</v>
      </c>
      <c r="F45" s="2" t="s">
        <v>44</v>
      </c>
      <c r="G45" s="2" t="s">
        <v>83</v>
      </c>
      <c r="H45" s="2" t="s">
        <v>21</v>
      </c>
      <c r="I45" s="2" t="s">
        <v>67</v>
      </c>
      <c r="J45" s="2">
        <v>40</v>
      </c>
      <c r="K45" s="2" t="s">
        <v>39</v>
      </c>
      <c r="L45" s="2">
        <v>1502</v>
      </c>
      <c r="M45" s="2" t="s">
        <v>68</v>
      </c>
      <c r="N45" s="2">
        <v>5</v>
      </c>
      <c r="O45" s="6">
        <v>162775.24</v>
      </c>
      <c r="P45" s="6">
        <v>32555.05</v>
      </c>
    </row>
    <row r="46" spans="1:16" outlineLevel="2" x14ac:dyDescent="0.2">
      <c r="A46" s="5">
        <v>46218</v>
      </c>
      <c r="B46" s="2">
        <v>160835</v>
      </c>
      <c r="C46" s="2">
        <v>1</v>
      </c>
      <c r="D46" s="2" t="s">
        <v>25</v>
      </c>
      <c r="E46" s="2" t="s">
        <v>26</v>
      </c>
      <c r="F46" s="2" t="s">
        <v>44</v>
      </c>
      <c r="G46" s="2" t="s">
        <v>83</v>
      </c>
      <c r="H46" s="2" t="s">
        <v>21</v>
      </c>
      <c r="I46" s="2" t="s">
        <v>98</v>
      </c>
      <c r="J46" s="2">
        <v>40</v>
      </c>
      <c r="K46" s="2" t="s">
        <v>39</v>
      </c>
      <c r="L46" s="2">
        <v>1502</v>
      </c>
      <c r="M46" s="2" t="s">
        <v>68</v>
      </c>
      <c r="N46" s="2">
        <v>54</v>
      </c>
      <c r="O46" s="6">
        <v>1678817.05</v>
      </c>
      <c r="P46" s="6">
        <v>31089.200000000001</v>
      </c>
    </row>
    <row r="47" spans="1:16" outlineLevel="2" x14ac:dyDescent="0.2">
      <c r="A47" s="5">
        <v>46220</v>
      </c>
      <c r="B47" s="2">
        <v>160835</v>
      </c>
      <c r="C47" s="2">
        <v>5</v>
      </c>
      <c r="D47" s="2" t="s">
        <v>25</v>
      </c>
      <c r="E47" s="2" t="s">
        <v>26</v>
      </c>
      <c r="F47" s="2" t="s">
        <v>44</v>
      </c>
      <c r="G47" s="2" t="s">
        <v>99</v>
      </c>
      <c r="H47" s="2" t="s">
        <v>21</v>
      </c>
      <c r="I47" s="2" t="s">
        <v>100</v>
      </c>
      <c r="J47" s="2">
        <v>40</v>
      </c>
      <c r="K47" s="2" t="s">
        <v>39</v>
      </c>
      <c r="L47" s="2">
        <v>25243</v>
      </c>
      <c r="M47" s="2" t="s">
        <v>101</v>
      </c>
      <c r="N47" s="2">
        <v>20</v>
      </c>
      <c r="O47" s="6">
        <v>640833.18999999994</v>
      </c>
      <c r="P47" s="6">
        <v>32041.66</v>
      </c>
    </row>
    <row r="48" spans="1:16" outlineLevel="2" x14ac:dyDescent="0.2">
      <c r="A48" s="5">
        <v>46220</v>
      </c>
      <c r="B48" s="2">
        <v>160835</v>
      </c>
      <c r="C48" s="2">
        <v>6</v>
      </c>
      <c r="D48" s="2" t="s">
        <v>25</v>
      </c>
      <c r="E48" s="2" t="s">
        <v>26</v>
      </c>
      <c r="F48" s="2" t="s">
        <v>44</v>
      </c>
      <c r="G48" s="2" t="s">
        <v>99</v>
      </c>
      <c r="H48" s="2" t="s">
        <v>21</v>
      </c>
      <c r="I48" s="2" t="s">
        <v>67</v>
      </c>
      <c r="J48" s="2">
        <v>40</v>
      </c>
      <c r="K48" s="2" t="s">
        <v>39</v>
      </c>
      <c r="L48" s="2">
        <v>25243</v>
      </c>
      <c r="M48" s="2" t="s">
        <v>101</v>
      </c>
      <c r="N48" s="2">
        <v>4</v>
      </c>
      <c r="O48" s="6">
        <v>135992</v>
      </c>
      <c r="P48" s="6">
        <v>33998</v>
      </c>
    </row>
    <row r="49" spans="1:16" outlineLevel="2" x14ac:dyDescent="0.2">
      <c r="A49" s="5">
        <v>46223</v>
      </c>
      <c r="B49" s="2">
        <v>161009</v>
      </c>
      <c r="C49" s="2">
        <v>2</v>
      </c>
      <c r="D49" s="2" t="s">
        <v>25</v>
      </c>
      <c r="E49" s="2" t="s">
        <v>26</v>
      </c>
      <c r="F49" s="2" t="s">
        <v>37</v>
      </c>
      <c r="G49" s="2" t="s">
        <v>22</v>
      </c>
      <c r="H49" s="2" t="s">
        <v>21</v>
      </c>
      <c r="I49" s="2" t="s">
        <v>29</v>
      </c>
      <c r="J49" s="2">
        <v>1</v>
      </c>
      <c r="K49" s="2" t="s">
        <v>30</v>
      </c>
      <c r="L49" s="2">
        <v>1846</v>
      </c>
      <c r="M49" s="2" t="s">
        <v>73</v>
      </c>
      <c r="N49" s="2">
        <v>30</v>
      </c>
      <c r="O49" s="6">
        <v>2511225</v>
      </c>
      <c r="P49" s="6">
        <v>83707.5</v>
      </c>
    </row>
    <row r="50" spans="1:16" outlineLevel="2" x14ac:dyDescent="0.2">
      <c r="A50" s="5">
        <v>46223</v>
      </c>
      <c r="B50" s="2">
        <v>161009</v>
      </c>
      <c r="C50" s="2">
        <v>3</v>
      </c>
      <c r="D50" s="2" t="s">
        <v>25</v>
      </c>
      <c r="E50" s="2" t="s">
        <v>26</v>
      </c>
      <c r="F50" s="2" t="s">
        <v>37</v>
      </c>
      <c r="G50" s="2" t="s">
        <v>22</v>
      </c>
      <c r="H50" s="2" t="s">
        <v>21</v>
      </c>
      <c r="I50" s="2" t="s">
        <v>114</v>
      </c>
      <c r="J50" s="2">
        <v>1</v>
      </c>
      <c r="K50" s="2" t="s">
        <v>30</v>
      </c>
      <c r="L50" s="2">
        <v>1846</v>
      </c>
      <c r="M50" s="2" t="s">
        <v>73</v>
      </c>
      <c r="N50" s="2">
        <v>17</v>
      </c>
      <c r="O50" s="6">
        <v>312235.09000000003</v>
      </c>
      <c r="P50" s="6">
        <v>18366.77</v>
      </c>
    </row>
    <row r="51" spans="1:16" outlineLevel="2" x14ac:dyDescent="0.2">
      <c r="A51" s="5">
        <v>46223</v>
      </c>
      <c r="B51" s="2">
        <v>161048</v>
      </c>
      <c r="C51" s="2">
        <v>1</v>
      </c>
      <c r="D51" s="2" t="s">
        <v>25</v>
      </c>
      <c r="E51" s="2" t="s">
        <v>26</v>
      </c>
      <c r="F51" s="2" t="s">
        <v>44</v>
      </c>
      <c r="G51" s="2" t="s">
        <v>22</v>
      </c>
      <c r="H51" s="2" t="s">
        <v>83</v>
      </c>
      <c r="I51" s="2" t="s">
        <v>117</v>
      </c>
      <c r="J51" s="2">
        <v>40</v>
      </c>
      <c r="K51" s="2" t="s">
        <v>39</v>
      </c>
      <c r="L51" s="2">
        <v>25243</v>
      </c>
      <c r="M51" s="2" t="s">
        <v>101</v>
      </c>
      <c r="N51" s="2">
        <v>10</v>
      </c>
      <c r="O51" s="6">
        <v>333018</v>
      </c>
      <c r="P51" s="6">
        <v>33301.800000000003</v>
      </c>
    </row>
    <row r="52" spans="1:16" outlineLevel="1" x14ac:dyDescent="0.2">
      <c r="A52" s="5"/>
      <c r="D52" s="4" t="s">
        <v>143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SUBTOTAL(9,N39:N51)</f>
        <v>302</v>
      </c>
      <c r="O52" s="7">
        <f>SUBTOTAL(9,O39:O51)</f>
        <v>8781116.7599999998</v>
      </c>
      <c r="P52" s="7">
        <f>+O52/N52</f>
        <v>29076.545562913907</v>
      </c>
    </row>
    <row r="53" spans="1:16" outlineLevel="2" x14ac:dyDescent="0.2">
      <c r="A53" s="5">
        <v>46223</v>
      </c>
      <c r="B53" s="2">
        <v>161052</v>
      </c>
      <c r="C53" s="2">
        <v>2</v>
      </c>
      <c r="D53" s="2" t="s">
        <v>118</v>
      </c>
      <c r="E53" s="2" t="s">
        <v>119</v>
      </c>
      <c r="F53" s="2" t="s">
        <v>44</v>
      </c>
      <c r="G53" s="2" t="s">
        <v>22</v>
      </c>
      <c r="H53" s="2" t="s">
        <v>21</v>
      </c>
      <c r="I53" s="2" t="s">
        <v>21</v>
      </c>
      <c r="J53" s="2">
        <v>5</v>
      </c>
      <c r="K53" s="2" t="s">
        <v>48</v>
      </c>
      <c r="L53" s="2">
        <v>2521</v>
      </c>
      <c r="M53" s="2" t="s">
        <v>49</v>
      </c>
      <c r="N53" s="2">
        <v>2</v>
      </c>
      <c r="O53" s="6">
        <v>59136.1</v>
      </c>
      <c r="P53" s="6">
        <v>29568.05</v>
      </c>
    </row>
    <row r="54" spans="1:16" outlineLevel="2" x14ac:dyDescent="0.2">
      <c r="A54" s="5">
        <v>46223</v>
      </c>
      <c r="B54" s="2">
        <v>161052</v>
      </c>
      <c r="C54" s="2">
        <v>3</v>
      </c>
      <c r="D54" s="2" t="s">
        <v>118</v>
      </c>
      <c r="E54" s="2" t="s">
        <v>120</v>
      </c>
      <c r="F54" s="2" t="s">
        <v>44</v>
      </c>
      <c r="G54" s="2" t="s">
        <v>22</v>
      </c>
      <c r="H54" s="2" t="s">
        <v>21</v>
      </c>
      <c r="I54" s="2" t="s">
        <v>21</v>
      </c>
      <c r="J54" s="2">
        <v>5</v>
      </c>
      <c r="K54" s="2" t="s">
        <v>48</v>
      </c>
      <c r="L54" s="2">
        <v>2521</v>
      </c>
      <c r="M54" s="2" t="s">
        <v>49</v>
      </c>
      <c r="N54" s="2">
        <v>2</v>
      </c>
      <c r="O54" s="6">
        <v>57269.22</v>
      </c>
      <c r="P54" s="6">
        <v>28634.61</v>
      </c>
    </row>
    <row r="55" spans="1:16" outlineLevel="1" x14ac:dyDescent="0.2">
      <c r="A55" s="5"/>
      <c r="D55" s="4" t="s">
        <v>144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SUBTOTAL(9,N53:N54)</f>
        <v>4</v>
      </c>
      <c r="O55" s="7">
        <f>SUBTOTAL(9,O53:O54)</f>
        <v>116405.32</v>
      </c>
      <c r="P55" s="7">
        <f>+O55/N55</f>
        <v>29101.33</v>
      </c>
    </row>
    <row r="56" spans="1:16" outlineLevel="2" x14ac:dyDescent="0.2">
      <c r="A56" s="5">
        <v>46209</v>
      </c>
      <c r="B56" s="2">
        <v>160513</v>
      </c>
      <c r="C56" s="2">
        <v>1</v>
      </c>
      <c r="D56" s="2" t="s">
        <v>51</v>
      </c>
      <c r="E56" s="2" t="s">
        <v>21</v>
      </c>
      <c r="F56" s="2" t="s">
        <v>52</v>
      </c>
      <c r="G56" s="2" t="s">
        <v>22</v>
      </c>
      <c r="H56" s="2" t="s">
        <v>21</v>
      </c>
      <c r="I56" s="2" t="s">
        <v>53</v>
      </c>
      <c r="J56" s="2">
        <v>1</v>
      </c>
      <c r="K56" s="2" t="s">
        <v>30</v>
      </c>
      <c r="L56" s="2">
        <v>2024</v>
      </c>
      <c r="M56" s="2" t="s">
        <v>54</v>
      </c>
      <c r="N56" s="2">
        <v>2</v>
      </c>
      <c r="O56" s="6">
        <v>6863.5</v>
      </c>
      <c r="P56" s="6">
        <v>3431.75</v>
      </c>
    </row>
    <row r="57" spans="1:16" outlineLevel="2" x14ac:dyDescent="0.2">
      <c r="A57" s="5">
        <v>46209</v>
      </c>
      <c r="B57" s="2">
        <v>160513</v>
      </c>
      <c r="C57" s="2">
        <v>2</v>
      </c>
      <c r="D57" s="2" t="s">
        <v>51</v>
      </c>
      <c r="E57" s="2" t="s">
        <v>21</v>
      </c>
      <c r="F57" s="2" t="s">
        <v>52</v>
      </c>
      <c r="G57" s="2" t="s">
        <v>22</v>
      </c>
      <c r="H57" s="2" t="s">
        <v>21</v>
      </c>
      <c r="I57" s="2" t="s">
        <v>55</v>
      </c>
      <c r="J57" s="2">
        <v>1</v>
      </c>
      <c r="K57" s="2" t="s">
        <v>30</v>
      </c>
      <c r="L57" s="2">
        <v>2024</v>
      </c>
      <c r="M57" s="2" t="s">
        <v>54</v>
      </c>
      <c r="N57" s="2">
        <v>20</v>
      </c>
      <c r="O57" s="6">
        <v>143310.20000000001</v>
      </c>
      <c r="P57" s="6">
        <v>7165.51</v>
      </c>
    </row>
    <row r="58" spans="1:16" outlineLevel="2" x14ac:dyDescent="0.2">
      <c r="A58" s="5">
        <v>46223</v>
      </c>
      <c r="B58" s="2">
        <v>160514</v>
      </c>
      <c r="C58" s="2">
        <v>1</v>
      </c>
      <c r="D58" s="2" t="s">
        <v>51</v>
      </c>
      <c r="E58" s="2" t="s">
        <v>21</v>
      </c>
      <c r="F58" s="2" t="s">
        <v>52</v>
      </c>
      <c r="G58" s="2" t="s">
        <v>22</v>
      </c>
      <c r="H58" s="2" t="s">
        <v>21</v>
      </c>
      <c r="I58" s="2" t="s">
        <v>56</v>
      </c>
      <c r="J58" s="2">
        <v>1</v>
      </c>
      <c r="K58" s="2" t="s">
        <v>30</v>
      </c>
      <c r="L58" s="2">
        <v>2024</v>
      </c>
      <c r="M58" s="2" t="s">
        <v>54</v>
      </c>
      <c r="N58" s="2">
        <v>4</v>
      </c>
      <c r="O58" s="6">
        <v>28662.02</v>
      </c>
      <c r="P58" s="6">
        <v>7165.51</v>
      </c>
    </row>
    <row r="59" spans="1:16" outlineLevel="1" x14ac:dyDescent="0.2">
      <c r="A59" s="5"/>
      <c r="D59" s="4" t="s">
        <v>145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SUBTOTAL(9,N56:N58)</f>
        <v>26</v>
      </c>
      <c r="O59" s="7">
        <f>SUBTOTAL(9,O56:O58)</f>
        <v>178835.72</v>
      </c>
      <c r="P59" s="7">
        <f>+O59/N59</f>
        <v>6878.2969230769231</v>
      </c>
    </row>
    <row r="60" spans="1:16" outlineLevel="2" x14ac:dyDescent="0.2">
      <c r="A60" s="5">
        <v>46218</v>
      </c>
      <c r="B60" s="2">
        <v>160865</v>
      </c>
      <c r="C60" s="2">
        <v>1</v>
      </c>
      <c r="D60" s="2" t="s">
        <v>105</v>
      </c>
      <c r="E60" s="2" t="s">
        <v>106</v>
      </c>
      <c r="F60" s="2" t="s">
        <v>103</v>
      </c>
      <c r="G60" s="2" t="s">
        <v>22</v>
      </c>
      <c r="H60" s="2" t="s">
        <v>21</v>
      </c>
      <c r="I60" s="2" t="s">
        <v>21</v>
      </c>
      <c r="J60" s="2">
        <v>41</v>
      </c>
      <c r="K60" s="2" t="s">
        <v>107</v>
      </c>
      <c r="L60" s="2">
        <v>2338</v>
      </c>
      <c r="M60" s="2" t="s">
        <v>108</v>
      </c>
      <c r="N60" s="2">
        <v>1</v>
      </c>
      <c r="O60" s="6">
        <v>818.13</v>
      </c>
      <c r="P60" s="6">
        <v>818.13</v>
      </c>
    </row>
    <row r="61" spans="1:16" outlineLevel="2" x14ac:dyDescent="0.2">
      <c r="A61" s="5">
        <v>46220</v>
      </c>
      <c r="B61" s="2">
        <v>160957</v>
      </c>
      <c r="C61" s="2">
        <v>1</v>
      </c>
      <c r="D61" s="2" t="s">
        <v>105</v>
      </c>
      <c r="E61" s="2" t="s">
        <v>106</v>
      </c>
      <c r="F61" s="2" t="s">
        <v>103</v>
      </c>
      <c r="G61" s="2" t="s">
        <v>22</v>
      </c>
      <c r="H61" s="2" t="s">
        <v>21</v>
      </c>
      <c r="I61" s="2" t="s">
        <v>21</v>
      </c>
      <c r="J61" s="2">
        <v>41</v>
      </c>
      <c r="K61" s="2" t="s">
        <v>107</v>
      </c>
      <c r="L61" s="2">
        <v>2338</v>
      </c>
      <c r="M61" s="2" t="s">
        <v>108</v>
      </c>
      <c r="N61" s="2">
        <v>3</v>
      </c>
      <c r="O61" s="6">
        <v>2454.39</v>
      </c>
      <c r="P61" s="6">
        <v>818.13</v>
      </c>
    </row>
    <row r="62" spans="1:16" outlineLevel="2" x14ac:dyDescent="0.2">
      <c r="A62" s="5">
        <v>46223</v>
      </c>
      <c r="B62" s="2">
        <v>161026</v>
      </c>
      <c r="C62" s="2">
        <v>1</v>
      </c>
      <c r="D62" s="2" t="s">
        <v>105</v>
      </c>
      <c r="E62" s="2" t="s">
        <v>106</v>
      </c>
      <c r="F62" s="2" t="s">
        <v>103</v>
      </c>
      <c r="G62" s="2" t="s">
        <v>22</v>
      </c>
      <c r="H62" s="2" t="s">
        <v>21</v>
      </c>
      <c r="I62" s="2" t="s">
        <v>21</v>
      </c>
      <c r="J62" s="2">
        <v>41</v>
      </c>
      <c r="K62" s="2" t="s">
        <v>107</v>
      </c>
      <c r="L62" s="2">
        <v>2338</v>
      </c>
      <c r="M62" s="2" t="s">
        <v>108</v>
      </c>
      <c r="N62" s="2">
        <v>107</v>
      </c>
      <c r="O62" s="6">
        <v>52255.8</v>
      </c>
      <c r="P62" s="6">
        <v>488.37</v>
      </c>
    </row>
    <row r="63" spans="1:16" outlineLevel="1" x14ac:dyDescent="0.2">
      <c r="A63" s="5"/>
      <c r="D63" s="4" t="s">
        <v>146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SUBTOTAL(9,N60:N62)</f>
        <v>111</v>
      </c>
      <c r="O63" s="7">
        <f>SUBTOTAL(9,O60:O62)</f>
        <v>55528.32</v>
      </c>
      <c r="P63" s="7">
        <f>+O63/N63</f>
        <v>500.25513513513511</v>
      </c>
    </row>
    <row r="64" spans="1:16" outlineLevel="2" x14ac:dyDescent="0.2">
      <c r="A64" s="5">
        <v>46223</v>
      </c>
      <c r="B64" s="2">
        <v>161115</v>
      </c>
      <c r="C64" s="2">
        <v>27</v>
      </c>
      <c r="D64" s="2" t="s">
        <v>59</v>
      </c>
      <c r="E64" s="2" t="s">
        <v>129</v>
      </c>
      <c r="F64" s="2" t="s">
        <v>116</v>
      </c>
      <c r="G64" s="2" t="s">
        <v>22</v>
      </c>
      <c r="H64" s="2" t="s">
        <v>21</v>
      </c>
      <c r="I64" s="2" t="s">
        <v>21</v>
      </c>
      <c r="J64" s="2">
        <v>2</v>
      </c>
      <c r="K64" s="2" t="s">
        <v>62</v>
      </c>
      <c r="L64" s="2">
        <v>801</v>
      </c>
      <c r="M64" s="2" t="s">
        <v>110</v>
      </c>
      <c r="N64" s="2">
        <v>1</v>
      </c>
      <c r="O64" s="6">
        <v>13699.58</v>
      </c>
      <c r="P64" s="6">
        <v>13699.58</v>
      </c>
    </row>
    <row r="65" spans="1:16" outlineLevel="2" x14ac:dyDescent="0.2">
      <c r="A65" s="5">
        <v>46218</v>
      </c>
      <c r="B65" s="2">
        <v>160911</v>
      </c>
      <c r="C65" s="2">
        <v>313</v>
      </c>
      <c r="D65" s="2" t="s">
        <v>59</v>
      </c>
      <c r="E65" s="2" t="s">
        <v>109</v>
      </c>
      <c r="F65" s="2" t="s">
        <v>33</v>
      </c>
      <c r="G65" s="2" t="s">
        <v>21</v>
      </c>
      <c r="H65" s="2" t="s">
        <v>21</v>
      </c>
      <c r="I65" s="2" t="s">
        <v>21</v>
      </c>
      <c r="J65" s="2">
        <v>41</v>
      </c>
      <c r="K65" s="2" t="s">
        <v>107</v>
      </c>
      <c r="L65" s="2">
        <v>801</v>
      </c>
      <c r="M65" s="2" t="s">
        <v>110</v>
      </c>
      <c r="N65" s="2">
        <v>1</v>
      </c>
      <c r="O65" s="6">
        <v>14633.02</v>
      </c>
      <c r="P65" s="6">
        <v>14633.02</v>
      </c>
    </row>
    <row r="66" spans="1:16" outlineLevel="2" x14ac:dyDescent="0.2">
      <c r="A66" s="5">
        <v>46220</v>
      </c>
      <c r="B66" s="2">
        <v>160616</v>
      </c>
      <c r="C66" s="2">
        <v>1</v>
      </c>
      <c r="D66" s="2" t="s">
        <v>59</v>
      </c>
      <c r="E66" s="2" t="s">
        <v>60</v>
      </c>
      <c r="F66" s="2" t="s">
        <v>33</v>
      </c>
      <c r="G66" s="2" t="s">
        <v>61</v>
      </c>
      <c r="H66" s="2" t="s">
        <v>21</v>
      </c>
      <c r="I66" s="2" t="s">
        <v>21</v>
      </c>
      <c r="J66" s="2">
        <v>2</v>
      </c>
      <c r="K66" s="2" t="s">
        <v>62</v>
      </c>
      <c r="L66" s="2">
        <v>492</v>
      </c>
      <c r="M66" s="2" t="s">
        <v>63</v>
      </c>
      <c r="N66" s="2">
        <v>18</v>
      </c>
      <c r="O66" s="6">
        <v>121511.66</v>
      </c>
      <c r="P66" s="6">
        <v>6750.65</v>
      </c>
    </row>
    <row r="67" spans="1:16" outlineLevel="2" x14ac:dyDescent="0.2">
      <c r="A67" s="5">
        <v>46213</v>
      </c>
      <c r="B67" s="2">
        <v>160828</v>
      </c>
      <c r="C67" s="2">
        <v>1</v>
      </c>
      <c r="D67" s="2" t="s">
        <v>59</v>
      </c>
      <c r="E67" s="2" t="s">
        <v>60</v>
      </c>
      <c r="F67" s="2" t="s">
        <v>37</v>
      </c>
      <c r="G67" s="2" t="s">
        <v>22</v>
      </c>
      <c r="H67" s="2" t="s">
        <v>21</v>
      </c>
      <c r="I67" s="2" t="s">
        <v>21</v>
      </c>
      <c r="J67" s="2">
        <v>40</v>
      </c>
      <c r="K67" s="2" t="s">
        <v>39</v>
      </c>
      <c r="L67" s="2">
        <v>21</v>
      </c>
      <c r="M67" s="2" t="s">
        <v>93</v>
      </c>
      <c r="N67" s="2">
        <v>2</v>
      </c>
      <c r="O67" s="6">
        <v>66603.61</v>
      </c>
      <c r="P67" s="6">
        <v>33301.81</v>
      </c>
    </row>
    <row r="68" spans="1:16" outlineLevel="1" x14ac:dyDescent="0.2">
      <c r="A68" s="5"/>
      <c r="D68" s="4" t="s">
        <v>147</v>
      </c>
      <c r="E68" s="4"/>
      <c r="F68" s="4"/>
      <c r="G68" s="4"/>
      <c r="H68" s="4"/>
      <c r="I68" s="4"/>
      <c r="J68" s="4"/>
      <c r="K68" s="4"/>
      <c r="L68" s="4"/>
      <c r="M68" s="4"/>
      <c r="N68" s="4">
        <f>SUBTOTAL(9,N64:N67)</f>
        <v>22</v>
      </c>
      <c r="O68" s="7">
        <f>SUBTOTAL(9,O64:O67)</f>
        <v>216447.87</v>
      </c>
      <c r="P68" s="7">
        <f>+O68/N68</f>
        <v>9838.5395454545451</v>
      </c>
    </row>
    <row r="69" spans="1:16" outlineLevel="2" x14ac:dyDescent="0.2">
      <c r="A69" s="5">
        <v>46216</v>
      </c>
      <c r="B69" s="2">
        <v>160721</v>
      </c>
      <c r="C69" s="2">
        <v>5</v>
      </c>
      <c r="D69" s="2" t="s">
        <v>42</v>
      </c>
      <c r="E69" s="2" t="s">
        <v>85</v>
      </c>
      <c r="F69" s="2" t="s">
        <v>44</v>
      </c>
      <c r="G69" s="2" t="s">
        <v>22</v>
      </c>
      <c r="H69" s="2" t="s">
        <v>21</v>
      </c>
      <c r="I69" s="2" t="s">
        <v>21</v>
      </c>
      <c r="J69" s="2">
        <v>1</v>
      </c>
      <c r="K69" s="2" t="s">
        <v>30</v>
      </c>
      <c r="L69" s="2">
        <v>2541</v>
      </c>
      <c r="M69" s="2" t="s">
        <v>45</v>
      </c>
      <c r="N69" s="2">
        <v>0</v>
      </c>
      <c r="O69" s="6">
        <v>-66963.600000000006</v>
      </c>
      <c r="P69" s="6">
        <v>0</v>
      </c>
    </row>
    <row r="70" spans="1:16" outlineLevel="2" x14ac:dyDescent="0.2">
      <c r="A70" s="5">
        <v>46223</v>
      </c>
      <c r="B70" s="2">
        <v>161095</v>
      </c>
      <c r="C70" s="2">
        <v>2</v>
      </c>
      <c r="D70" s="2" t="s">
        <v>42</v>
      </c>
      <c r="E70" s="2" t="s">
        <v>125</v>
      </c>
      <c r="F70" s="2" t="s">
        <v>44</v>
      </c>
      <c r="G70" s="2" t="s">
        <v>22</v>
      </c>
      <c r="H70" s="2" t="s">
        <v>21</v>
      </c>
      <c r="I70" s="2" t="s">
        <v>21</v>
      </c>
      <c r="J70" s="2">
        <v>1</v>
      </c>
      <c r="K70" s="2" t="s">
        <v>30</v>
      </c>
      <c r="L70" s="2">
        <v>2541</v>
      </c>
      <c r="M70" s="2" t="s">
        <v>45</v>
      </c>
      <c r="N70" s="2">
        <v>3</v>
      </c>
      <c r="O70" s="6">
        <v>208184.33</v>
      </c>
      <c r="P70" s="6">
        <v>69394.78</v>
      </c>
    </row>
    <row r="71" spans="1:16" outlineLevel="2" x14ac:dyDescent="0.2">
      <c r="A71" s="5">
        <v>46195</v>
      </c>
      <c r="B71" s="2">
        <v>160340</v>
      </c>
      <c r="C71" s="2">
        <v>2</v>
      </c>
      <c r="D71" s="2" t="s">
        <v>42</v>
      </c>
      <c r="E71" s="2" t="s">
        <v>43</v>
      </c>
      <c r="F71" s="2" t="s">
        <v>44</v>
      </c>
      <c r="G71" s="2" t="s">
        <v>22</v>
      </c>
      <c r="H71" s="2" t="s">
        <v>21</v>
      </c>
      <c r="I71" s="2" t="s">
        <v>21</v>
      </c>
      <c r="J71" s="2">
        <v>1</v>
      </c>
      <c r="K71" s="2" t="s">
        <v>30</v>
      </c>
      <c r="L71" s="2">
        <v>2541</v>
      </c>
      <c r="M71" s="2" t="s">
        <v>45</v>
      </c>
      <c r="N71" s="2">
        <v>-5</v>
      </c>
      <c r="O71" s="6">
        <v>-329171.40999999997</v>
      </c>
      <c r="P71" s="6">
        <v>65834.28</v>
      </c>
    </row>
    <row r="72" spans="1:16" outlineLevel="2" x14ac:dyDescent="0.2">
      <c r="A72" s="5">
        <v>46209</v>
      </c>
      <c r="B72" s="2">
        <v>160557</v>
      </c>
      <c r="C72" s="2">
        <v>2</v>
      </c>
      <c r="D72" s="2" t="s">
        <v>42</v>
      </c>
      <c r="E72" s="2" t="s">
        <v>43</v>
      </c>
      <c r="F72" s="2" t="s">
        <v>44</v>
      </c>
      <c r="G72" s="2" t="s">
        <v>22</v>
      </c>
      <c r="H72" s="2" t="s">
        <v>21</v>
      </c>
      <c r="I72" s="2" t="s">
        <v>21</v>
      </c>
      <c r="J72" s="2">
        <v>1</v>
      </c>
      <c r="K72" s="2" t="s">
        <v>30</v>
      </c>
      <c r="L72" s="2">
        <v>2541</v>
      </c>
      <c r="M72" s="2" t="s">
        <v>45</v>
      </c>
      <c r="N72" s="2">
        <v>10</v>
      </c>
      <c r="O72" s="6">
        <v>354487.14</v>
      </c>
      <c r="P72" s="6">
        <v>35448.71</v>
      </c>
    </row>
    <row r="73" spans="1:16" outlineLevel="1" x14ac:dyDescent="0.2">
      <c r="A73" s="5"/>
      <c r="D73" s="4" t="s">
        <v>148</v>
      </c>
      <c r="E73" s="4"/>
      <c r="F73" s="4"/>
      <c r="G73" s="4"/>
      <c r="H73" s="4"/>
      <c r="I73" s="4"/>
      <c r="J73" s="4"/>
      <c r="K73" s="4"/>
      <c r="L73" s="4"/>
      <c r="M73" s="4"/>
      <c r="N73" s="4">
        <f>SUBTOTAL(9,N69:N72)</f>
        <v>8</v>
      </c>
      <c r="O73" s="7">
        <f>SUBTOTAL(9,O69:O72)</f>
        <v>166536.46000000002</v>
      </c>
      <c r="P73" s="7">
        <f>+O73/N73</f>
        <v>20817.057500000003</v>
      </c>
    </row>
    <row r="74" spans="1:16" x14ac:dyDescent="0.2">
      <c r="A74" s="5"/>
      <c r="D74" s="4" t="s">
        <v>149</v>
      </c>
      <c r="E74" s="4"/>
      <c r="F74" s="4"/>
      <c r="G74" s="4"/>
      <c r="H74" s="4"/>
      <c r="I74" s="4"/>
      <c r="J74" s="4"/>
      <c r="K74" s="4"/>
      <c r="L74" s="4"/>
      <c r="M74" s="4"/>
      <c r="N74" s="4">
        <f>SUBTOTAL(9,N5:N72)</f>
        <v>584.07999999999993</v>
      </c>
      <c r="O74" s="7">
        <f>SUBTOTAL(9,O5:O72)</f>
        <v>12645457.570000002</v>
      </c>
      <c r="P74" s="7"/>
    </row>
  </sheetData>
  <sortState ref="A5:P54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2026-07-21T15:26:16Z</dcterms:created>
  <dcterms:modified xsi:type="dcterms:W3CDTF">2026-07-21T15:27:19Z</dcterms:modified>
</cp:coreProperties>
</file>