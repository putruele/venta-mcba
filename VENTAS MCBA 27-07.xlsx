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Usuario\LORENA\"/>
    </mc:Choice>
  </mc:AlternateContent>
  <bookViews>
    <workbookView xWindow="0" yWindow="0" windowWidth="15330" windowHeight="945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6" i="1" l="1"/>
  <c r="P8" i="1"/>
  <c r="P12" i="1"/>
  <c r="P22" i="1"/>
  <c r="P24" i="1"/>
  <c r="P26" i="1"/>
  <c r="P33" i="1"/>
  <c r="P36" i="1"/>
  <c r="P39" i="1"/>
  <c r="P46" i="1"/>
  <c r="P48" i="1"/>
  <c r="P51" i="1"/>
  <c r="P53" i="1"/>
  <c r="P56" i="1"/>
  <c r="P61" i="1"/>
  <c r="P63" i="1"/>
  <c r="P74" i="1"/>
  <c r="P77" i="1"/>
  <c r="P79" i="1"/>
  <c r="P82" i="1"/>
  <c r="P85" i="1"/>
  <c r="P89" i="1"/>
  <c r="P91" i="1"/>
  <c r="P107" i="1"/>
  <c r="P112" i="1"/>
  <c r="O113" i="1"/>
  <c r="N113" i="1"/>
  <c r="O112" i="1"/>
  <c r="N112" i="1"/>
  <c r="O107" i="1"/>
  <c r="N107" i="1"/>
  <c r="O91" i="1"/>
  <c r="N91" i="1"/>
  <c r="O89" i="1"/>
  <c r="N89" i="1"/>
  <c r="O85" i="1"/>
  <c r="N85" i="1"/>
  <c r="O82" i="1"/>
  <c r="N82" i="1"/>
  <c r="O79" i="1"/>
  <c r="N79" i="1"/>
  <c r="O77" i="1"/>
  <c r="N77" i="1"/>
  <c r="O74" i="1"/>
  <c r="N74" i="1"/>
  <c r="O63" i="1"/>
  <c r="N63" i="1"/>
  <c r="O61" i="1"/>
  <c r="N61" i="1"/>
  <c r="O56" i="1"/>
  <c r="N56" i="1"/>
  <c r="O53" i="1"/>
  <c r="N53" i="1"/>
  <c r="O51" i="1"/>
  <c r="N51" i="1"/>
  <c r="O48" i="1"/>
  <c r="N48" i="1"/>
  <c r="O46" i="1"/>
  <c r="N46" i="1"/>
  <c r="O39" i="1"/>
  <c r="N39" i="1"/>
  <c r="O36" i="1"/>
  <c r="N36" i="1"/>
  <c r="O33" i="1"/>
  <c r="N33" i="1"/>
  <c r="O26" i="1"/>
  <c r="N26" i="1"/>
  <c r="O24" i="1"/>
  <c r="N24" i="1"/>
  <c r="O22" i="1"/>
  <c r="N22" i="1"/>
  <c r="O12" i="1"/>
  <c r="N12" i="1"/>
  <c r="O8" i="1"/>
  <c r="N8" i="1"/>
  <c r="O6" i="1"/>
  <c r="N6" i="1"/>
</calcChain>
</file>

<file path=xl/sharedStrings.xml><?xml version="1.0" encoding="utf-8"?>
<sst xmlns="http://schemas.openxmlformats.org/spreadsheetml/2006/main" count="709" uniqueCount="192">
  <si>
    <t>2026.07.27 16:32:39 SUCU:   2 CAJA: 1</t>
  </si>
  <si>
    <t xml:space="preserve">PUTRUELE HNOS. S.A.A.I.C.  </t>
  </si>
  <si>
    <t>LS040-VENTAS PERIODO:27/07/26-27/07/26</t>
  </si>
  <si>
    <t>fecha</t>
  </si>
  <si>
    <t>it1</t>
  </si>
  <si>
    <t>it2</t>
  </si>
  <si>
    <t>especie</t>
  </si>
  <si>
    <t>variedad</t>
  </si>
  <si>
    <t>zp</t>
  </si>
  <si>
    <t>calidad</t>
  </si>
  <si>
    <t>present</t>
  </si>
  <si>
    <t>tamano</t>
  </si>
  <si>
    <t>codenv</t>
  </si>
  <si>
    <t>nomenv</t>
  </si>
  <si>
    <t>codprv</t>
  </si>
  <si>
    <t>nomprv</t>
  </si>
  <si>
    <t>ventas</t>
  </si>
  <si>
    <t>recaudado</t>
  </si>
  <si>
    <t>promedio</t>
  </si>
  <si>
    <t xml:space="preserve">JENGIBRE  </t>
  </si>
  <si>
    <t xml:space="preserve">FRESCO    </t>
  </si>
  <si>
    <t xml:space="preserve">          </t>
  </si>
  <si>
    <t xml:space="preserve">ELG       </t>
  </si>
  <si>
    <t xml:space="preserve">KILOS     </t>
  </si>
  <si>
    <t xml:space="preserve">MDR CORONA     </t>
  </si>
  <si>
    <t xml:space="preserve">KIWI      </t>
  </si>
  <si>
    <t xml:space="preserve">HAYWARD   </t>
  </si>
  <si>
    <t xml:space="preserve">CHILE     </t>
  </si>
  <si>
    <t xml:space="preserve">25        </t>
  </si>
  <si>
    <t xml:space="preserve">C/PL      </t>
  </si>
  <si>
    <t xml:space="preserve">EXPOR FRUG     </t>
  </si>
  <si>
    <t xml:space="preserve">GRANADA   </t>
  </si>
  <si>
    <t>WONDERFULL</t>
  </si>
  <si>
    <t xml:space="preserve">C/C       </t>
  </si>
  <si>
    <t xml:space="preserve">ESTANCIA L     </t>
  </si>
  <si>
    <t xml:space="preserve">PALTA     </t>
  </si>
  <si>
    <t xml:space="preserve">HASS      </t>
  </si>
  <si>
    <t xml:space="preserve">PERU      </t>
  </si>
  <si>
    <t xml:space="preserve">70        </t>
  </si>
  <si>
    <t xml:space="preserve">WESTFALIA      </t>
  </si>
  <si>
    <t xml:space="preserve">MANZANA   </t>
  </si>
  <si>
    <t>GRANNY SMI</t>
  </si>
  <si>
    <t xml:space="preserve">CELESTINO      </t>
  </si>
  <si>
    <t xml:space="preserve">UVA       </t>
  </si>
  <si>
    <t>SUGAR CRIS</t>
  </si>
  <si>
    <t xml:space="preserve">BRASIL    </t>
  </si>
  <si>
    <t xml:space="preserve">SERRA BRAN     </t>
  </si>
  <si>
    <t xml:space="preserve">COCO      </t>
  </si>
  <si>
    <t xml:space="preserve">BAHIA     </t>
  </si>
  <si>
    <t xml:space="preserve">BLS       </t>
  </si>
  <si>
    <t xml:space="preserve">ENLU-COMER     </t>
  </si>
  <si>
    <t xml:space="preserve">TOMATE    </t>
  </si>
  <si>
    <t xml:space="preserve">RAF       </t>
  </si>
  <si>
    <t xml:space="preserve">PILAR     </t>
  </si>
  <si>
    <t xml:space="preserve">C/M       </t>
  </si>
  <si>
    <t xml:space="preserve">FINCA LA J     </t>
  </si>
  <si>
    <t xml:space="preserve">AGROPECUAR     </t>
  </si>
  <si>
    <t xml:space="preserve">PI¥A      </t>
  </si>
  <si>
    <t xml:space="preserve">ECUADOR   </t>
  </si>
  <si>
    <t xml:space="preserve">N§6       </t>
  </si>
  <si>
    <t xml:space="preserve">PI¥AS RICA     </t>
  </si>
  <si>
    <t xml:space="preserve">N§7       </t>
  </si>
  <si>
    <t>RED SUP CH</t>
  </si>
  <si>
    <t xml:space="preserve">138       </t>
  </si>
  <si>
    <t xml:space="preserve">AMARILLO  </t>
  </si>
  <si>
    <t>NUEVA ZELA</t>
  </si>
  <si>
    <t xml:space="preserve">22        </t>
  </si>
  <si>
    <t xml:space="preserve">ZESPRI INT     </t>
  </si>
  <si>
    <t xml:space="preserve">30        </t>
  </si>
  <si>
    <t xml:space="preserve">PERA      </t>
  </si>
  <si>
    <t xml:space="preserve">PACKHAM'S </t>
  </si>
  <si>
    <t xml:space="preserve">1/2 CAJA  </t>
  </si>
  <si>
    <t xml:space="preserve">60        </t>
  </si>
  <si>
    <t xml:space="preserve">EXPOR PROP     </t>
  </si>
  <si>
    <t xml:space="preserve">MELON     </t>
  </si>
  <si>
    <t>AMARILLO S</t>
  </si>
  <si>
    <t xml:space="preserve">6         </t>
  </si>
  <si>
    <t xml:space="preserve">NOVAFRUIT      </t>
  </si>
  <si>
    <t>MELON COMU</t>
  </si>
  <si>
    <t xml:space="preserve">10        </t>
  </si>
  <si>
    <t xml:space="preserve">5         </t>
  </si>
  <si>
    <t xml:space="preserve">DINA INDUS     </t>
  </si>
  <si>
    <t>AMARILLA S</t>
  </si>
  <si>
    <t>AMARILLO C</t>
  </si>
  <si>
    <t xml:space="preserve">8         </t>
  </si>
  <si>
    <t xml:space="preserve">CAT 2     </t>
  </si>
  <si>
    <t xml:space="preserve">T.27      </t>
  </si>
  <si>
    <t>AUTUN CRIS</t>
  </si>
  <si>
    <t xml:space="preserve">CBA       </t>
  </si>
  <si>
    <t xml:space="preserve">12        </t>
  </si>
  <si>
    <t xml:space="preserve">JUJUY     </t>
  </si>
  <si>
    <t xml:space="preserve">VISION JUJ     </t>
  </si>
  <si>
    <t xml:space="preserve">LIMA      </t>
  </si>
  <si>
    <t xml:space="preserve">TAHITI    </t>
  </si>
  <si>
    <t xml:space="preserve">MANGO     </t>
  </si>
  <si>
    <t xml:space="preserve">PALMER    </t>
  </si>
  <si>
    <t xml:space="preserve">N§8       </t>
  </si>
  <si>
    <t xml:space="preserve">SPECIAL FR     </t>
  </si>
  <si>
    <t xml:space="preserve">18        </t>
  </si>
  <si>
    <t xml:space="preserve">BONELLA        </t>
  </si>
  <si>
    <t xml:space="preserve">CHERRY    </t>
  </si>
  <si>
    <t>RACIMO NEG</t>
  </si>
  <si>
    <t xml:space="preserve">CTES.     </t>
  </si>
  <si>
    <t xml:space="preserve">BAND      </t>
  </si>
  <si>
    <t xml:space="preserve">REDONDO   </t>
  </si>
  <si>
    <t xml:space="preserve">COMERCIAL      </t>
  </si>
  <si>
    <t xml:space="preserve">SEG.      </t>
  </si>
  <si>
    <t xml:space="preserve">A.ROCKY S.     </t>
  </si>
  <si>
    <t xml:space="preserve">MAMON     </t>
  </si>
  <si>
    <t xml:space="preserve">FORMOSA   </t>
  </si>
  <si>
    <t xml:space="preserve">RAF NEGRO </t>
  </si>
  <si>
    <t xml:space="preserve">RAF ROSA  </t>
  </si>
  <si>
    <t>RAF AMARIL</t>
  </si>
  <si>
    <t xml:space="preserve">CIRUELA   </t>
  </si>
  <si>
    <t xml:space="preserve">CAT I     </t>
  </si>
  <si>
    <t xml:space="preserve">T.24      </t>
  </si>
  <si>
    <t xml:space="preserve">16        </t>
  </si>
  <si>
    <t xml:space="preserve">PAPIN     </t>
  </si>
  <si>
    <t xml:space="preserve">AGATA     </t>
  </si>
  <si>
    <t>AGATA FRAC</t>
  </si>
  <si>
    <t>BLACK SPLE</t>
  </si>
  <si>
    <t xml:space="preserve">ESPA¥A    </t>
  </si>
  <si>
    <t xml:space="preserve">GRUPO CAST     </t>
  </si>
  <si>
    <t xml:space="preserve">RUBY RUSH </t>
  </si>
  <si>
    <t xml:space="preserve">T.12      </t>
  </si>
  <si>
    <t xml:space="preserve">JAGUACY BR     </t>
  </si>
  <si>
    <t xml:space="preserve">T.16      </t>
  </si>
  <si>
    <t xml:space="preserve">T.18      </t>
  </si>
  <si>
    <t>RACIMO ROJ</t>
  </si>
  <si>
    <t>RACIMO PIN</t>
  </si>
  <si>
    <t>RACIMO PER</t>
  </si>
  <si>
    <t xml:space="preserve">SUN GOLD  </t>
  </si>
  <si>
    <t xml:space="preserve">T.22      </t>
  </si>
  <si>
    <t>COMUN ROJO</t>
  </si>
  <si>
    <t>RAF VIOLET</t>
  </si>
  <si>
    <t xml:space="preserve">PITAHAYA  </t>
  </si>
  <si>
    <t xml:space="preserve">ROJA      </t>
  </si>
  <si>
    <t xml:space="preserve">CALDERON N     </t>
  </si>
  <si>
    <t xml:space="preserve">N§9       </t>
  </si>
  <si>
    <t>PORTOBELLO</t>
  </si>
  <si>
    <t xml:space="preserve">BS.AS.    </t>
  </si>
  <si>
    <t xml:space="preserve">HONGOS DEL     </t>
  </si>
  <si>
    <t xml:space="preserve">ESPARRAGO </t>
  </si>
  <si>
    <t xml:space="preserve">VERDE     </t>
  </si>
  <si>
    <t xml:space="preserve">SJN       </t>
  </si>
  <si>
    <t xml:space="preserve">PAQUETES  </t>
  </si>
  <si>
    <t xml:space="preserve">PUTRUELE H     </t>
  </si>
  <si>
    <t xml:space="preserve">BANANA    </t>
  </si>
  <si>
    <t xml:space="preserve">DON JAIME      </t>
  </si>
  <si>
    <t xml:space="preserve">REPOLLITO </t>
  </si>
  <si>
    <t xml:space="preserve">BRUSELA   </t>
  </si>
  <si>
    <t xml:space="preserve">GUILLERMO      </t>
  </si>
  <si>
    <t>CHAMPIG¥ON</t>
  </si>
  <si>
    <t xml:space="preserve">C-AZUL    </t>
  </si>
  <si>
    <t xml:space="preserve">C/VERDE   </t>
  </si>
  <si>
    <t xml:space="preserve">ARANDANO  </t>
  </si>
  <si>
    <t xml:space="preserve">E.R.      </t>
  </si>
  <si>
    <t xml:space="preserve">C/CUB     </t>
  </si>
  <si>
    <t xml:space="preserve">GRAMM AGRO     </t>
  </si>
  <si>
    <t xml:space="preserve">PRIME TIME     </t>
  </si>
  <si>
    <t xml:space="preserve">PAQUETE   </t>
  </si>
  <si>
    <t xml:space="preserve">T.30      </t>
  </si>
  <si>
    <t xml:space="preserve">RACIMO    </t>
  </si>
  <si>
    <t>RACIMO VIO</t>
  </si>
  <si>
    <t xml:space="preserve">COMUN     </t>
  </si>
  <si>
    <t xml:space="preserve">NEGRO     </t>
  </si>
  <si>
    <t xml:space="preserve">Total ARANDANO  </t>
  </si>
  <si>
    <t xml:space="preserve">Total BANANA    </t>
  </si>
  <si>
    <t>Total CHAMPIG¥ON</t>
  </si>
  <si>
    <t xml:space="preserve">Total CHERRY    </t>
  </si>
  <si>
    <t xml:space="preserve">Total CIRUELA   </t>
  </si>
  <si>
    <t xml:space="preserve">Total COCO      </t>
  </si>
  <si>
    <t xml:space="preserve">Total ESPARRAGO </t>
  </si>
  <si>
    <t xml:space="preserve">Total GRANADA   </t>
  </si>
  <si>
    <t xml:space="preserve">Total JENGIBRE  </t>
  </si>
  <si>
    <t xml:space="preserve">Total KIWI      </t>
  </si>
  <si>
    <t xml:space="preserve">Total LIMA      </t>
  </si>
  <si>
    <t xml:space="preserve">Total MAMON     </t>
  </si>
  <si>
    <t xml:space="preserve">Total MANGO     </t>
  </si>
  <si>
    <t xml:space="preserve">Total MANZANA   </t>
  </si>
  <si>
    <t xml:space="preserve">Total MELON     </t>
  </si>
  <si>
    <t>Total MELON COMU</t>
  </si>
  <si>
    <t xml:space="preserve">Total PALTA     </t>
  </si>
  <si>
    <t xml:space="preserve">Total PAPIN     </t>
  </si>
  <si>
    <t xml:space="preserve">Total PERA      </t>
  </si>
  <si>
    <t xml:space="preserve">Total PI¥A      </t>
  </si>
  <si>
    <t xml:space="preserve">Total PITAHAYA  </t>
  </si>
  <si>
    <t>Total PORTOBELLO</t>
  </si>
  <si>
    <t xml:space="preserve">Total REPOLLITO </t>
  </si>
  <si>
    <t xml:space="preserve">Total TOMATE    </t>
  </si>
  <si>
    <t xml:space="preserve">Total UVA       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</si>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</sst>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$-2C0A]\ #,##0.00"/>
  </numFmts>
  <fonts count="3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quotePrefix="1" applyFont="1"/>
    <xf numFmtId="0" fontId="2" fillId="0" borderId="0" xfId="0" applyFont="1"/>
    <xf numFmtId="0" fontId="1" fillId="0" borderId="0" xfId="0" applyFont="1"/>
    <xf numFmtId="0" fontId="1" fillId="2" borderId="0" xfId="0" applyFont="1" applyFill="1" applyAlignment="1">
      <alignment horizontal="center"/>
    </xf>
    <xf numFmtId="14" fontId="2" fillId="0" borderId="0" xfId="0" applyNumberFormat="1" applyFont="1"/>
    <xf numFmtId="164" fontId="2" fillId="0" borderId="0" xfId="0" applyNumberFormat="1" applyFont="1"/>
    <xf numFmtId="164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3"/>
  <sheetViews>
    <sheetView tabSelected="1" topLeftCell="A97" workbookViewId="0">
      <selection activeCell="D114" sqref="D114"/>
    </sheetView>
  </sheetViews>
  <sheetFormatPr baseColWidth="10" defaultRowHeight="11.25" outlineLevelRow="2" x14ac:dyDescent="0.2"/>
  <cols>
    <col min="1" max="14" width="11.42578125" style="2"/>
    <col min="15" max="15" width="12" style="6" bestFit="1" customWidth="1"/>
    <col min="16" max="16" width="11.5703125" style="6" bestFit="1" customWidth="1"/>
    <col min="17" max="16384" width="11.42578125" style="2"/>
  </cols>
  <sheetData>
    <row r="1" spans="1:16" x14ac:dyDescent="0.2">
      <c r="A1" s="1" t="s">
        <v>0</v>
      </c>
    </row>
    <row r="2" spans="1:16" x14ac:dyDescent="0.2">
      <c r="A2" s="3" t="s">
        <v>1</v>
      </c>
    </row>
    <row r="3" spans="1:16" x14ac:dyDescent="0.2">
      <c r="A3" s="3" t="s">
        <v>2</v>
      </c>
    </row>
    <row r="4" spans="1:16" x14ac:dyDescent="0.2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7" t="s">
        <v>17</v>
      </c>
      <c r="P4" s="7" t="s">
        <v>18</v>
      </c>
    </row>
    <row r="5" spans="1:16" outlineLevel="2" x14ac:dyDescent="0.2">
      <c r="A5" s="5">
        <v>46230</v>
      </c>
      <c r="B5" s="2">
        <v>161206</v>
      </c>
      <c r="C5" s="2">
        <v>1</v>
      </c>
      <c r="D5" s="2" t="s">
        <v>155</v>
      </c>
      <c r="E5" s="2" t="s">
        <v>20</v>
      </c>
      <c r="F5" s="2" t="s">
        <v>156</v>
      </c>
      <c r="G5" s="2" t="s">
        <v>22</v>
      </c>
      <c r="H5" s="2" t="s">
        <v>21</v>
      </c>
      <c r="I5" s="2" t="s">
        <v>21</v>
      </c>
      <c r="J5" s="2">
        <v>86</v>
      </c>
      <c r="K5" s="2" t="s">
        <v>157</v>
      </c>
      <c r="L5" s="2">
        <v>896</v>
      </c>
      <c r="M5" s="2" t="s">
        <v>158</v>
      </c>
      <c r="N5" s="2">
        <v>90</v>
      </c>
      <c r="O5" s="6">
        <v>3267530.02</v>
      </c>
      <c r="P5" s="6">
        <v>36305.89</v>
      </c>
    </row>
    <row r="6" spans="1:16" outlineLevel="1" x14ac:dyDescent="0.2">
      <c r="A6" s="5"/>
      <c r="D6" s="4" t="s">
        <v>166</v>
      </c>
      <c r="E6" s="4"/>
      <c r="F6" s="4"/>
      <c r="G6" s="4"/>
      <c r="H6" s="4"/>
      <c r="I6" s="4"/>
      <c r="J6" s="4"/>
      <c r="K6" s="4"/>
      <c r="L6" s="4"/>
      <c r="M6" s="4"/>
      <c r="N6" s="4">
        <f>SUBTOTAL(9,N5:N5)</f>
        <v>90</v>
      </c>
      <c r="O6" s="7">
        <f>SUBTOTAL(9,O5:O5)</f>
        <v>3267530.02</v>
      </c>
      <c r="P6" s="7">
        <f>+O6/N6</f>
        <v>36305.889111111108</v>
      </c>
    </row>
    <row r="7" spans="1:16" outlineLevel="2" x14ac:dyDescent="0.2">
      <c r="A7" s="5">
        <v>46230</v>
      </c>
      <c r="B7" s="2">
        <v>161161</v>
      </c>
      <c r="C7" s="2">
        <v>1</v>
      </c>
      <c r="D7" s="2" t="s">
        <v>147</v>
      </c>
      <c r="E7" s="2" t="s">
        <v>21</v>
      </c>
      <c r="F7" s="2" t="s">
        <v>58</v>
      </c>
      <c r="G7" s="2" t="s">
        <v>22</v>
      </c>
      <c r="H7" s="2" t="s">
        <v>21</v>
      </c>
      <c r="I7" s="2" t="s">
        <v>21</v>
      </c>
      <c r="J7" s="2">
        <v>1</v>
      </c>
      <c r="K7" s="2" t="s">
        <v>33</v>
      </c>
      <c r="L7" s="2">
        <v>1503</v>
      </c>
      <c r="M7" s="2" t="s">
        <v>148</v>
      </c>
      <c r="N7" s="2">
        <v>36</v>
      </c>
      <c r="O7" s="6">
        <v>1334790.1200000001</v>
      </c>
      <c r="P7" s="6">
        <v>37077.5</v>
      </c>
    </row>
    <row r="8" spans="1:16" outlineLevel="1" x14ac:dyDescent="0.2">
      <c r="A8" s="5"/>
      <c r="D8" s="4" t="s">
        <v>167</v>
      </c>
      <c r="E8" s="4"/>
      <c r="F8" s="4"/>
      <c r="G8" s="4"/>
      <c r="H8" s="4"/>
      <c r="I8" s="4"/>
      <c r="J8" s="4"/>
      <c r="K8" s="4"/>
      <c r="L8" s="4"/>
      <c r="M8" s="4"/>
      <c r="N8" s="4">
        <f>SUBTOTAL(9,N7:N7)</f>
        <v>36</v>
      </c>
      <c r="O8" s="7">
        <f>SUBTOTAL(9,O7:O7)</f>
        <v>1334790.1200000001</v>
      </c>
      <c r="P8" s="7">
        <f>+O8/N8</f>
        <v>37077.503333333334</v>
      </c>
    </row>
    <row r="9" spans="1:16" outlineLevel="2" x14ac:dyDescent="0.2">
      <c r="A9" s="5">
        <v>46230</v>
      </c>
      <c r="B9" s="2">
        <v>161165</v>
      </c>
      <c r="C9" s="2">
        <v>2</v>
      </c>
      <c r="D9" s="2" t="s">
        <v>152</v>
      </c>
      <c r="E9" s="2" t="s">
        <v>21</v>
      </c>
      <c r="F9" s="2" t="s">
        <v>140</v>
      </c>
      <c r="G9" s="2" t="s">
        <v>22</v>
      </c>
      <c r="H9" s="2" t="s">
        <v>153</v>
      </c>
      <c r="I9" s="2" t="s">
        <v>21</v>
      </c>
      <c r="J9" s="2">
        <v>41</v>
      </c>
      <c r="K9" s="2" t="s">
        <v>103</v>
      </c>
      <c r="L9" s="2">
        <v>25213</v>
      </c>
      <c r="M9" s="2" t="s">
        <v>141</v>
      </c>
      <c r="N9" s="2">
        <v>100</v>
      </c>
      <c r="O9" s="6">
        <v>343175</v>
      </c>
      <c r="P9" s="6">
        <v>3431.75</v>
      </c>
    </row>
    <row r="10" spans="1:16" outlineLevel="2" x14ac:dyDescent="0.2">
      <c r="A10" s="5">
        <v>46230</v>
      </c>
      <c r="B10" s="2">
        <v>161165</v>
      </c>
      <c r="C10" s="2">
        <v>3</v>
      </c>
      <c r="D10" s="2" t="s">
        <v>152</v>
      </c>
      <c r="E10" s="2" t="s">
        <v>21</v>
      </c>
      <c r="F10" s="2" t="s">
        <v>140</v>
      </c>
      <c r="G10" s="2" t="s">
        <v>22</v>
      </c>
      <c r="H10" s="2" t="s">
        <v>154</v>
      </c>
      <c r="I10" s="2" t="s">
        <v>21</v>
      </c>
      <c r="J10" s="2">
        <v>41</v>
      </c>
      <c r="K10" s="2" t="s">
        <v>103</v>
      </c>
      <c r="L10" s="2">
        <v>25213</v>
      </c>
      <c r="M10" s="2" t="s">
        <v>141</v>
      </c>
      <c r="N10" s="2">
        <v>49</v>
      </c>
      <c r="O10" s="6">
        <v>153803.26999999999</v>
      </c>
      <c r="P10" s="6">
        <v>3138.84</v>
      </c>
    </row>
    <row r="11" spans="1:16" outlineLevel="2" x14ac:dyDescent="0.2">
      <c r="A11" s="5">
        <v>46230</v>
      </c>
      <c r="B11" s="2">
        <v>161165</v>
      </c>
      <c r="C11" s="2">
        <v>4</v>
      </c>
      <c r="D11" s="2" t="s">
        <v>152</v>
      </c>
      <c r="E11" s="2" t="s">
        <v>21</v>
      </c>
      <c r="F11" s="2" t="s">
        <v>140</v>
      </c>
      <c r="G11" s="2" t="s">
        <v>106</v>
      </c>
      <c r="H11" s="2" t="s">
        <v>21</v>
      </c>
      <c r="I11" s="2" t="s">
        <v>21</v>
      </c>
      <c r="J11" s="2">
        <v>1</v>
      </c>
      <c r="K11" s="2" t="s">
        <v>33</v>
      </c>
      <c r="L11" s="2">
        <v>25213</v>
      </c>
      <c r="M11" s="2" t="s">
        <v>141</v>
      </c>
      <c r="N11" s="2">
        <v>6</v>
      </c>
      <c r="O11" s="6">
        <v>390232.38</v>
      </c>
      <c r="P11" s="6">
        <v>65038.73</v>
      </c>
    </row>
    <row r="12" spans="1:16" outlineLevel="1" x14ac:dyDescent="0.2">
      <c r="A12" s="5"/>
      <c r="D12" s="4" t="s">
        <v>168</v>
      </c>
      <c r="E12" s="4"/>
      <c r="F12" s="4"/>
      <c r="G12" s="4"/>
      <c r="H12" s="4"/>
      <c r="I12" s="4"/>
      <c r="J12" s="4"/>
      <c r="K12" s="4"/>
      <c r="L12" s="4"/>
      <c r="M12" s="4"/>
      <c r="N12" s="4">
        <f>SUBTOTAL(9,N9:N11)</f>
        <v>155</v>
      </c>
      <c r="O12" s="7">
        <f>SUBTOTAL(9,O9:O11)</f>
        <v>887210.65</v>
      </c>
      <c r="P12" s="7">
        <f>+O12/N12</f>
        <v>5723.9396774193547</v>
      </c>
    </row>
    <row r="13" spans="1:16" outlineLevel="2" x14ac:dyDescent="0.2">
      <c r="A13" s="5">
        <v>46223</v>
      </c>
      <c r="B13" s="2">
        <v>161115</v>
      </c>
      <c r="C13" s="2">
        <v>32</v>
      </c>
      <c r="D13" s="2" t="s">
        <v>100</v>
      </c>
      <c r="E13" s="2" t="s">
        <v>64</v>
      </c>
      <c r="F13" s="2" t="s">
        <v>102</v>
      </c>
      <c r="G13" s="2" t="s">
        <v>22</v>
      </c>
      <c r="H13" s="2" t="s">
        <v>21</v>
      </c>
      <c r="I13" s="2" t="s">
        <v>21</v>
      </c>
      <c r="J13" s="2">
        <v>41</v>
      </c>
      <c r="K13" s="2" t="s">
        <v>103</v>
      </c>
      <c r="L13" s="2">
        <v>801</v>
      </c>
      <c r="M13" s="2" t="s">
        <v>55</v>
      </c>
      <c r="N13" s="2">
        <v>1</v>
      </c>
      <c r="O13" s="6">
        <v>13699.58</v>
      </c>
      <c r="P13" s="6">
        <v>13699.58</v>
      </c>
    </row>
    <row r="14" spans="1:16" outlineLevel="2" x14ac:dyDescent="0.2">
      <c r="A14" s="5">
        <v>46220</v>
      </c>
      <c r="B14" s="2">
        <v>161017</v>
      </c>
      <c r="C14" s="2">
        <v>21</v>
      </c>
      <c r="D14" s="2" t="s">
        <v>100</v>
      </c>
      <c r="E14" s="2" t="s">
        <v>113</v>
      </c>
      <c r="F14" s="2" t="s">
        <v>102</v>
      </c>
      <c r="G14" s="2" t="s">
        <v>22</v>
      </c>
      <c r="H14" s="2" t="s">
        <v>21</v>
      </c>
      <c r="I14" s="2" t="s">
        <v>21</v>
      </c>
      <c r="J14" s="2">
        <v>41</v>
      </c>
      <c r="K14" s="2" t="s">
        <v>103</v>
      </c>
      <c r="L14" s="2">
        <v>801</v>
      </c>
      <c r="M14" s="2" t="s">
        <v>55</v>
      </c>
      <c r="N14" s="2">
        <v>4</v>
      </c>
      <c r="O14" s="6">
        <v>95869.68</v>
      </c>
      <c r="P14" s="6">
        <v>23967.42</v>
      </c>
    </row>
    <row r="15" spans="1:16" outlineLevel="2" x14ac:dyDescent="0.2">
      <c r="A15" s="5">
        <v>46223</v>
      </c>
      <c r="B15" s="2">
        <v>161115</v>
      </c>
      <c r="C15" s="2">
        <v>29</v>
      </c>
      <c r="D15" s="2" t="s">
        <v>100</v>
      </c>
      <c r="E15" s="2" t="s">
        <v>113</v>
      </c>
      <c r="F15" s="2" t="s">
        <v>102</v>
      </c>
      <c r="G15" s="2" t="s">
        <v>22</v>
      </c>
      <c r="H15" s="2" t="s">
        <v>21</v>
      </c>
      <c r="I15" s="2" t="s">
        <v>21</v>
      </c>
      <c r="J15" s="2">
        <v>41</v>
      </c>
      <c r="K15" s="2" t="s">
        <v>103</v>
      </c>
      <c r="L15" s="2">
        <v>801</v>
      </c>
      <c r="M15" s="2" t="s">
        <v>55</v>
      </c>
      <c r="N15" s="2">
        <v>29</v>
      </c>
      <c r="O15" s="6">
        <v>678225.69</v>
      </c>
      <c r="P15" s="6">
        <v>23387.09</v>
      </c>
    </row>
    <row r="16" spans="1:16" outlineLevel="2" x14ac:dyDescent="0.2">
      <c r="A16" s="5">
        <v>46230</v>
      </c>
      <c r="B16" s="2">
        <v>161218</v>
      </c>
      <c r="C16" s="2">
        <v>30</v>
      </c>
      <c r="D16" s="2" t="s">
        <v>100</v>
      </c>
      <c r="E16" s="2" t="s">
        <v>164</v>
      </c>
      <c r="F16" s="2" t="s">
        <v>102</v>
      </c>
      <c r="G16" s="2" t="s">
        <v>22</v>
      </c>
      <c r="H16" s="2" t="s">
        <v>21</v>
      </c>
      <c r="I16" s="2" t="s">
        <v>21</v>
      </c>
      <c r="J16" s="2">
        <v>41</v>
      </c>
      <c r="K16" s="2" t="s">
        <v>103</v>
      </c>
      <c r="L16" s="2">
        <v>801</v>
      </c>
      <c r="M16" s="2" t="s">
        <v>55</v>
      </c>
      <c r="N16" s="2">
        <v>29</v>
      </c>
      <c r="O16" s="6">
        <v>672021.14</v>
      </c>
      <c r="P16" s="6">
        <v>23173.14</v>
      </c>
    </row>
    <row r="17" spans="1:16" outlineLevel="2" x14ac:dyDescent="0.2">
      <c r="A17" s="5">
        <v>46225</v>
      </c>
      <c r="B17" s="2">
        <v>161127</v>
      </c>
      <c r="C17" s="2">
        <v>5</v>
      </c>
      <c r="D17" s="2" t="s">
        <v>100</v>
      </c>
      <c r="E17" s="2" t="s">
        <v>133</v>
      </c>
      <c r="F17" s="2" t="s">
        <v>102</v>
      </c>
      <c r="G17" s="2" t="s">
        <v>22</v>
      </c>
      <c r="H17" s="2" t="s">
        <v>21</v>
      </c>
      <c r="I17" s="2" t="s">
        <v>21</v>
      </c>
      <c r="J17" s="2">
        <v>2</v>
      </c>
      <c r="K17" s="2" t="s">
        <v>54</v>
      </c>
      <c r="L17" s="2">
        <v>106</v>
      </c>
      <c r="M17" s="2" t="s">
        <v>107</v>
      </c>
      <c r="N17" s="2">
        <v>9</v>
      </c>
      <c r="O17" s="6">
        <v>182102.89</v>
      </c>
      <c r="P17" s="6">
        <v>20233.650000000001</v>
      </c>
    </row>
    <row r="18" spans="1:16" outlineLevel="2" x14ac:dyDescent="0.2">
      <c r="A18" s="5">
        <v>46230</v>
      </c>
      <c r="B18" s="2">
        <v>161218</v>
      </c>
      <c r="C18" s="2">
        <v>34</v>
      </c>
      <c r="D18" s="2" t="s">
        <v>100</v>
      </c>
      <c r="E18" s="2" t="s">
        <v>165</v>
      </c>
      <c r="F18" s="2" t="s">
        <v>102</v>
      </c>
      <c r="G18" s="2" t="s">
        <v>22</v>
      </c>
      <c r="H18" s="2" t="s">
        <v>21</v>
      </c>
      <c r="I18" s="2" t="s">
        <v>21</v>
      </c>
      <c r="J18" s="2">
        <v>41</v>
      </c>
      <c r="K18" s="2" t="s">
        <v>103</v>
      </c>
      <c r="L18" s="2">
        <v>801</v>
      </c>
      <c r="M18" s="2" t="s">
        <v>55</v>
      </c>
      <c r="N18" s="2">
        <v>31</v>
      </c>
      <c r="O18" s="6">
        <v>728988.29</v>
      </c>
      <c r="P18" s="6">
        <v>23515.75</v>
      </c>
    </row>
    <row r="19" spans="1:16" outlineLevel="2" x14ac:dyDescent="0.2">
      <c r="A19" s="5">
        <v>46216</v>
      </c>
      <c r="B19" s="2">
        <v>160911</v>
      </c>
      <c r="C19" s="2">
        <v>17</v>
      </c>
      <c r="D19" s="2" t="s">
        <v>100</v>
      </c>
      <c r="E19" s="2" t="s">
        <v>101</v>
      </c>
      <c r="F19" s="2" t="s">
        <v>102</v>
      </c>
      <c r="G19" s="2" t="s">
        <v>22</v>
      </c>
      <c r="H19" s="2" t="s">
        <v>21</v>
      </c>
      <c r="I19" s="2" t="s">
        <v>21</v>
      </c>
      <c r="J19" s="2">
        <v>41</v>
      </c>
      <c r="K19" s="2" t="s">
        <v>103</v>
      </c>
      <c r="L19" s="2">
        <v>801</v>
      </c>
      <c r="M19" s="2" t="s">
        <v>55</v>
      </c>
      <c r="N19" s="2">
        <v>7</v>
      </c>
      <c r="O19" s="6">
        <v>162171.29999999999</v>
      </c>
      <c r="P19" s="6">
        <v>23167.33</v>
      </c>
    </row>
    <row r="20" spans="1:16" outlineLevel="2" x14ac:dyDescent="0.2">
      <c r="A20" s="5">
        <v>46230</v>
      </c>
      <c r="B20" s="2">
        <v>161218</v>
      </c>
      <c r="C20" s="2">
        <v>32</v>
      </c>
      <c r="D20" s="2" t="s">
        <v>100</v>
      </c>
      <c r="E20" s="2" t="s">
        <v>101</v>
      </c>
      <c r="F20" s="2" t="s">
        <v>102</v>
      </c>
      <c r="G20" s="2" t="s">
        <v>22</v>
      </c>
      <c r="H20" s="2" t="s">
        <v>21</v>
      </c>
      <c r="I20" s="2" t="s">
        <v>21</v>
      </c>
      <c r="J20" s="2">
        <v>41</v>
      </c>
      <c r="K20" s="2" t="s">
        <v>103</v>
      </c>
      <c r="L20" s="2">
        <v>801</v>
      </c>
      <c r="M20" s="2" t="s">
        <v>55</v>
      </c>
      <c r="N20" s="2">
        <v>23</v>
      </c>
      <c r="O20" s="6">
        <v>581120.54</v>
      </c>
      <c r="P20" s="6">
        <v>25266.11</v>
      </c>
    </row>
    <row r="21" spans="1:16" outlineLevel="2" x14ac:dyDescent="0.2">
      <c r="A21" s="5">
        <v>46223</v>
      </c>
      <c r="B21" s="2">
        <v>161115</v>
      </c>
      <c r="C21" s="2">
        <v>22</v>
      </c>
      <c r="D21" s="2" t="s">
        <v>100</v>
      </c>
      <c r="E21" s="2" t="s">
        <v>130</v>
      </c>
      <c r="F21" s="2" t="s">
        <v>102</v>
      </c>
      <c r="G21" s="2" t="s">
        <v>22</v>
      </c>
      <c r="H21" s="2" t="s">
        <v>21</v>
      </c>
      <c r="I21" s="2" t="s">
        <v>21</v>
      </c>
      <c r="J21" s="2">
        <v>41</v>
      </c>
      <c r="K21" s="2" t="s">
        <v>103</v>
      </c>
      <c r="L21" s="2">
        <v>801</v>
      </c>
      <c r="M21" s="2" t="s">
        <v>55</v>
      </c>
      <c r="N21" s="2">
        <v>20</v>
      </c>
      <c r="O21" s="6">
        <v>511689.16</v>
      </c>
      <c r="P21" s="6">
        <v>25584.46</v>
      </c>
    </row>
    <row r="22" spans="1:16" outlineLevel="1" x14ac:dyDescent="0.2">
      <c r="A22" s="5"/>
      <c r="D22" s="4" t="s">
        <v>169</v>
      </c>
      <c r="E22" s="4"/>
      <c r="F22" s="4"/>
      <c r="G22" s="4"/>
      <c r="H22" s="4"/>
      <c r="I22" s="4"/>
      <c r="J22" s="4"/>
      <c r="K22" s="4"/>
      <c r="L22" s="4"/>
      <c r="M22" s="4"/>
      <c r="N22" s="4">
        <f>SUBTOTAL(9,N13:N21)</f>
        <v>153</v>
      </c>
      <c r="O22" s="7">
        <f>SUBTOTAL(9,O13:O21)</f>
        <v>3625888.27</v>
      </c>
      <c r="P22" s="7">
        <f>+O22/N22</f>
        <v>23698.616143790849</v>
      </c>
    </row>
    <row r="23" spans="1:16" outlineLevel="2" x14ac:dyDescent="0.2">
      <c r="A23" s="5">
        <v>46223</v>
      </c>
      <c r="B23" s="2">
        <v>161093</v>
      </c>
      <c r="C23" s="2">
        <v>3</v>
      </c>
      <c r="D23" s="2" t="s">
        <v>113</v>
      </c>
      <c r="E23" s="2" t="s">
        <v>120</v>
      </c>
      <c r="F23" s="2" t="s">
        <v>121</v>
      </c>
      <c r="G23" s="2" t="s">
        <v>22</v>
      </c>
      <c r="H23" s="2" t="s">
        <v>21</v>
      </c>
      <c r="I23" s="2" t="s">
        <v>21</v>
      </c>
      <c r="J23" s="2">
        <v>2</v>
      </c>
      <c r="K23" s="2" t="s">
        <v>54</v>
      </c>
      <c r="L23" s="2">
        <v>2810</v>
      </c>
      <c r="M23" s="2" t="s">
        <v>122</v>
      </c>
      <c r="N23" s="2">
        <v>47</v>
      </c>
      <c r="O23" s="6">
        <v>2558006.64</v>
      </c>
      <c r="P23" s="6">
        <v>54425.67</v>
      </c>
    </row>
    <row r="24" spans="1:16" outlineLevel="1" x14ac:dyDescent="0.2">
      <c r="A24" s="5"/>
      <c r="D24" s="4" t="s">
        <v>170</v>
      </c>
      <c r="E24" s="4"/>
      <c r="F24" s="4"/>
      <c r="G24" s="4"/>
      <c r="H24" s="4"/>
      <c r="I24" s="4"/>
      <c r="J24" s="4"/>
      <c r="K24" s="4"/>
      <c r="L24" s="4"/>
      <c r="M24" s="4"/>
      <c r="N24" s="4">
        <f>SUBTOTAL(9,N23:N23)</f>
        <v>47</v>
      </c>
      <c r="O24" s="7">
        <f>SUBTOTAL(9,O23:O23)</f>
        <v>2558006.64</v>
      </c>
      <c r="P24" s="7">
        <f>+O24/N24</f>
        <v>54425.673191489368</v>
      </c>
    </row>
    <row r="25" spans="1:16" outlineLevel="2" x14ac:dyDescent="0.2">
      <c r="A25" s="5">
        <v>46223</v>
      </c>
      <c r="B25" s="2">
        <v>160506</v>
      </c>
      <c r="C25" s="2">
        <v>1</v>
      </c>
      <c r="D25" s="2" t="s">
        <v>47</v>
      </c>
      <c r="E25" s="2" t="s">
        <v>48</v>
      </c>
      <c r="F25" s="2" t="s">
        <v>45</v>
      </c>
      <c r="G25" s="2" t="s">
        <v>22</v>
      </c>
      <c r="H25" s="2" t="s">
        <v>21</v>
      </c>
      <c r="I25" s="2" t="s">
        <v>21</v>
      </c>
      <c r="J25" s="2">
        <v>5</v>
      </c>
      <c r="K25" s="2" t="s">
        <v>49</v>
      </c>
      <c r="L25" s="2">
        <v>2521</v>
      </c>
      <c r="M25" s="2" t="s">
        <v>50</v>
      </c>
      <c r="N25" s="2">
        <v>11</v>
      </c>
      <c r="O25" s="6">
        <v>224739.1</v>
      </c>
      <c r="P25" s="6">
        <v>20430.830000000002</v>
      </c>
    </row>
    <row r="26" spans="1:16" outlineLevel="1" x14ac:dyDescent="0.2">
      <c r="A26" s="5"/>
      <c r="D26" s="4" t="s">
        <v>171</v>
      </c>
      <c r="E26" s="4"/>
      <c r="F26" s="4"/>
      <c r="G26" s="4"/>
      <c r="H26" s="4"/>
      <c r="I26" s="4"/>
      <c r="J26" s="4"/>
      <c r="K26" s="4"/>
      <c r="L26" s="4"/>
      <c r="M26" s="4"/>
      <c r="N26" s="4">
        <f>SUBTOTAL(9,N25:N25)</f>
        <v>11</v>
      </c>
      <c r="O26" s="7">
        <f>SUBTOTAL(9,O25:O25)</f>
        <v>224739.1</v>
      </c>
      <c r="P26" s="7">
        <f>+O26/N26</f>
        <v>20430.827272727274</v>
      </c>
    </row>
    <row r="27" spans="1:16" outlineLevel="2" x14ac:dyDescent="0.2">
      <c r="A27" s="5">
        <v>46230</v>
      </c>
      <c r="B27" s="2">
        <v>161207</v>
      </c>
      <c r="C27" s="2">
        <v>200</v>
      </c>
      <c r="D27" s="2" t="s">
        <v>142</v>
      </c>
      <c r="E27" s="2" t="s">
        <v>160</v>
      </c>
      <c r="F27" s="2" t="s">
        <v>21</v>
      </c>
      <c r="G27" s="2" t="s">
        <v>22</v>
      </c>
      <c r="H27" s="2" t="s">
        <v>21</v>
      </c>
      <c r="I27" s="2" t="s">
        <v>21</v>
      </c>
      <c r="J27" s="2">
        <v>39</v>
      </c>
      <c r="K27" s="2" t="s">
        <v>145</v>
      </c>
      <c r="L27" s="2">
        <v>25205</v>
      </c>
      <c r="M27" s="2" t="s">
        <v>159</v>
      </c>
      <c r="N27" s="2">
        <v>5</v>
      </c>
      <c r="O27" s="6">
        <v>45161.95</v>
      </c>
      <c r="P27" s="6">
        <v>9032.39</v>
      </c>
    </row>
    <row r="28" spans="1:16" outlineLevel="2" x14ac:dyDescent="0.2">
      <c r="A28" s="5">
        <v>46227</v>
      </c>
      <c r="B28" s="2">
        <v>161144</v>
      </c>
      <c r="C28" s="2">
        <v>1</v>
      </c>
      <c r="D28" s="2" t="s">
        <v>142</v>
      </c>
      <c r="E28" s="2" t="s">
        <v>143</v>
      </c>
      <c r="F28" s="2" t="s">
        <v>144</v>
      </c>
      <c r="G28" s="2" t="s">
        <v>22</v>
      </c>
      <c r="H28" s="2" t="s">
        <v>21</v>
      </c>
      <c r="I28" s="2" t="s">
        <v>21</v>
      </c>
      <c r="J28" s="2">
        <v>39</v>
      </c>
      <c r="K28" s="2" t="s">
        <v>145</v>
      </c>
      <c r="L28" s="2">
        <v>1</v>
      </c>
      <c r="M28" s="2" t="s">
        <v>146</v>
      </c>
      <c r="N28" s="2">
        <v>0</v>
      </c>
      <c r="O28" s="6">
        <v>1866.88</v>
      </c>
      <c r="P28" s="6">
        <v>0</v>
      </c>
    </row>
    <row r="29" spans="1:16" outlineLevel="2" x14ac:dyDescent="0.2">
      <c r="A29" s="5">
        <v>46230</v>
      </c>
      <c r="B29" s="2">
        <v>161162</v>
      </c>
      <c r="C29" s="2">
        <v>1</v>
      </c>
      <c r="D29" s="2" t="s">
        <v>142</v>
      </c>
      <c r="E29" s="2" t="s">
        <v>143</v>
      </c>
      <c r="F29" s="2" t="s">
        <v>144</v>
      </c>
      <c r="G29" s="2" t="s">
        <v>22</v>
      </c>
      <c r="H29" s="2" t="s">
        <v>21</v>
      </c>
      <c r="I29" s="2" t="s">
        <v>21</v>
      </c>
      <c r="J29" s="2">
        <v>39</v>
      </c>
      <c r="K29" s="2" t="s">
        <v>145</v>
      </c>
      <c r="L29" s="2">
        <v>1</v>
      </c>
      <c r="M29" s="2" t="s">
        <v>146</v>
      </c>
      <c r="N29" s="2">
        <v>60</v>
      </c>
      <c r="O29" s="6">
        <v>368323.8</v>
      </c>
      <c r="P29" s="6">
        <v>6138.73</v>
      </c>
    </row>
    <row r="30" spans="1:16" outlineLevel="2" x14ac:dyDescent="0.2">
      <c r="A30" s="5">
        <v>46230</v>
      </c>
      <c r="B30" s="2">
        <v>161207</v>
      </c>
      <c r="C30" s="2">
        <v>1</v>
      </c>
      <c r="D30" s="2" t="s">
        <v>142</v>
      </c>
      <c r="E30" s="2" t="s">
        <v>143</v>
      </c>
      <c r="F30" s="2" t="s">
        <v>37</v>
      </c>
      <c r="G30" s="2" t="s">
        <v>21</v>
      </c>
      <c r="H30" s="2" t="s">
        <v>21</v>
      </c>
      <c r="I30" s="2" t="s">
        <v>21</v>
      </c>
      <c r="J30" s="2">
        <v>1</v>
      </c>
      <c r="K30" s="2" t="s">
        <v>33</v>
      </c>
      <c r="L30" s="2">
        <v>25205</v>
      </c>
      <c r="M30" s="2" t="s">
        <v>159</v>
      </c>
      <c r="N30" s="2">
        <v>59</v>
      </c>
      <c r="O30" s="6">
        <v>6041408.5199999996</v>
      </c>
      <c r="P30" s="6">
        <v>102396.75</v>
      </c>
    </row>
    <row r="31" spans="1:16" outlineLevel="2" x14ac:dyDescent="0.2">
      <c r="A31" s="5">
        <v>46230</v>
      </c>
      <c r="B31" s="2">
        <v>161207</v>
      </c>
      <c r="C31" s="2">
        <v>2</v>
      </c>
      <c r="D31" s="2" t="s">
        <v>142</v>
      </c>
      <c r="E31" s="2" t="s">
        <v>143</v>
      </c>
      <c r="F31" s="2" t="s">
        <v>37</v>
      </c>
      <c r="G31" s="2" t="s">
        <v>22</v>
      </c>
      <c r="H31" s="2" t="s">
        <v>21</v>
      </c>
      <c r="I31" s="2" t="s">
        <v>21</v>
      </c>
      <c r="J31" s="2">
        <v>1</v>
      </c>
      <c r="K31" s="2" t="s">
        <v>33</v>
      </c>
      <c r="L31" s="2">
        <v>25205</v>
      </c>
      <c r="M31" s="2" t="s">
        <v>159</v>
      </c>
      <c r="N31" s="2">
        <v>16</v>
      </c>
      <c r="O31" s="6">
        <v>1638020.48</v>
      </c>
      <c r="P31" s="6">
        <v>102376.28</v>
      </c>
    </row>
    <row r="32" spans="1:16" outlineLevel="2" x14ac:dyDescent="0.2">
      <c r="A32" s="5">
        <v>46230</v>
      </c>
      <c r="B32" s="2">
        <v>161207</v>
      </c>
      <c r="C32" s="2">
        <v>3</v>
      </c>
      <c r="D32" s="2" t="s">
        <v>142</v>
      </c>
      <c r="E32" s="2" t="s">
        <v>143</v>
      </c>
      <c r="F32" s="2" t="s">
        <v>37</v>
      </c>
      <c r="G32" s="2" t="s">
        <v>22</v>
      </c>
      <c r="H32" s="2" t="s">
        <v>21</v>
      </c>
      <c r="I32" s="2" t="s">
        <v>21</v>
      </c>
      <c r="J32" s="2">
        <v>1</v>
      </c>
      <c r="K32" s="2" t="s">
        <v>33</v>
      </c>
      <c r="L32" s="2">
        <v>25205</v>
      </c>
      <c r="M32" s="2" t="s">
        <v>159</v>
      </c>
      <c r="N32" s="2">
        <v>19</v>
      </c>
      <c r="O32" s="6">
        <v>1956902.76</v>
      </c>
      <c r="P32" s="6">
        <v>102994.88</v>
      </c>
    </row>
    <row r="33" spans="1:16" outlineLevel="1" x14ac:dyDescent="0.2">
      <c r="A33" s="5"/>
      <c r="D33" s="4" t="s">
        <v>172</v>
      </c>
      <c r="E33" s="4"/>
      <c r="F33" s="4"/>
      <c r="G33" s="4"/>
      <c r="H33" s="4"/>
      <c r="I33" s="4"/>
      <c r="J33" s="4"/>
      <c r="K33" s="4"/>
      <c r="L33" s="4"/>
      <c r="M33" s="4"/>
      <c r="N33" s="4">
        <f>SUBTOTAL(9,N27:N32)</f>
        <v>159</v>
      </c>
      <c r="O33" s="7">
        <f>SUBTOTAL(9,O27:O32)</f>
        <v>10051684.389999999</v>
      </c>
      <c r="P33" s="7">
        <f>+O33/N33</f>
        <v>63218.140817610052</v>
      </c>
    </row>
    <row r="34" spans="1:16" outlineLevel="2" x14ac:dyDescent="0.2">
      <c r="A34" s="5">
        <v>46192</v>
      </c>
      <c r="B34" s="2">
        <v>160214</v>
      </c>
      <c r="C34" s="2">
        <v>2</v>
      </c>
      <c r="D34" s="2" t="s">
        <v>31</v>
      </c>
      <c r="E34" s="2" t="s">
        <v>32</v>
      </c>
      <c r="F34" s="2" t="s">
        <v>21</v>
      </c>
      <c r="G34" s="2" t="s">
        <v>22</v>
      </c>
      <c r="H34" s="2" t="s">
        <v>21</v>
      </c>
      <c r="I34" s="2" t="s">
        <v>21</v>
      </c>
      <c r="J34" s="2">
        <v>1</v>
      </c>
      <c r="K34" s="2" t="s">
        <v>33</v>
      </c>
      <c r="L34" s="2">
        <v>2520</v>
      </c>
      <c r="M34" s="2" t="s">
        <v>34</v>
      </c>
      <c r="N34" s="2">
        <v>6</v>
      </c>
      <c r="O34" s="6">
        <v>61661.82</v>
      </c>
      <c r="P34" s="6">
        <v>10276.969999999999</v>
      </c>
    </row>
    <row r="35" spans="1:16" outlineLevel="2" x14ac:dyDescent="0.2">
      <c r="A35" s="5">
        <v>46210</v>
      </c>
      <c r="B35" s="2">
        <v>160723</v>
      </c>
      <c r="C35" s="2">
        <v>1</v>
      </c>
      <c r="D35" s="2" t="s">
        <v>31</v>
      </c>
      <c r="E35" s="2" t="s">
        <v>32</v>
      </c>
      <c r="F35" s="2" t="s">
        <v>88</v>
      </c>
      <c r="G35" s="2" t="s">
        <v>22</v>
      </c>
      <c r="H35" s="2" t="s">
        <v>21</v>
      </c>
      <c r="I35" s="2" t="s">
        <v>89</v>
      </c>
      <c r="J35" s="2">
        <v>1</v>
      </c>
      <c r="K35" s="2" t="s">
        <v>33</v>
      </c>
      <c r="L35" s="2">
        <v>2520</v>
      </c>
      <c r="M35" s="2" t="s">
        <v>34</v>
      </c>
      <c r="N35" s="2">
        <v>3</v>
      </c>
      <c r="O35" s="6">
        <v>63501.3</v>
      </c>
      <c r="P35" s="6">
        <v>21167.1</v>
      </c>
    </row>
    <row r="36" spans="1:16" outlineLevel="1" x14ac:dyDescent="0.2">
      <c r="A36" s="5"/>
      <c r="D36" s="4" t="s">
        <v>173</v>
      </c>
      <c r="E36" s="4"/>
      <c r="F36" s="4"/>
      <c r="G36" s="4"/>
      <c r="H36" s="4"/>
      <c r="I36" s="4"/>
      <c r="J36" s="4"/>
      <c r="K36" s="4"/>
      <c r="L36" s="4"/>
      <c r="M36" s="4"/>
      <c r="N36" s="4">
        <f>SUBTOTAL(9,N34:N35)</f>
        <v>9</v>
      </c>
      <c r="O36" s="7">
        <f>SUBTOTAL(9,O34:O35)</f>
        <v>125163.12</v>
      </c>
      <c r="P36" s="7">
        <f>+O36/N36</f>
        <v>13907.013333333332</v>
      </c>
    </row>
    <row r="37" spans="1:16" outlineLevel="2" x14ac:dyDescent="0.2">
      <c r="A37" s="5">
        <v>46213</v>
      </c>
      <c r="B37" s="2">
        <v>160511</v>
      </c>
      <c r="C37" s="2">
        <v>1</v>
      </c>
      <c r="D37" s="2" t="s">
        <v>19</v>
      </c>
      <c r="E37" s="2" t="s">
        <v>21</v>
      </c>
      <c r="F37" s="2" t="s">
        <v>45</v>
      </c>
      <c r="G37" s="2" t="s">
        <v>22</v>
      </c>
      <c r="H37" s="2" t="s">
        <v>21</v>
      </c>
      <c r="I37" s="2" t="s">
        <v>21</v>
      </c>
      <c r="J37" s="2">
        <v>1</v>
      </c>
      <c r="K37" s="2" t="s">
        <v>33</v>
      </c>
      <c r="L37" s="2">
        <v>2269</v>
      </c>
      <c r="M37" s="2" t="s">
        <v>56</v>
      </c>
      <c r="N37" s="2">
        <v>15</v>
      </c>
      <c r="O37" s="6">
        <v>505981.72</v>
      </c>
      <c r="P37" s="6">
        <v>33732.11</v>
      </c>
    </row>
    <row r="38" spans="1:16" outlineLevel="2" x14ac:dyDescent="0.2">
      <c r="A38" s="5">
        <v>46089</v>
      </c>
      <c r="B38" s="2">
        <v>157645</v>
      </c>
      <c r="C38" s="2">
        <v>200</v>
      </c>
      <c r="D38" s="2" t="s">
        <v>19</v>
      </c>
      <c r="E38" s="2" t="s">
        <v>20</v>
      </c>
      <c r="F38" s="2" t="s">
        <v>21</v>
      </c>
      <c r="G38" s="2" t="s">
        <v>22</v>
      </c>
      <c r="H38" s="2" t="s">
        <v>21</v>
      </c>
      <c r="I38" s="2" t="s">
        <v>21</v>
      </c>
      <c r="J38" s="2">
        <v>46</v>
      </c>
      <c r="K38" s="2" t="s">
        <v>23</v>
      </c>
      <c r="L38" s="2">
        <v>6020</v>
      </c>
      <c r="M38" s="2" t="s">
        <v>24</v>
      </c>
      <c r="N38" s="2">
        <v>4.7</v>
      </c>
      <c r="O38" s="6">
        <v>2967.77</v>
      </c>
      <c r="P38" s="6">
        <v>631.44000000000005</v>
      </c>
    </row>
    <row r="39" spans="1:16" outlineLevel="1" x14ac:dyDescent="0.2">
      <c r="A39" s="5"/>
      <c r="D39" s="4" t="s">
        <v>174</v>
      </c>
      <c r="E39" s="4"/>
      <c r="F39" s="4"/>
      <c r="G39" s="4"/>
      <c r="H39" s="4"/>
      <c r="I39" s="4"/>
      <c r="J39" s="4"/>
      <c r="K39" s="4"/>
      <c r="L39" s="4"/>
      <c r="M39" s="4"/>
      <c r="N39" s="4">
        <f>SUBTOTAL(9,N37:N38)</f>
        <v>19.7</v>
      </c>
      <c r="O39" s="7">
        <f>SUBTOTAL(9,O37:O38)</f>
        <v>508949.49</v>
      </c>
      <c r="P39" s="7">
        <f>+O39/N39</f>
        <v>25834.999492385788</v>
      </c>
    </row>
    <row r="40" spans="1:16" outlineLevel="2" x14ac:dyDescent="0.2">
      <c r="A40" s="5">
        <v>46204</v>
      </c>
      <c r="B40" s="2">
        <v>160626</v>
      </c>
      <c r="C40" s="2">
        <v>1</v>
      </c>
      <c r="D40" s="2" t="s">
        <v>25</v>
      </c>
      <c r="E40" s="2" t="s">
        <v>64</v>
      </c>
      <c r="F40" s="2" t="s">
        <v>65</v>
      </c>
      <c r="G40" s="2" t="s">
        <v>22</v>
      </c>
      <c r="H40" s="2" t="s">
        <v>21</v>
      </c>
      <c r="I40" s="2" t="s">
        <v>66</v>
      </c>
      <c r="J40" s="2">
        <v>1</v>
      </c>
      <c r="K40" s="2" t="s">
        <v>33</v>
      </c>
      <c r="L40" s="2">
        <v>2535</v>
      </c>
      <c r="M40" s="2" t="s">
        <v>67</v>
      </c>
      <c r="N40" s="2">
        <v>4</v>
      </c>
      <c r="O40" s="6">
        <v>200414.8</v>
      </c>
      <c r="P40" s="6">
        <v>50103.7</v>
      </c>
    </row>
    <row r="41" spans="1:16" outlineLevel="2" x14ac:dyDescent="0.2">
      <c r="A41" s="5">
        <v>46227</v>
      </c>
      <c r="B41" s="2">
        <v>160626</v>
      </c>
      <c r="C41" s="2">
        <v>3</v>
      </c>
      <c r="D41" s="2" t="s">
        <v>25</v>
      </c>
      <c r="E41" s="2" t="s">
        <v>64</v>
      </c>
      <c r="F41" s="2" t="s">
        <v>65</v>
      </c>
      <c r="G41" s="2" t="s">
        <v>22</v>
      </c>
      <c r="H41" s="2" t="s">
        <v>21</v>
      </c>
      <c r="I41" s="2" t="s">
        <v>68</v>
      </c>
      <c r="J41" s="2">
        <v>1</v>
      </c>
      <c r="K41" s="2" t="s">
        <v>33</v>
      </c>
      <c r="L41" s="2">
        <v>2535</v>
      </c>
      <c r="M41" s="2" t="s">
        <v>67</v>
      </c>
      <c r="N41" s="2">
        <v>20</v>
      </c>
      <c r="O41" s="6">
        <v>942333.89</v>
      </c>
      <c r="P41" s="6">
        <v>47116.69</v>
      </c>
    </row>
    <row r="42" spans="1:16" outlineLevel="2" x14ac:dyDescent="0.2">
      <c r="A42" s="5">
        <v>46204</v>
      </c>
      <c r="B42" s="2">
        <v>160210</v>
      </c>
      <c r="C42" s="2">
        <v>2</v>
      </c>
      <c r="D42" s="2" t="s">
        <v>25</v>
      </c>
      <c r="E42" s="2" t="s">
        <v>26</v>
      </c>
      <c r="F42" s="2" t="s">
        <v>27</v>
      </c>
      <c r="G42" s="2" t="s">
        <v>22</v>
      </c>
      <c r="H42" s="2" t="s">
        <v>21</v>
      </c>
      <c r="I42" s="2" t="s">
        <v>28</v>
      </c>
      <c r="J42" s="2">
        <v>40</v>
      </c>
      <c r="K42" s="2" t="s">
        <v>29</v>
      </c>
      <c r="L42" s="2">
        <v>1779</v>
      </c>
      <c r="M42" s="2" t="s">
        <v>30</v>
      </c>
      <c r="N42" s="2">
        <v>2</v>
      </c>
      <c r="O42" s="6">
        <v>92739.88</v>
      </c>
      <c r="P42" s="6">
        <v>46369.94</v>
      </c>
    </row>
    <row r="43" spans="1:16" outlineLevel="2" x14ac:dyDescent="0.2">
      <c r="A43" s="5">
        <v>46230</v>
      </c>
      <c r="B43" s="2">
        <v>160719</v>
      </c>
      <c r="C43" s="2">
        <v>5</v>
      </c>
      <c r="D43" s="2" t="s">
        <v>25</v>
      </c>
      <c r="E43" s="2" t="s">
        <v>26</v>
      </c>
      <c r="F43" s="2" t="s">
        <v>27</v>
      </c>
      <c r="G43" s="2" t="s">
        <v>85</v>
      </c>
      <c r="H43" s="2" t="s">
        <v>21</v>
      </c>
      <c r="I43" s="2" t="s">
        <v>86</v>
      </c>
      <c r="J43" s="2">
        <v>1</v>
      </c>
      <c r="K43" s="2" t="s">
        <v>33</v>
      </c>
      <c r="L43" s="2">
        <v>1779</v>
      </c>
      <c r="M43" s="2" t="s">
        <v>30</v>
      </c>
      <c r="N43" s="2">
        <v>6</v>
      </c>
      <c r="O43" s="6">
        <v>273552.45</v>
      </c>
      <c r="P43" s="6">
        <v>45592.08</v>
      </c>
    </row>
    <row r="44" spans="1:16" outlineLevel="2" x14ac:dyDescent="0.2">
      <c r="A44" s="5">
        <v>46230</v>
      </c>
      <c r="B44" s="2">
        <v>161210</v>
      </c>
      <c r="C44" s="2">
        <v>4</v>
      </c>
      <c r="D44" s="2" t="s">
        <v>25</v>
      </c>
      <c r="E44" s="2" t="s">
        <v>26</v>
      </c>
      <c r="F44" s="2" t="s">
        <v>27</v>
      </c>
      <c r="G44" s="2" t="s">
        <v>114</v>
      </c>
      <c r="H44" s="2" t="s">
        <v>21</v>
      </c>
      <c r="I44" s="2" t="s">
        <v>161</v>
      </c>
      <c r="J44" s="2">
        <v>1</v>
      </c>
      <c r="K44" s="2" t="s">
        <v>33</v>
      </c>
      <c r="L44" s="2">
        <v>1779</v>
      </c>
      <c r="M44" s="2" t="s">
        <v>30</v>
      </c>
      <c r="N44" s="2">
        <v>11</v>
      </c>
      <c r="O44" s="6">
        <v>454063.06</v>
      </c>
      <c r="P44" s="6">
        <v>41278.46</v>
      </c>
    </row>
    <row r="45" spans="1:16" outlineLevel="2" x14ac:dyDescent="0.2">
      <c r="A45" s="5">
        <v>46230</v>
      </c>
      <c r="B45" s="2">
        <v>161125</v>
      </c>
      <c r="C45" s="2">
        <v>1</v>
      </c>
      <c r="D45" s="2" t="s">
        <v>25</v>
      </c>
      <c r="E45" s="2" t="s">
        <v>131</v>
      </c>
      <c r="F45" s="2" t="s">
        <v>65</v>
      </c>
      <c r="G45" s="2" t="s">
        <v>22</v>
      </c>
      <c r="H45" s="2" t="s">
        <v>21</v>
      </c>
      <c r="I45" s="2" t="s">
        <v>132</v>
      </c>
      <c r="J45" s="2">
        <v>1</v>
      </c>
      <c r="K45" s="2" t="s">
        <v>33</v>
      </c>
      <c r="L45" s="2">
        <v>2535</v>
      </c>
      <c r="M45" s="2" t="s">
        <v>67</v>
      </c>
      <c r="N45" s="2">
        <v>85</v>
      </c>
      <c r="O45" s="6">
        <v>4238800.54</v>
      </c>
      <c r="P45" s="6">
        <v>49868.24</v>
      </c>
    </row>
    <row r="46" spans="1:16" outlineLevel="1" x14ac:dyDescent="0.2">
      <c r="A46" s="5"/>
      <c r="D46" s="4" t="s">
        <v>175</v>
      </c>
      <c r="E46" s="4"/>
      <c r="F46" s="4"/>
      <c r="G46" s="4"/>
      <c r="H46" s="4"/>
      <c r="I46" s="4"/>
      <c r="J46" s="4"/>
      <c r="K46" s="4"/>
      <c r="L46" s="4"/>
      <c r="M46" s="4"/>
      <c r="N46" s="4">
        <f>SUBTOTAL(9,N40:N45)</f>
        <v>128</v>
      </c>
      <c r="O46" s="7">
        <f>SUBTOTAL(9,O40:O45)</f>
        <v>6201904.6200000001</v>
      </c>
      <c r="P46" s="7">
        <f>+O46/N46</f>
        <v>48452.379843750001</v>
      </c>
    </row>
    <row r="47" spans="1:16" outlineLevel="2" x14ac:dyDescent="0.2">
      <c r="A47" s="5">
        <v>46210</v>
      </c>
      <c r="B47" s="2">
        <v>160815</v>
      </c>
      <c r="C47" s="2">
        <v>1</v>
      </c>
      <c r="D47" s="2" t="s">
        <v>92</v>
      </c>
      <c r="E47" s="2" t="s">
        <v>93</v>
      </c>
      <c r="F47" s="2" t="s">
        <v>45</v>
      </c>
      <c r="G47" s="2" t="s">
        <v>22</v>
      </c>
      <c r="H47" s="2" t="s">
        <v>21</v>
      </c>
      <c r="I47" s="2" t="s">
        <v>21</v>
      </c>
      <c r="J47" s="2">
        <v>1</v>
      </c>
      <c r="K47" s="2" t="s">
        <v>33</v>
      </c>
      <c r="L47" s="2">
        <v>2521</v>
      </c>
      <c r="M47" s="2" t="s">
        <v>50</v>
      </c>
      <c r="N47" s="2">
        <v>55</v>
      </c>
      <c r="O47" s="6">
        <v>715246.7</v>
      </c>
      <c r="P47" s="6">
        <v>13004.49</v>
      </c>
    </row>
    <row r="48" spans="1:16" outlineLevel="1" x14ac:dyDescent="0.2">
      <c r="A48" s="5"/>
      <c r="D48" s="4" t="s">
        <v>176</v>
      </c>
      <c r="E48" s="4"/>
      <c r="F48" s="4"/>
      <c r="G48" s="4"/>
      <c r="H48" s="4"/>
      <c r="I48" s="4"/>
      <c r="J48" s="4"/>
      <c r="K48" s="4"/>
      <c r="L48" s="4"/>
      <c r="M48" s="4"/>
      <c r="N48" s="4">
        <f>SUBTOTAL(9,N47:N47)</f>
        <v>55</v>
      </c>
      <c r="O48" s="7">
        <f>SUBTOTAL(9,O47:O47)</f>
        <v>715246.7</v>
      </c>
      <c r="P48" s="7">
        <f>+O48/N48</f>
        <v>13004.485454545455</v>
      </c>
    </row>
    <row r="49" spans="1:16" outlineLevel="2" x14ac:dyDescent="0.2">
      <c r="A49" s="5">
        <v>46220</v>
      </c>
      <c r="B49" s="2">
        <v>161008</v>
      </c>
      <c r="C49" s="2">
        <v>2</v>
      </c>
      <c r="D49" s="2" t="s">
        <v>108</v>
      </c>
      <c r="E49" s="2" t="s">
        <v>109</v>
      </c>
      <c r="F49" s="2" t="s">
        <v>45</v>
      </c>
      <c r="G49" s="2" t="s">
        <v>22</v>
      </c>
      <c r="H49" s="2" t="s">
        <v>21</v>
      </c>
      <c r="I49" s="2" t="s">
        <v>21</v>
      </c>
      <c r="J49" s="2">
        <v>1</v>
      </c>
      <c r="K49" s="2" t="s">
        <v>33</v>
      </c>
      <c r="L49" s="2">
        <v>2521</v>
      </c>
      <c r="M49" s="2" t="s">
        <v>50</v>
      </c>
      <c r="N49" s="2">
        <v>47</v>
      </c>
      <c r="O49" s="6">
        <v>1763605.96</v>
      </c>
      <c r="P49" s="6">
        <v>37523.53</v>
      </c>
    </row>
    <row r="50" spans="1:16" outlineLevel="2" x14ac:dyDescent="0.2">
      <c r="A50" s="5">
        <v>46230</v>
      </c>
      <c r="B50" s="2">
        <v>161138</v>
      </c>
      <c r="C50" s="2">
        <v>2</v>
      </c>
      <c r="D50" s="2" t="s">
        <v>108</v>
      </c>
      <c r="E50" s="2" t="s">
        <v>109</v>
      </c>
      <c r="F50" s="2" t="s">
        <v>45</v>
      </c>
      <c r="G50" s="2" t="s">
        <v>22</v>
      </c>
      <c r="H50" s="2" t="s">
        <v>21</v>
      </c>
      <c r="I50" s="2" t="s">
        <v>21</v>
      </c>
      <c r="J50" s="2">
        <v>1</v>
      </c>
      <c r="K50" s="2" t="s">
        <v>33</v>
      </c>
      <c r="L50" s="2">
        <v>2521</v>
      </c>
      <c r="M50" s="2" t="s">
        <v>50</v>
      </c>
      <c r="N50" s="2">
        <v>36</v>
      </c>
      <c r="O50" s="6">
        <v>1307747.8600000001</v>
      </c>
      <c r="P50" s="6">
        <v>36326.33</v>
      </c>
    </row>
    <row r="51" spans="1:16" outlineLevel="1" x14ac:dyDescent="0.2">
      <c r="A51" s="5"/>
      <c r="D51" s="4" t="s">
        <v>177</v>
      </c>
      <c r="E51" s="4"/>
      <c r="F51" s="4"/>
      <c r="G51" s="4"/>
      <c r="H51" s="4"/>
      <c r="I51" s="4"/>
      <c r="J51" s="4"/>
      <c r="K51" s="4"/>
      <c r="L51" s="4"/>
      <c r="M51" s="4"/>
      <c r="N51" s="4">
        <f>SUBTOTAL(9,N49:N50)</f>
        <v>83</v>
      </c>
      <c r="O51" s="7">
        <f>SUBTOTAL(9,O49:O50)</f>
        <v>3071353.8200000003</v>
      </c>
      <c r="P51" s="7">
        <f>+O51/N51</f>
        <v>37004.262891566272</v>
      </c>
    </row>
    <row r="52" spans="1:16" outlineLevel="2" x14ac:dyDescent="0.2">
      <c r="A52" s="5">
        <v>46216</v>
      </c>
      <c r="B52" s="2">
        <v>160833</v>
      </c>
      <c r="C52" s="2">
        <v>2</v>
      </c>
      <c r="D52" s="2" t="s">
        <v>94</v>
      </c>
      <c r="E52" s="2" t="s">
        <v>95</v>
      </c>
      <c r="F52" s="2" t="s">
        <v>45</v>
      </c>
      <c r="G52" s="2" t="s">
        <v>22</v>
      </c>
      <c r="H52" s="2" t="s">
        <v>21</v>
      </c>
      <c r="I52" s="2" t="s">
        <v>96</v>
      </c>
      <c r="J52" s="2">
        <v>1</v>
      </c>
      <c r="K52" s="2" t="s">
        <v>33</v>
      </c>
      <c r="L52" s="2">
        <v>331</v>
      </c>
      <c r="M52" s="2" t="s">
        <v>97</v>
      </c>
      <c r="N52" s="2">
        <v>74</v>
      </c>
      <c r="O52" s="6">
        <v>816785.67</v>
      </c>
      <c r="P52" s="6">
        <v>11037.64</v>
      </c>
    </row>
    <row r="53" spans="1:16" outlineLevel="1" x14ac:dyDescent="0.2">
      <c r="A53" s="5"/>
      <c r="D53" s="4" t="s">
        <v>178</v>
      </c>
      <c r="E53" s="4"/>
      <c r="F53" s="4"/>
      <c r="G53" s="4"/>
      <c r="H53" s="4"/>
      <c r="I53" s="4"/>
      <c r="J53" s="4"/>
      <c r="K53" s="4"/>
      <c r="L53" s="4"/>
      <c r="M53" s="4"/>
      <c r="N53" s="4">
        <f>SUBTOTAL(9,N52:N52)</f>
        <v>74</v>
      </c>
      <c r="O53" s="7">
        <f>SUBTOTAL(9,O52:O52)</f>
        <v>816785.67</v>
      </c>
      <c r="P53" s="7">
        <f>+O53/N53</f>
        <v>11037.64418918919</v>
      </c>
    </row>
    <row r="54" spans="1:16" outlineLevel="2" x14ac:dyDescent="0.2">
      <c r="A54" s="5">
        <v>46206</v>
      </c>
      <c r="B54" s="2">
        <v>160334</v>
      </c>
      <c r="C54" s="2">
        <v>4</v>
      </c>
      <c r="D54" s="2" t="s">
        <v>40</v>
      </c>
      <c r="E54" s="2" t="s">
        <v>41</v>
      </c>
      <c r="F54" s="2" t="s">
        <v>21</v>
      </c>
      <c r="G54" s="2" t="s">
        <v>22</v>
      </c>
      <c r="H54" s="2" t="s">
        <v>21</v>
      </c>
      <c r="I54" s="2" t="s">
        <v>21</v>
      </c>
      <c r="J54" s="2">
        <v>1</v>
      </c>
      <c r="K54" s="2" t="s">
        <v>33</v>
      </c>
      <c r="L54" s="2">
        <v>226</v>
      </c>
      <c r="M54" s="2" t="s">
        <v>42</v>
      </c>
      <c r="N54" s="2">
        <v>1</v>
      </c>
      <c r="O54" s="6">
        <v>39835.870000000003</v>
      </c>
      <c r="P54" s="6">
        <v>39835.870000000003</v>
      </c>
    </row>
    <row r="55" spans="1:16" outlineLevel="2" x14ac:dyDescent="0.2">
      <c r="A55" s="5">
        <v>46204</v>
      </c>
      <c r="B55" s="2">
        <v>160576</v>
      </c>
      <c r="C55" s="2">
        <v>2</v>
      </c>
      <c r="D55" s="2" t="s">
        <v>40</v>
      </c>
      <c r="E55" s="2" t="s">
        <v>62</v>
      </c>
      <c r="F55" s="2" t="s">
        <v>21</v>
      </c>
      <c r="G55" s="2" t="s">
        <v>22</v>
      </c>
      <c r="H55" s="2" t="s">
        <v>21</v>
      </c>
      <c r="I55" s="2" t="s">
        <v>63</v>
      </c>
      <c r="J55" s="2">
        <v>2</v>
      </c>
      <c r="K55" s="2" t="s">
        <v>54</v>
      </c>
      <c r="L55" s="2">
        <v>226</v>
      </c>
      <c r="M55" s="2" t="s">
        <v>42</v>
      </c>
      <c r="N55" s="2">
        <v>4</v>
      </c>
      <c r="O55" s="6">
        <v>171478.2</v>
      </c>
      <c r="P55" s="6">
        <v>42869.55</v>
      </c>
    </row>
    <row r="56" spans="1:16" outlineLevel="1" x14ac:dyDescent="0.2">
      <c r="A56" s="5"/>
      <c r="D56" s="4" t="s">
        <v>179</v>
      </c>
      <c r="E56" s="4"/>
      <c r="F56" s="4"/>
      <c r="G56" s="4"/>
      <c r="H56" s="4"/>
      <c r="I56" s="4"/>
      <c r="J56" s="4"/>
      <c r="K56" s="4"/>
      <c r="L56" s="4"/>
      <c r="M56" s="4"/>
      <c r="N56" s="4">
        <f>SUBTOTAL(9,N54:N55)</f>
        <v>5</v>
      </c>
      <c r="O56" s="7">
        <f>SUBTOTAL(9,O54:O55)</f>
        <v>211314.07</v>
      </c>
      <c r="P56" s="7">
        <f>+O56/N56</f>
        <v>42262.813999999998</v>
      </c>
    </row>
    <row r="57" spans="1:16" outlineLevel="2" x14ac:dyDescent="0.2">
      <c r="A57" s="5">
        <v>46208</v>
      </c>
      <c r="B57" s="2">
        <v>160714</v>
      </c>
      <c r="C57" s="2">
        <v>2</v>
      </c>
      <c r="D57" s="2" t="s">
        <v>74</v>
      </c>
      <c r="E57" s="2" t="s">
        <v>82</v>
      </c>
      <c r="F57" s="2" t="s">
        <v>45</v>
      </c>
      <c r="G57" s="2" t="s">
        <v>22</v>
      </c>
      <c r="H57" s="2" t="s">
        <v>21</v>
      </c>
      <c r="I57" s="2" t="s">
        <v>76</v>
      </c>
      <c r="J57" s="2">
        <v>1</v>
      </c>
      <c r="K57" s="2" t="s">
        <v>33</v>
      </c>
      <c r="L57" s="2">
        <v>25077</v>
      </c>
      <c r="M57" s="2" t="s">
        <v>81</v>
      </c>
      <c r="N57" s="2">
        <v>41</v>
      </c>
      <c r="O57" s="6">
        <v>1300637.19</v>
      </c>
      <c r="P57" s="6">
        <v>31722.86</v>
      </c>
    </row>
    <row r="58" spans="1:16" outlineLevel="2" x14ac:dyDescent="0.2">
      <c r="A58" s="5">
        <v>46210</v>
      </c>
      <c r="B58" s="2">
        <v>160714</v>
      </c>
      <c r="C58" s="2">
        <v>3</v>
      </c>
      <c r="D58" s="2" t="s">
        <v>74</v>
      </c>
      <c r="E58" s="2" t="s">
        <v>83</v>
      </c>
      <c r="F58" s="2" t="s">
        <v>45</v>
      </c>
      <c r="G58" s="2" t="s">
        <v>22</v>
      </c>
      <c r="H58" s="2" t="s">
        <v>21</v>
      </c>
      <c r="I58" s="2" t="s">
        <v>84</v>
      </c>
      <c r="J58" s="2">
        <v>1</v>
      </c>
      <c r="K58" s="2" t="s">
        <v>33</v>
      </c>
      <c r="L58" s="2">
        <v>25077</v>
      </c>
      <c r="M58" s="2" t="s">
        <v>81</v>
      </c>
      <c r="N58" s="2">
        <v>12</v>
      </c>
      <c r="O58" s="6">
        <v>329613.71999999997</v>
      </c>
      <c r="P58" s="6">
        <v>27467.81</v>
      </c>
    </row>
    <row r="59" spans="1:16" outlineLevel="2" x14ac:dyDescent="0.2">
      <c r="A59" s="5">
        <v>46210</v>
      </c>
      <c r="B59" s="2">
        <v>160713</v>
      </c>
      <c r="C59" s="2">
        <v>2</v>
      </c>
      <c r="D59" s="2" t="s">
        <v>74</v>
      </c>
      <c r="E59" s="2" t="s">
        <v>75</v>
      </c>
      <c r="F59" s="2" t="s">
        <v>45</v>
      </c>
      <c r="G59" s="2" t="s">
        <v>22</v>
      </c>
      <c r="H59" s="2" t="s">
        <v>21</v>
      </c>
      <c r="I59" s="2" t="s">
        <v>76</v>
      </c>
      <c r="J59" s="2">
        <v>1</v>
      </c>
      <c r="K59" s="2" t="s">
        <v>33</v>
      </c>
      <c r="L59" s="2">
        <v>2120</v>
      </c>
      <c r="M59" s="2" t="s">
        <v>77</v>
      </c>
      <c r="N59" s="2">
        <v>11</v>
      </c>
      <c r="O59" s="6">
        <v>330490.43</v>
      </c>
      <c r="P59" s="6">
        <v>30044.58</v>
      </c>
    </row>
    <row r="60" spans="1:16" outlineLevel="2" x14ac:dyDescent="0.2">
      <c r="A60" s="5">
        <v>46208</v>
      </c>
      <c r="B60" s="2">
        <v>160714</v>
      </c>
      <c r="C60" s="2">
        <v>1</v>
      </c>
      <c r="D60" s="2" t="s">
        <v>74</v>
      </c>
      <c r="E60" s="2" t="s">
        <v>75</v>
      </c>
      <c r="F60" s="2" t="s">
        <v>45</v>
      </c>
      <c r="G60" s="2" t="s">
        <v>22</v>
      </c>
      <c r="H60" s="2" t="s">
        <v>21</v>
      </c>
      <c r="I60" s="2" t="s">
        <v>80</v>
      </c>
      <c r="J60" s="2">
        <v>1</v>
      </c>
      <c r="K60" s="2" t="s">
        <v>33</v>
      </c>
      <c r="L60" s="2">
        <v>25077</v>
      </c>
      <c r="M60" s="2" t="s">
        <v>81</v>
      </c>
      <c r="N60" s="2">
        <v>9</v>
      </c>
      <c r="O60" s="6">
        <v>280718.02</v>
      </c>
      <c r="P60" s="6">
        <v>31190.89</v>
      </c>
    </row>
    <row r="61" spans="1:16" outlineLevel="1" x14ac:dyDescent="0.2">
      <c r="A61" s="5"/>
      <c r="D61" s="4" t="s">
        <v>180</v>
      </c>
      <c r="E61" s="4"/>
      <c r="F61" s="4"/>
      <c r="G61" s="4"/>
      <c r="H61" s="4"/>
      <c r="I61" s="4"/>
      <c r="J61" s="4"/>
      <c r="K61" s="4"/>
      <c r="L61" s="4"/>
      <c r="M61" s="4"/>
      <c r="N61" s="4">
        <f>SUBTOTAL(9,N57:N60)</f>
        <v>73</v>
      </c>
      <c r="O61" s="7">
        <f>SUBTOTAL(9,O57:O60)</f>
        <v>2241459.36</v>
      </c>
      <c r="P61" s="7">
        <f>+O61/N61</f>
        <v>30704.922739726026</v>
      </c>
    </row>
    <row r="62" spans="1:16" outlineLevel="2" x14ac:dyDescent="0.2">
      <c r="A62" s="5">
        <v>46211</v>
      </c>
      <c r="B62" s="2">
        <v>160713</v>
      </c>
      <c r="C62" s="2">
        <v>5</v>
      </c>
      <c r="D62" s="2" t="s">
        <v>78</v>
      </c>
      <c r="E62" s="2" t="s">
        <v>64</v>
      </c>
      <c r="F62" s="2" t="s">
        <v>21</v>
      </c>
      <c r="G62" s="2" t="s">
        <v>22</v>
      </c>
      <c r="H62" s="2" t="s">
        <v>21</v>
      </c>
      <c r="I62" s="2" t="s">
        <v>79</v>
      </c>
      <c r="J62" s="2">
        <v>1</v>
      </c>
      <c r="K62" s="2" t="s">
        <v>33</v>
      </c>
      <c r="L62" s="2">
        <v>2120</v>
      </c>
      <c r="M62" s="2" t="s">
        <v>77</v>
      </c>
      <c r="N62" s="2">
        <v>22</v>
      </c>
      <c r="O62" s="6">
        <v>760562.98</v>
      </c>
      <c r="P62" s="6">
        <v>34571.040000000001</v>
      </c>
    </row>
    <row r="63" spans="1:16" outlineLevel="1" x14ac:dyDescent="0.2">
      <c r="A63" s="5"/>
      <c r="D63" s="4" t="s">
        <v>181</v>
      </c>
      <c r="E63" s="4"/>
      <c r="F63" s="4"/>
      <c r="G63" s="4"/>
      <c r="H63" s="4"/>
      <c r="I63" s="4"/>
      <c r="J63" s="4"/>
      <c r="K63" s="4"/>
      <c r="L63" s="4"/>
      <c r="M63" s="4"/>
      <c r="N63" s="4">
        <f>SUBTOTAL(9,N62:N62)</f>
        <v>22</v>
      </c>
      <c r="O63" s="7">
        <f>SUBTOTAL(9,O62:O62)</f>
        <v>760562.98</v>
      </c>
      <c r="P63" s="7">
        <f>+O63/N63</f>
        <v>34571.044545454548</v>
      </c>
    </row>
    <row r="64" spans="1:16" outlineLevel="2" x14ac:dyDescent="0.2">
      <c r="A64" s="5">
        <v>46195</v>
      </c>
      <c r="B64" s="2">
        <v>160227</v>
      </c>
      <c r="C64" s="2">
        <v>1</v>
      </c>
      <c r="D64" s="2" t="s">
        <v>35</v>
      </c>
      <c r="E64" s="2" t="s">
        <v>36</v>
      </c>
      <c r="F64" s="2" t="s">
        <v>37</v>
      </c>
      <c r="G64" s="2" t="s">
        <v>22</v>
      </c>
      <c r="H64" s="2" t="s">
        <v>21</v>
      </c>
      <c r="I64" s="2" t="s">
        <v>38</v>
      </c>
      <c r="J64" s="2">
        <v>1</v>
      </c>
      <c r="K64" s="2" t="s">
        <v>33</v>
      </c>
      <c r="L64" s="2">
        <v>25067</v>
      </c>
      <c r="M64" s="2" t="s">
        <v>39</v>
      </c>
      <c r="N64" s="2">
        <v>43</v>
      </c>
      <c r="O64" s="6">
        <v>365990.19</v>
      </c>
      <c r="P64" s="6">
        <v>8511.4</v>
      </c>
    </row>
    <row r="65" spans="1:16" outlineLevel="2" x14ac:dyDescent="0.2">
      <c r="A65" s="5">
        <v>46209</v>
      </c>
      <c r="B65" s="2">
        <v>160712</v>
      </c>
      <c r="C65" s="2">
        <v>1</v>
      </c>
      <c r="D65" s="2" t="s">
        <v>35</v>
      </c>
      <c r="E65" s="2" t="s">
        <v>36</v>
      </c>
      <c r="F65" s="2" t="s">
        <v>27</v>
      </c>
      <c r="G65" s="2" t="s">
        <v>22</v>
      </c>
      <c r="H65" s="2" t="s">
        <v>21</v>
      </c>
      <c r="I65" s="2" t="s">
        <v>72</v>
      </c>
      <c r="J65" s="2">
        <v>1</v>
      </c>
      <c r="K65" s="2" t="s">
        <v>33</v>
      </c>
      <c r="L65" s="2">
        <v>1846</v>
      </c>
      <c r="M65" s="2" t="s">
        <v>73</v>
      </c>
      <c r="N65" s="2">
        <v>3</v>
      </c>
      <c r="O65" s="6">
        <v>148444.22</v>
      </c>
      <c r="P65" s="6">
        <v>49481.41</v>
      </c>
    </row>
    <row r="66" spans="1:16" outlineLevel="2" x14ac:dyDescent="0.2">
      <c r="A66" s="5">
        <v>46213</v>
      </c>
      <c r="B66" s="2">
        <v>160760</v>
      </c>
      <c r="C66" s="2">
        <v>1</v>
      </c>
      <c r="D66" s="2" t="s">
        <v>35</v>
      </c>
      <c r="E66" s="2" t="s">
        <v>36</v>
      </c>
      <c r="F66" s="2" t="s">
        <v>90</v>
      </c>
      <c r="G66" s="2" t="s">
        <v>22</v>
      </c>
      <c r="H66" s="2" t="s">
        <v>21</v>
      </c>
      <c r="I66" s="2" t="s">
        <v>21</v>
      </c>
      <c r="J66" s="2">
        <v>1</v>
      </c>
      <c r="K66" s="2" t="s">
        <v>33</v>
      </c>
      <c r="L66" s="2">
        <v>25101</v>
      </c>
      <c r="M66" s="2" t="s">
        <v>91</v>
      </c>
      <c r="N66" s="2">
        <v>6</v>
      </c>
      <c r="O66" s="6">
        <v>166207.01999999999</v>
      </c>
      <c r="P66" s="6">
        <v>27701.17</v>
      </c>
    </row>
    <row r="67" spans="1:16" outlineLevel="2" x14ac:dyDescent="0.2">
      <c r="A67" s="5">
        <v>46220</v>
      </c>
      <c r="B67" s="2">
        <v>160835</v>
      </c>
      <c r="C67" s="2">
        <v>6</v>
      </c>
      <c r="D67" s="2" t="s">
        <v>35</v>
      </c>
      <c r="E67" s="2" t="s">
        <v>36</v>
      </c>
      <c r="F67" s="2" t="s">
        <v>45</v>
      </c>
      <c r="G67" s="2" t="s">
        <v>85</v>
      </c>
      <c r="H67" s="2" t="s">
        <v>21</v>
      </c>
      <c r="I67" s="2" t="s">
        <v>98</v>
      </c>
      <c r="J67" s="2">
        <v>40</v>
      </c>
      <c r="K67" s="2" t="s">
        <v>29</v>
      </c>
      <c r="L67" s="2">
        <v>25243</v>
      </c>
      <c r="M67" s="2" t="s">
        <v>99</v>
      </c>
      <c r="N67" s="2">
        <v>388</v>
      </c>
      <c r="O67" s="6">
        <v>12904236.84</v>
      </c>
      <c r="P67" s="6">
        <v>33258.339999999997</v>
      </c>
    </row>
    <row r="68" spans="1:16" outlineLevel="2" x14ac:dyDescent="0.2">
      <c r="A68" s="5">
        <v>46223</v>
      </c>
      <c r="B68" s="2">
        <v>161009</v>
      </c>
      <c r="C68" s="2">
        <v>2</v>
      </c>
      <c r="D68" s="2" t="s">
        <v>35</v>
      </c>
      <c r="E68" s="2" t="s">
        <v>36</v>
      </c>
      <c r="F68" s="2" t="s">
        <v>27</v>
      </c>
      <c r="G68" s="2" t="s">
        <v>22</v>
      </c>
      <c r="H68" s="2" t="s">
        <v>21</v>
      </c>
      <c r="I68" s="2" t="s">
        <v>38</v>
      </c>
      <c r="J68" s="2">
        <v>1</v>
      </c>
      <c r="K68" s="2" t="s">
        <v>33</v>
      </c>
      <c r="L68" s="2">
        <v>1846</v>
      </c>
      <c r="M68" s="2" t="s">
        <v>73</v>
      </c>
      <c r="N68" s="2">
        <v>77</v>
      </c>
      <c r="O68" s="6">
        <v>6336265.1699999999</v>
      </c>
      <c r="P68" s="6">
        <v>82289.16</v>
      </c>
    </row>
    <row r="69" spans="1:16" outlineLevel="2" x14ac:dyDescent="0.2">
      <c r="A69" s="5">
        <v>46230</v>
      </c>
      <c r="B69" s="2">
        <v>161048</v>
      </c>
      <c r="C69" s="2">
        <v>2</v>
      </c>
      <c r="D69" s="2" t="s">
        <v>35</v>
      </c>
      <c r="E69" s="2" t="s">
        <v>36</v>
      </c>
      <c r="F69" s="2" t="s">
        <v>45</v>
      </c>
      <c r="G69" s="2" t="s">
        <v>114</v>
      </c>
      <c r="H69" s="2" t="s">
        <v>21</v>
      </c>
      <c r="I69" s="2" t="s">
        <v>115</v>
      </c>
      <c r="J69" s="2">
        <v>40</v>
      </c>
      <c r="K69" s="2" t="s">
        <v>29</v>
      </c>
      <c r="L69" s="2">
        <v>25243</v>
      </c>
      <c r="M69" s="2" t="s">
        <v>99</v>
      </c>
      <c r="N69" s="2">
        <v>176</v>
      </c>
      <c r="O69" s="6">
        <v>5585699.6799999997</v>
      </c>
      <c r="P69" s="6">
        <v>31736.93</v>
      </c>
    </row>
    <row r="70" spans="1:16" outlineLevel="2" x14ac:dyDescent="0.2">
      <c r="A70" s="5">
        <v>46225</v>
      </c>
      <c r="B70" s="2">
        <v>161050</v>
      </c>
      <c r="C70" s="2">
        <v>2</v>
      </c>
      <c r="D70" s="2" t="s">
        <v>35</v>
      </c>
      <c r="E70" s="2" t="s">
        <v>36</v>
      </c>
      <c r="F70" s="2" t="s">
        <v>45</v>
      </c>
      <c r="G70" s="2" t="s">
        <v>114</v>
      </c>
      <c r="H70" s="2" t="s">
        <v>21</v>
      </c>
      <c r="I70" s="2" t="s">
        <v>116</v>
      </c>
      <c r="J70" s="2">
        <v>40</v>
      </c>
      <c r="K70" s="2" t="s">
        <v>29</v>
      </c>
      <c r="L70" s="2">
        <v>25243</v>
      </c>
      <c r="M70" s="2" t="s">
        <v>99</v>
      </c>
      <c r="N70" s="2">
        <v>310</v>
      </c>
      <c r="O70" s="6">
        <v>9857663.1300000008</v>
      </c>
      <c r="P70" s="6">
        <v>31798.91</v>
      </c>
    </row>
    <row r="71" spans="1:16" outlineLevel="2" x14ac:dyDescent="0.2">
      <c r="A71" s="5">
        <v>46227</v>
      </c>
      <c r="B71" s="2">
        <v>161096</v>
      </c>
      <c r="C71" s="2">
        <v>1</v>
      </c>
      <c r="D71" s="2" t="s">
        <v>35</v>
      </c>
      <c r="E71" s="2" t="s">
        <v>36</v>
      </c>
      <c r="F71" s="2" t="s">
        <v>45</v>
      </c>
      <c r="G71" s="2" t="s">
        <v>114</v>
      </c>
      <c r="H71" s="2" t="s">
        <v>21</v>
      </c>
      <c r="I71" s="2" t="s">
        <v>124</v>
      </c>
      <c r="J71" s="2">
        <v>40</v>
      </c>
      <c r="K71" s="2" t="s">
        <v>29</v>
      </c>
      <c r="L71" s="2">
        <v>2579</v>
      </c>
      <c r="M71" s="2" t="s">
        <v>125</v>
      </c>
      <c r="N71" s="2">
        <v>36</v>
      </c>
      <c r="O71" s="6">
        <v>1008745.4</v>
      </c>
      <c r="P71" s="6">
        <v>28020.71</v>
      </c>
    </row>
    <row r="72" spans="1:16" outlineLevel="2" x14ac:dyDescent="0.2">
      <c r="A72" s="5">
        <v>46227</v>
      </c>
      <c r="B72" s="2">
        <v>161096</v>
      </c>
      <c r="C72" s="2">
        <v>2</v>
      </c>
      <c r="D72" s="2" t="s">
        <v>35</v>
      </c>
      <c r="E72" s="2" t="s">
        <v>36</v>
      </c>
      <c r="F72" s="2" t="s">
        <v>45</v>
      </c>
      <c r="G72" s="2" t="s">
        <v>114</v>
      </c>
      <c r="H72" s="2" t="s">
        <v>21</v>
      </c>
      <c r="I72" s="2" t="s">
        <v>126</v>
      </c>
      <c r="J72" s="2">
        <v>40</v>
      </c>
      <c r="K72" s="2" t="s">
        <v>29</v>
      </c>
      <c r="L72" s="2">
        <v>2579</v>
      </c>
      <c r="M72" s="2" t="s">
        <v>125</v>
      </c>
      <c r="N72" s="2">
        <v>116</v>
      </c>
      <c r="O72" s="6">
        <v>3600054.29</v>
      </c>
      <c r="P72" s="6">
        <v>31034.95</v>
      </c>
    </row>
    <row r="73" spans="1:16" outlineLevel="2" x14ac:dyDescent="0.2">
      <c r="A73" s="5">
        <v>46227</v>
      </c>
      <c r="B73" s="2">
        <v>161096</v>
      </c>
      <c r="C73" s="2">
        <v>3</v>
      </c>
      <c r="D73" s="2" t="s">
        <v>35</v>
      </c>
      <c r="E73" s="2" t="s">
        <v>36</v>
      </c>
      <c r="F73" s="2" t="s">
        <v>45</v>
      </c>
      <c r="G73" s="2" t="s">
        <v>114</v>
      </c>
      <c r="H73" s="2" t="s">
        <v>21</v>
      </c>
      <c r="I73" s="2" t="s">
        <v>127</v>
      </c>
      <c r="J73" s="2">
        <v>40</v>
      </c>
      <c r="K73" s="2" t="s">
        <v>29</v>
      </c>
      <c r="L73" s="2">
        <v>2579</v>
      </c>
      <c r="M73" s="2" t="s">
        <v>125</v>
      </c>
      <c r="N73" s="2">
        <v>105</v>
      </c>
      <c r="O73" s="6">
        <v>3265773.12</v>
      </c>
      <c r="P73" s="6">
        <v>31102.6</v>
      </c>
    </row>
    <row r="74" spans="1:16" outlineLevel="1" x14ac:dyDescent="0.2">
      <c r="A74" s="5"/>
      <c r="D74" s="4" t="s">
        <v>182</v>
      </c>
      <c r="E74" s="4"/>
      <c r="F74" s="4"/>
      <c r="G74" s="4"/>
      <c r="H74" s="4"/>
      <c r="I74" s="4"/>
      <c r="J74" s="4"/>
      <c r="K74" s="4"/>
      <c r="L74" s="4"/>
      <c r="M74" s="4"/>
      <c r="N74" s="4">
        <f>SUBTOTAL(9,N64:N73)</f>
        <v>1260</v>
      </c>
      <c r="O74" s="7">
        <f>SUBTOTAL(9,O64:O73)</f>
        <v>43239079.059999995</v>
      </c>
      <c r="P74" s="7">
        <f>+O74/N74</f>
        <v>34316.729412698405</v>
      </c>
    </row>
    <row r="75" spans="1:16" outlineLevel="2" x14ac:dyDescent="0.2">
      <c r="A75" s="5">
        <v>46223</v>
      </c>
      <c r="B75" s="2">
        <v>161052</v>
      </c>
      <c r="C75" s="2">
        <v>2</v>
      </c>
      <c r="D75" s="2" t="s">
        <v>117</v>
      </c>
      <c r="E75" s="2" t="s">
        <v>118</v>
      </c>
      <c r="F75" s="2" t="s">
        <v>45</v>
      </c>
      <c r="G75" s="2" t="s">
        <v>22</v>
      </c>
      <c r="H75" s="2" t="s">
        <v>21</v>
      </c>
      <c r="I75" s="2" t="s">
        <v>21</v>
      </c>
      <c r="J75" s="2">
        <v>5</v>
      </c>
      <c r="K75" s="2" t="s">
        <v>49</v>
      </c>
      <c r="L75" s="2">
        <v>2521</v>
      </c>
      <c r="M75" s="2" t="s">
        <v>50</v>
      </c>
      <c r="N75" s="2">
        <v>2</v>
      </c>
      <c r="O75" s="6">
        <v>60069.54</v>
      </c>
      <c r="P75" s="6">
        <v>30034.77</v>
      </c>
    </row>
    <row r="76" spans="1:16" outlineLevel="2" x14ac:dyDescent="0.2">
      <c r="A76" s="5">
        <v>46223</v>
      </c>
      <c r="B76" s="2">
        <v>161052</v>
      </c>
      <c r="C76" s="2">
        <v>3</v>
      </c>
      <c r="D76" s="2" t="s">
        <v>117</v>
      </c>
      <c r="E76" s="2" t="s">
        <v>119</v>
      </c>
      <c r="F76" s="2" t="s">
        <v>45</v>
      </c>
      <c r="G76" s="2" t="s">
        <v>22</v>
      </c>
      <c r="H76" s="2" t="s">
        <v>21</v>
      </c>
      <c r="I76" s="2" t="s">
        <v>21</v>
      </c>
      <c r="J76" s="2">
        <v>5</v>
      </c>
      <c r="K76" s="2" t="s">
        <v>49</v>
      </c>
      <c r="L76" s="2">
        <v>2521</v>
      </c>
      <c r="M76" s="2" t="s">
        <v>50</v>
      </c>
      <c r="N76" s="2">
        <v>9</v>
      </c>
      <c r="O76" s="6">
        <v>258644.91</v>
      </c>
      <c r="P76" s="6">
        <v>28738.32</v>
      </c>
    </row>
    <row r="77" spans="1:16" outlineLevel="1" x14ac:dyDescent="0.2">
      <c r="A77" s="5"/>
      <c r="D77" s="4" t="s">
        <v>183</v>
      </c>
      <c r="E77" s="4"/>
      <c r="F77" s="4"/>
      <c r="G77" s="4"/>
      <c r="H77" s="4"/>
      <c r="I77" s="4"/>
      <c r="J77" s="4"/>
      <c r="K77" s="4"/>
      <c r="L77" s="4"/>
      <c r="M77" s="4"/>
      <c r="N77" s="4">
        <f>SUBTOTAL(9,N75:N76)</f>
        <v>11</v>
      </c>
      <c r="O77" s="7">
        <f>SUBTOTAL(9,O75:O76)</f>
        <v>318714.45</v>
      </c>
      <c r="P77" s="7">
        <f>+O77/N77</f>
        <v>28974.040909090909</v>
      </c>
    </row>
    <row r="78" spans="1:16" outlineLevel="2" x14ac:dyDescent="0.2">
      <c r="A78" s="5">
        <v>46209</v>
      </c>
      <c r="B78" s="2">
        <v>160664</v>
      </c>
      <c r="C78" s="2">
        <v>1</v>
      </c>
      <c r="D78" s="2" t="s">
        <v>69</v>
      </c>
      <c r="E78" s="2" t="s">
        <v>70</v>
      </c>
      <c r="F78" s="2" t="s">
        <v>21</v>
      </c>
      <c r="G78" s="2" t="s">
        <v>22</v>
      </c>
      <c r="H78" s="2" t="s">
        <v>21</v>
      </c>
      <c r="I78" s="2" t="s">
        <v>21</v>
      </c>
      <c r="J78" s="2">
        <v>78</v>
      </c>
      <c r="K78" s="2" t="s">
        <v>71</v>
      </c>
      <c r="L78" s="2">
        <v>226</v>
      </c>
      <c r="M78" s="2" t="s">
        <v>42</v>
      </c>
      <c r="N78" s="2">
        <v>1</v>
      </c>
      <c r="O78" s="6">
        <v>20233.66</v>
      </c>
      <c r="P78" s="6">
        <v>20233.66</v>
      </c>
    </row>
    <row r="79" spans="1:16" outlineLevel="1" x14ac:dyDescent="0.2">
      <c r="A79" s="5"/>
      <c r="D79" s="4" t="s">
        <v>184</v>
      </c>
      <c r="E79" s="4"/>
      <c r="F79" s="4"/>
      <c r="G79" s="4"/>
      <c r="H79" s="4"/>
      <c r="I79" s="4"/>
      <c r="J79" s="4"/>
      <c r="K79" s="4"/>
      <c r="L79" s="4"/>
      <c r="M79" s="4"/>
      <c r="N79" s="4">
        <f>SUBTOTAL(9,N78:N78)</f>
        <v>1</v>
      </c>
      <c r="O79" s="7">
        <f>SUBTOTAL(9,O78:O78)</f>
        <v>20233.66</v>
      </c>
      <c r="P79" s="7">
        <f>+O79/N79</f>
        <v>20233.66</v>
      </c>
    </row>
    <row r="80" spans="1:16" outlineLevel="2" x14ac:dyDescent="0.2">
      <c r="A80" s="5">
        <v>46223</v>
      </c>
      <c r="B80" s="2">
        <v>160514</v>
      </c>
      <c r="C80" s="2">
        <v>1</v>
      </c>
      <c r="D80" s="2" t="s">
        <v>57</v>
      </c>
      <c r="E80" s="2" t="s">
        <v>21</v>
      </c>
      <c r="F80" s="2" t="s">
        <v>58</v>
      </c>
      <c r="G80" s="2" t="s">
        <v>22</v>
      </c>
      <c r="H80" s="2" t="s">
        <v>21</v>
      </c>
      <c r="I80" s="2" t="s">
        <v>59</v>
      </c>
      <c r="J80" s="2">
        <v>1</v>
      </c>
      <c r="K80" s="2" t="s">
        <v>33</v>
      </c>
      <c r="L80" s="2">
        <v>2024</v>
      </c>
      <c r="M80" s="2" t="s">
        <v>60</v>
      </c>
      <c r="N80" s="2">
        <v>43</v>
      </c>
      <c r="O80" s="6">
        <v>1247156.71</v>
      </c>
      <c r="P80" s="6">
        <v>29003.64</v>
      </c>
    </row>
    <row r="81" spans="1:16" outlineLevel="2" x14ac:dyDescent="0.2">
      <c r="A81" s="5">
        <v>46223</v>
      </c>
      <c r="B81" s="2">
        <v>160514</v>
      </c>
      <c r="C81" s="2">
        <v>2</v>
      </c>
      <c r="D81" s="2" t="s">
        <v>57</v>
      </c>
      <c r="E81" s="2" t="s">
        <v>21</v>
      </c>
      <c r="F81" s="2" t="s">
        <v>58</v>
      </c>
      <c r="G81" s="2" t="s">
        <v>22</v>
      </c>
      <c r="H81" s="2" t="s">
        <v>21</v>
      </c>
      <c r="I81" s="2" t="s">
        <v>61</v>
      </c>
      <c r="J81" s="2">
        <v>1</v>
      </c>
      <c r="K81" s="2" t="s">
        <v>33</v>
      </c>
      <c r="L81" s="2">
        <v>2024</v>
      </c>
      <c r="M81" s="2" t="s">
        <v>60</v>
      </c>
      <c r="N81" s="2">
        <v>27</v>
      </c>
      <c r="O81" s="6">
        <v>601985.66</v>
      </c>
      <c r="P81" s="6">
        <v>22295.77</v>
      </c>
    </row>
    <row r="82" spans="1:16" outlineLevel="1" x14ac:dyDescent="0.2">
      <c r="A82" s="5"/>
      <c r="D82" s="4" t="s">
        <v>185</v>
      </c>
      <c r="E82" s="4"/>
      <c r="F82" s="4"/>
      <c r="G82" s="4"/>
      <c r="H82" s="4"/>
      <c r="I82" s="4"/>
      <c r="J82" s="4"/>
      <c r="K82" s="4"/>
      <c r="L82" s="4"/>
      <c r="M82" s="4"/>
      <c r="N82" s="4">
        <f>SUBTOTAL(9,N80:N81)</f>
        <v>70</v>
      </c>
      <c r="O82" s="7">
        <f>SUBTOTAL(9,O80:O81)</f>
        <v>1849142.37</v>
      </c>
      <c r="P82" s="7">
        <f>+O82/N82</f>
        <v>26416.319571428572</v>
      </c>
    </row>
    <row r="83" spans="1:16" outlineLevel="2" x14ac:dyDescent="0.2">
      <c r="A83" s="5">
        <v>46225</v>
      </c>
      <c r="B83" s="2">
        <v>161133</v>
      </c>
      <c r="C83" s="2">
        <v>2</v>
      </c>
      <c r="D83" s="2" t="s">
        <v>135</v>
      </c>
      <c r="E83" s="2" t="s">
        <v>136</v>
      </c>
      <c r="F83" s="2" t="s">
        <v>58</v>
      </c>
      <c r="G83" s="2" t="s">
        <v>22</v>
      </c>
      <c r="H83" s="2" t="s">
        <v>21</v>
      </c>
      <c r="I83" s="2" t="s">
        <v>96</v>
      </c>
      <c r="J83" s="2">
        <v>1</v>
      </c>
      <c r="K83" s="2" t="s">
        <v>33</v>
      </c>
      <c r="L83" s="2">
        <v>1037</v>
      </c>
      <c r="M83" s="2" t="s">
        <v>137</v>
      </c>
      <c r="N83" s="2">
        <v>39</v>
      </c>
      <c r="O83" s="6">
        <v>2211975.35</v>
      </c>
      <c r="P83" s="6">
        <v>56717.32</v>
      </c>
    </row>
    <row r="84" spans="1:16" outlineLevel="2" x14ac:dyDescent="0.2">
      <c r="A84" s="5">
        <v>46230</v>
      </c>
      <c r="B84" s="2">
        <v>161133</v>
      </c>
      <c r="C84" s="2">
        <v>3</v>
      </c>
      <c r="D84" s="2" t="s">
        <v>135</v>
      </c>
      <c r="E84" s="2" t="s">
        <v>136</v>
      </c>
      <c r="F84" s="2" t="s">
        <v>58</v>
      </c>
      <c r="G84" s="2" t="s">
        <v>22</v>
      </c>
      <c r="H84" s="2" t="s">
        <v>21</v>
      </c>
      <c r="I84" s="2" t="s">
        <v>138</v>
      </c>
      <c r="J84" s="2">
        <v>1</v>
      </c>
      <c r="K84" s="2" t="s">
        <v>33</v>
      </c>
      <c r="L84" s="2">
        <v>1037</v>
      </c>
      <c r="M84" s="2" t="s">
        <v>137</v>
      </c>
      <c r="N84" s="2">
        <v>6</v>
      </c>
      <c r="O84" s="6">
        <v>331425.69</v>
      </c>
      <c r="P84" s="6">
        <v>55237.62</v>
      </c>
    </row>
    <row r="85" spans="1:16" outlineLevel="1" x14ac:dyDescent="0.2">
      <c r="A85" s="5"/>
      <c r="D85" s="4" t="s">
        <v>186</v>
      </c>
      <c r="E85" s="4"/>
      <c r="F85" s="4"/>
      <c r="G85" s="4"/>
      <c r="H85" s="4"/>
      <c r="I85" s="4"/>
      <c r="J85" s="4"/>
      <c r="K85" s="4"/>
      <c r="L85" s="4"/>
      <c r="M85" s="4"/>
      <c r="N85" s="4">
        <f>SUBTOTAL(9,N83:N84)</f>
        <v>45</v>
      </c>
      <c r="O85" s="7">
        <f>SUBTOTAL(9,O83:O84)</f>
        <v>2543401.04</v>
      </c>
      <c r="P85" s="7">
        <f>+O85/N85</f>
        <v>56520.023111111113</v>
      </c>
    </row>
    <row r="86" spans="1:16" outlineLevel="2" x14ac:dyDescent="0.2">
      <c r="A86" s="5">
        <v>46227</v>
      </c>
      <c r="B86" s="2">
        <v>161142</v>
      </c>
      <c r="C86" s="2">
        <v>5</v>
      </c>
      <c r="D86" s="2" t="s">
        <v>139</v>
      </c>
      <c r="E86" s="2" t="s">
        <v>21</v>
      </c>
      <c r="F86" s="2" t="s">
        <v>140</v>
      </c>
      <c r="G86" s="2" t="s">
        <v>22</v>
      </c>
      <c r="H86" s="2" t="s">
        <v>21</v>
      </c>
      <c r="I86" s="2" t="s">
        <v>21</v>
      </c>
      <c r="J86" s="2">
        <v>1</v>
      </c>
      <c r="K86" s="2" t="s">
        <v>33</v>
      </c>
      <c r="L86" s="2">
        <v>25213</v>
      </c>
      <c r="M86" s="2" t="s">
        <v>141</v>
      </c>
      <c r="N86" s="2">
        <v>1</v>
      </c>
      <c r="O86" s="6">
        <v>91175.01</v>
      </c>
      <c r="P86" s="6">
        <v>91175.01</v>
      </c>
    </row>
    <row r="87" spans="1:16" outlineLevel="2" x14ac:dyDescent="0.2">
      <c r="A87" s="5">
        <v>46230</v>
      </c>
      <c r="B87" s="2">
        <v>161165</v>
      </c>
      <c r="C87" s="2">
        <v>1</v>
      </c>
      <c r="D87" s="2" t="s">
        <v>139</v>
      </c>
      <c r="E87" s="2" t="s">
        <v>21</v>
      </c>
      <c r="F87" s="2" t="s">
        <v>140</v>
      </c>
      <c r="G87" s="2" t="s">
        <v>22</v>
      </c>
      <c r="H87" s="2" t="s">
        <v>21</v>
      </c>
      <c r="I87" s="2" t="s">
        <v>21</v>
      </c>
      <c r="J87" s="2">
        <v>41</v>
      </c>
      <c r="K87" s="2" t="s">
        <v>103</v>
      </c>
      <c r="L87" s="2">
        <v>25213</v>
      </c>
      <c r="M87" s="2" t="s">
        <v>141</v>
      </c>
      <c r="N87" s="2">
        <v>64</v>
      </c>
      <c r="O87" s="6">
        <v>233397.69</v>
      </c>
      <c r="P87" s="6">
        <v>3646.84</v>
      </c>
    </row>
    <row r="88" spans="1:16" outlineLevel="2" x14ac:dyDescent="0.2">
      <c r="A88" s="5">
        <v>46230</v>
      </c>
      <c r="B88" s="2">
        <v>161165</v>
      </c>
      <c r="C88" s="2">
        <v>5</v>
      </c>
      <c r="D88" s="2" t="s">
        <v>139</v>
      </c>
      <c r="E88" s="2" t="s">
        <v>21</v>
      </c>
      <c r="F88" s="2" t="s">
        <v>140</v>
      </c>
      <c r="G88" s="2" t="s">
        <v>106</v>
      </c>
      <c r="H88" s="2" t="s">
        <v>21</v>
      </c>
      <c r="I88" s="2" t="s">
        <v>21</v>
      </c>
      <c r="J88" s="2">
        <v>1</v>
      </c>
      <c r="K88" s="2" t="s">
        <v>33</v>
      </c>
      <c r="L88" s="2">
        <v>25213</v>
      </c>
      <c r="M88" s="2" t="s">
        <v>141</v>
      </c>
      <c r="N88" s="2">
        <v>2</v>
      </c>
      <c r="O88" s="6">
        <v>173015.63</v>
      </c>
      <c r="P88" s="6">
        <v>86507.82</v>
      </c>
    </row>
    <row r="89" spans="1:16" outlineLevel="1" x14ac:dyDescent="0.2">
      <c r="A89" s="5"/>
      <c r="D89" s="4" t="s">
        <v>187</v>
      </c>
      <c r="E89" s="4"/>
      <c r="F89" s="4"/>
      <c r="G89" s="4"/>
      <c r="H89" s="4"/>
      <c r="I89" s="4"/>
      <c r="J89" s="4"/>
      <c r="K89" s="4"/>
      <c r="L89" s="4"/>
      <c r="M89" s="4"/>
      <c r="N89" s="4">
        <f>SUBTOTAL(9,N86:N88)</f>
        <v>67</v>
      </c>
      <c r="O89" s="7">
        <f>SUBTOTAL(9,O86:O88)</f>
        <v>497588.33</v>
      </c>
      <c r="P89" s="7">
        <f>+O89/N89</f>
        <v>7426.6914925373139</v>
      </c>
    </row>
    <row r="90" spans="1:16" outlineLevel="2" x14ac:dyDescent="0.2">
      <c r="A90" s="5">
        <v>46230</v>
      </c>
      <c r="B90" s="2">
        <v>161164</v>
      </c>
      <c r="C90" s="2">
        <v>1</v>
      </c>
      <c r="D90" s="2" t="s">
        <v>149</v>
      </c>
      <c r="E90" s="2" t="s">
        <v>150</v>
      </c>
      <c r="F90" s="2" t="s">
        <v>140</v>
      </c>
      <c r="G90" s="2" t="s">
        <v>22</v>
      </c>
      <c r="H90" s="2" t="s">
        <v>21</v>
      </c>
      <c r="I90" s="2" t="s">
        <v>21</v>
      </c>
      <c r="J90" s="2">
        <v>41</v>
      </c>
      <c r="K90" s="2" t="s">
        <v>103</v>
      </c>
      <c r="L90" s="2">
        <v>2338</v>
      </c>
      <c r="M90" s="2" t="s">
        <v>151</v>
      </c>
      <c r="N90" s="2">
        <v>510</v>
      </c>
      <c r="O90" s="6">
        <v>424829.08</v>
      </c>
      <c r="P90" s="6">
        <v>833</v>
      </c>
    </row>
    <row r="91" spans="1:16" outlineLevel="1" x14ac:dyDescent="0.2">
      <c r="A91" s="5"/>
      <c r="D91" s="4" t="s">
        <v>188</v>
      </c>
      <c r="E91" s="4"/>
      <c r="F91" s="4"/>
      <c r="G91" s="4"/>
      <c r="H91" s="4"/>
      <c r="I91" s="4"/>
      <c r="J91" s="4"/>
      <c r="K91" s="4"/>
      <c r="L91" s="4"/>
      <c r="M91" s="4"/>
      <c r="N91" s="4">
        <f>SUBTOTAL(9,N90:N90)</f>
        <v>510</v>
      </c>
      <c r="O91" s="7">
        <f>SUBTOTAL(9,O90:O90)</f>
        <v>424829.08</v>
      </c>
      <c r="P91" s="7">
        <f>+O91/N91</f>
        <v>832.99819607843142</v>
      </c>
    </row>
    <row r="92" spans="1:16" outlineLevel="2" x14ac:dyDescent="0.2">
      <c r="A92" s="5">
        <v>46230</v>
      </c>
      <c r="B92" s="2">
        <v>161218</v>
      </c>
      <c r="C92" s="2">
        <v>11</v>
      </c>
      <c r="D92" s="2" t="s">
        <v>51</v>
      </c>
      <c r="E92" s="2" t="s">
        <v>162</v>
      </c>
      <c r="F92" s="2" t="s">
        <v>102</v>
      </c>
      <c r="G92" s="2" t="s">
        <v>22</v>
      </c>
      <c r="H92" s="2" t="s">
        <v>21</v>
      </c>
      <c r="I92" s="2" t="s">
        <v>21</v>
      </c>
      <c r="J92" s="2">
        <v>2</v>
      </c>
      <c r="K92" s="2" t="s">
        <v>54</v>
      </c>
      <c r="L92" s="2">
        <v>801</v>
      </c>
      <c r="M92" s="2" t="s">
        <v>55</v>
      </c>
      <c r="N92" s="2">
        <v>16</v>
      </c>
      <c r="O92" s="6">
        <v>532828.80000000005</v>
      </c>
      <c r="P92" s="6">
        <v>33301.800000000003</v>
      </c>
    </row>
    <row r="93" spans="1:16" outlineLevel="2" x14ac:dyDescent="0.2">
      <c r="A93" s="5">
        <v>46230</v>
      </c>
      <c r="B93" s="2">
        <v>161218</v>
      </c>
      <c r="C93" s="2">
        <v>12</v>
      </c>
      <c r="D93" s="2" t="s">
        <v>51</v>
      </c>
      <c r="E93" s="2" t="s">
        <v>162</v>
      </c>
      <c r="F93" s="2" t="s">
        <v>102</v>
      </c>
      <c r="G93" s="2" t="s">
        <v>22</v>
      </c>
      <c r="H93" s="2" t="s">
        <v>21</v>
      </c>
      <c r="I93" s="2" t="s">
        <v>21</v>
      </c>
      <c r="J93" s="2">
        <v>41</v>
      </c>
      <c r="K93" s="2" t="s">
        <v>103</v>
      </c>
      <c r="L93" s="2">
        <v>801</v>
      </c>
      <c r="M93" s="2" t="s">
        <v>55</v>
      </c>
      <c r="N93" s="2">
        <v>42</v>
      </c>
      <c r="O93" s="6">
        <v>864213.01</v>
      </c>
      <c r="P93" s="6">
        <v>20576.5</v>
      </c>
    </row>
    <row r="94" spans="1:16" outlineLevel="2" x14ac:dyDescent="0.2">
      <c r="A94" s="5">
        <v>46223</v>
      </c>
      <c r="B94" s="2">
        <v>161115</v>
      </c>
      <c r="C94" s="2">
        <v>14</v>
      </c>
      <c r="D94" s="2" t="s">
        <v>51</v>
      </c>
      <c r="E94" s="2" t="s">
        <v>129</v>
      </c>
      <c r="F94" s="2" t="s">
        <v>102</v>
      </c>
      <c r="G94" s="2" t="s">
        <v>22</v>
      </c>
      <c r="H94" s="2" t="s">
        <v>21</v>
      </c>
      <c r="I94" s="2" t="s">
        <v>21</v>
      </c>
      <c r="J94" s="2">
        <v>41</v>
      </c>
      <c r="K94" s="2" t="s">
        <v>103</v>
      </c>
      <c r="L94" s="2">
        <v>801</v>
      </c>
      <c r="M94" s="2" t="s">
        <v>55</v>
      </c>
      <c r="N94" s="2">
        <v>12</v>
      </c>
      <c r="O94" s="6">
        <v>233469.42</v>
      </c>
      <c r="P94" s="6">
        <v>19455.79</v>
      </c>
    </row>
    <row r="95" spans="1:16" outlineLevel="2" x14ac:dyDescent="0.2">
      <c r="A95" s="5">
        <v>46230</v>
      </c>
      <c r="B95" s="2">
        <v>161218</v>
      </c>
      <c r="C95" s="2">
        <v>14</v>
      </c>
      <c r="D95" s="2" t="s">
        <v>51</v>
      </c>
      <c r="E95" s="2" t="s">
        <v>129</v>
      </c>
      <c r="F95" s="2" t="s">
        <v>102</v>
      </c>
      <c r="G95" s="2" t="s">
        <v>22</v>
      </c>
      <c r="H95" s="2" t="s">
        <v>21</v>
      </c>
      <c r="I95" s="2" t="s">
        <v>21</v>
      </c>
      <c r="J95" s="2">
        <v>41</v>
      </c>
      <c r="K95" s="2" t="s">
        <v>103</v>
      </c>
      <c r="L95" s="2">
        <v>801</v>
      </c>
      <c r="M95" s="2" t="s">
        <v>55</v>
      </c>
      <c r="N95" s="2">
        <v>2</v>
      </c>
      <c r="O95" s="6">
        <v>40467.32</v>
      </c>
      <c r="P95" s="6">
        <v>20233.66</v>
      </c>
    </row>
    <row r="96" spans="1:16" outlineLevel="2" x14ac:dyDescent="0.2">
      <c r="A96" s="5">
        <v>46223</v>
      </c>
      <c r="B96" s="2">
        <v>161115</v>
      </c>
      <c r="C96" s="2">
        <v>10</v>
      </c>
      <c r="D96" s="2" t="s">
        <v>51</v>
      </c>
      <c r="E96" s="2" t="s">
        <v>128</v>
      </c>
      <c r="F96" s="2" t="s">
        <v>102</v>
      </c>
      <c r="G96" s="2" t="s">
        <v>22</v>
      </c>
      <c r="H96" s="2" t="s">
        <v>21</v>
      </c>
      <c r="I96" s="2" t="s">
        <v>21</v>
      </c>
      <c r="J96" s="2">
        <v>41</v>
      </c>
      <c r="K96" s="2" t="s">
        <v>103</v>
      </c>
      <c r="L96" s="2">
        <v>801</v>
      </c>
      <c r="M96" s="2" t="s">
        <v>55</v>
      </c>
      <c r="N96" s="2">
        <v>10</v>
      </c>
      <c r="O96" s="6">
        <v>185534.61</v>
      </c>
      <c r="P96" s="6">
        <v>18553.46</v>
      </c>
    </row>
    <row r="97" spans="1:16" outlineLevel="2" x14ac:dyDescent="0.2">
      <c r="A97" s="5">
        <v>46230</v>
      </c>
      <c r="B97" s="2">
        <v>161218</v>
      </c>
      <c r="C97" s="2">
        <v>25</v>
      </c>
      <c r="D97" s="2" t="s">
        <v>51</v>
      </c>
      <c r="E97" s="2" t="s">
        <v>163</v>
      </c>
      <c r="F97" s="2" t="s">
        <v>102</v>
      </c>
      <c r="G97" s="2" t="s">
        <v>22</v>
      </c>
      <c r="H97" s="2" t="s">
        <v>21</v>
      </c>
      <c r="I97" s="2" t="s">
        <v>21</v>
      </c>
      <c r="J97" s="2">
        <v>41</v>
      </c>
      <c r="K97" s="2" t="s">
        <v>103</v>
      </c>
      <c r="L97" s="2">
        <v>801</v>
      </c>
      <c r="M97" s="2" t="s">
        <v>55</v>
      </c>
      <c r="N97" s="2">
        <v>3</v>
      </c>
      <c r="O97" s="6">
        <v>77502.87</v>
      </c>
      <c r="P97" s="6">
        <v>25834.29</v>
      </c>
    </row>
    <row r="98" spans="1:16" outlineLevel="2" x14ac:dyDescent="0.2">
      <c r="A98" s="5">
        <v>46227</v>
      </c>
      <c r="B98" s="2">
        <v>160509</v>
      </c>
      <c r="C98" s="2">
        <v>311</v>
      </c>
      <c r="D98" s="2" t="s">
        <v>51</v>
      </c>
      <c r="E98" s="2" t="s">
        <v>52</v>
      </c>
      <c r="F98" s="2" t="s">
        <v>53</v>
      </c>
      <c r="G98" s="2" t="s">
        <v>21</v>
      </c>
      <c r="H98" s="2" t="s">
        <v>21</v>
      </c>
      <c r="I98" s="2" t="s">
        <v>21</v>
      </c>
      <c r="J98" s="2">
        <v>2</v>
      </c>
      <c r="K98" s="2" t="s">
        <v>54</v>
      </c>
      <c r="L98" s="2">
        <v>801</v>
      </c>
      <c r="M98" s="2" t="s">
        <v>55</v>
      </c>
      <c r="N98" s="2">
        <v>4</v>
      </c>
      <c r="O98" s="6">
        <v>21194.52</v>
      </c>
      <c r="P98" s="6">
        <v>5298.63</v>
      </c>
    </row>
    <row r="99" spans="1:16" outlineLevel="2" x14ac:dyDescent="0.2">
      <c r="A99" s="5">
        <v>46218</v>
      </c>
      <c r="B99" s="2">
        <v>160911</v>
      </c>
      <c r="C99" s="2">
        <v>313</v>
      </c>
      <c r="D99" s="2" t="s">
        <v>51</v>
      </c>
      <c r="E99" s="2" t="s">
        <v>52</v>
      </c>
      <c r="F99" s="2" t="s">
        <v>53</v>
      </c>
      <c r="G99" s="2" t="s">
        <v>21</v>
      </c>
      <c r="H99" s="2" t="s">
        <v>21</v>
      </c>
      <c r="I99" s="2" t="s">
        <v>21</v>
      </c>
      <c r="J99" s="2">
        <v>41</v>
      </c>
      <c r="K99" s="2" t="s">
        <v>103</v>
      </c>
      <c r="L99" s="2">
        <v>801</v>
      </c>
      <c r="M99" s="2" t="s">
        <v>55</v>
      </c>
      <c r="N99" s="2">
        <v>9</v>
      </c>
      <c r="O99" s="6">
        <v>62622.7</v>
      </c>
      <c r="P99" s="6">
        <v>6958.08</v>
      </c>
    </row>
    <row r="100" spans="1:16" outlineLevel="2" x14ac:dyDescent="0.2">
      <c r="A100" s="5">
        <v>46220</v>
      </c>
      <c r="B100" s="2">
        <v>161017</v>
      </c>
      <c r="C100" s="2">
        <v>13</v>
      </c>
      <c r="D100" s="2" t="s">
        <v>51</v>
      </c>
      <c r="E100" s="2" t="s">
        <v>112</v>
      </c>
      <c r="F100" s="2" t="s">
        <v>102</v>
      </c>
      <c r="G100" s="2" t="s">
        <v>22</v>
      </c>
      <c r="H100" s="2" t="s">
        <v>21</v>
      </c>
      <c r="I100" s="2" t="s">
        <v>21</v>
      </c>
      <c r="J100" s="2">
        <v>41</v>
      </c>
      <c r="K100" s="2" t="s">
        <v>103</v>
      </c>
      <c r="L100" s="2">
        <v>801</v>
      </c>
      <c r="M100" s="2" t="s">
        <v>55</v>
      </c>
      <c r="N100" s="2">
        <v>14</v>
      </c>
      <c r="O100" s="6">
        <v>132054.06</v>
      </c>
      <c r="P100" s="6">
        <v>9432.43</v>
      </c>
    </row>
    <row r="101" spans="1:16" outlineLevel="2" x14ac:dyDescent="0.2">
      <c r="A101" s="5">
        <v>46220</v>
      </c>
      <c r="B101" s="2">
        <v>161017</v>
      </c>
      <c r="C101" s="2">
        <v>11</v>
      </c>
      <c r="D101" s="2" t="s">
        <v>51</v>
      </c>
      <c r="E101" s="2" t="s">
        <v>110</v>
      </c>
      <c r="F101" s="2" t="s">
        <v>102</v>
      </c>
      <c r="G101" s="2" t="s">
        <v>22</v>
      </c>
      <c r="H101" s="2" t="s">
        <v>21</v>
      </c>
      <c r="I101" s="2" t="s">
        <v>21</v>
      </c>
      <c r="J101" s="2">
        <v>41</v>
      </c>
      <c r="K101" s="2" t="s">
        <v>103</v>
      </c>
      <c r="L101" s="2">
        <v>801</v>
      </c>
      <c r="M101" s="2" t="s">
        <v>55</v>
      </c>
      <c r="N101" s="2">
        <v>16</v>
      </c>
      <c r="O101" s="6">
        <v>232261.44</v>
      </c>
      <c r="P101" s="6">
        <v>14516.34</v>
      </c>
    </row>
    <row r="102" spans="1:16" outlineLevel="2" x14ac:dyDescent="0.2">
      <c r="A102" s="5">
        <v>46220</v>
      </c>
      <c r="B102" s="2">
        <v>161017</v>
      </c>
      <c r="C102" s="2">
        <v>12</v>
      </c>
      <c r="D102" s="2" t="s">
        <v>51</v>
      </c>
      <c r="E102" s="2" t="s">
        <v>111</v>
      </c>
      <c r="F102" s="2" t="s">
        <v>102</v>
      </c>
      <c r="G102" s="2" t="s">
        <v>22</v>
      </c>
      <c r="H102" s="2" t="s">
        <v>21</v>
      </c>
      <c r="I102" s="2" t="s">
        <v>21</v>
      </c>
      <c r="J102" s="2">
        <v>41</v>
      </c>
      <c r="K102" s="2" t="s">
        <v>103</v>
      </c>
      <c r="L102" s="2">
        <v>801</v>
      </c>
      <c r="M102" s="2" t="s">
        <v>55</v>
      </c>
      <c r="N102" s="2">
        <v>1</v>
      </c>
      <c r="O102" s="6">
        <v>5298.63</v>
      </c>
      <c r="P102" s="6">
        <v>5298.63</v>
      </c>
    </row>
    <row r="103" spans="1:16" outlineLevel="2" x14ac:dyDescent="0.2">
      <c r="A103" s="5">
        <v>46225</v>
      </c>
      <c r="B103" s="2">
        <v>161132</v>
      </c>
      <c r="C103" s="2">
        <v>6</v>
      </c>
      <c r="D103" s="2" t="s">
        <v>51</v>
      </c>
      <c r="E103" s="2" t="s">
        <v>134</v>
      </c>
      <c r="F103" s="2" t="s">
        <v>102</v>
      </c>
      <c r="G103" s="2" t="s">
        <v>22</v>
      </c>
      <c r="H103" s="2" t="s">
        <v>21</v>
      </c>
      <c r="I103" s="2" t="s">
        <v>21</v>
      </c>
      <c r="J103" s="2">
        <v>2</v>
      </c>
      <c r="K103" s="2" t="s">
        <v>54</v>
      </c>
      <c r="L103" s="2">
        <v>801</v>
      </c>
      <c r="M103" s="2" t="s">
        <v>55</v>
      </c>
      <c r="N103" s="2">
        <v>2</v>
      </c>
      <c r="O103" s="6">
        <v>44201.08</v>
      </c>
      <c r="P103" s="6">
        <v>22100.54</v>
      </c>
    </row>
    <row r="104" spans="1:16" outlineLevel="2" x14ac:dyDescent="0.2">
      <c r="A104" s="5">
        <v>46218</v>
      </c>
      <c r="B104" s="2">
        <v>160933</v>
      </c>
      <c r="C104" s="2">
        <v>1</v>
      </c>
      <c r="D104" s="2" t="s">
        <v>51</v>
      </c>
      <c r="E104" s="2" t="s">
        <v>104</v>
      </c>
      <c r="F104" s="2" t="s">
        <v>27</v>
      </c>
      <c r="G104" s="2" t="s">
        <v>22</v>
      </c>
      <c r="H104" s="2" t="s">
        <v>21</v>
      </c>
      <c r="I104" s="2" t="s">
        <v>21</v>
      </c>
      <c r="J104" s="2">
        <v>40</v>
      </c>
      <c r="K104" s="2" t="s">
        <v>29</v>
      </c>
      <c r="L104" s="2">
        <v>21</v>
      </c>
      <c r="M104" s="2" t="s">
        <v>105</v>
      </c>
      <c r="N104" s="2">
        <v>3</v>
      </c>
      <c r="O104" s="6">
        <v>38298.42</v>
      </c>
      <c r="P104" s="6">
        <v>12766.14</v>
      </c>
    </row>
    <row r="105" spans="1:16" outlineLevel="2" x14ac:dyDescent="0.2">
      <c r="A105" s="5">
        <v>46218</v>
      </c>
      <c r="B105" s="2">
        <v>160936</v>
      </c>
      <c r="C105" s="2">
        <v>7</v>
      </c>
      <c r="D105" s="2" t="s">
        <v>51</v>
      </c>
      <c r="E105" s="2" t="s">
        <v>104</v>
      </c>
      <c r="F105" s="2" t="s">
        <v>102</v>
      </c>
      <c r="G105" s="2" t="s">
        <v>106</v>
      </c>
      <c r="H105" s="2" t="s">
        <v>21</v>
      </c>
      <c r="I105" s="2" t="s">
        <v>21</v>
      </c>
      <c r="J105" s="2">
        <v>2</v>
      </c>
      <c r="K105" s="2" t="s">
        <v>54</v>
      </c>
      <c r="L105" s="2">
        <v>106</v>
      </c>
      <c r="M105" s="2" t="s">
        <v>107</v>
      </c>
      <c r="N105" s="2">
        <v>4</v>
      </c>
      <c r="O105" s="6">
        <v>18064.759999999998</v>
      </c>
      <c r="P105" s="6">
        <v>4516.1899999999996</v>
      </c>
    </row>
    <row r="106" spans="1:16" outlineLevel="2" x14ac:dyDescent="0.2">
      <c r="A106" s="5">
        <v>46230</v>
      </c>
      <c r="B106" s="2">
        <v>161216</v>
      </c>
      <c r="C106" s="2">
        <v>6</v>
      </c>
      <c r="D106" s="2" t="s">
        <v>51</v>
      </c>
      <c r="E106" s="2" t="s">
        <v>104</v>
      </c>
      <c r="F106" s="2" t="s">
        <v>102</v>
      </c>
      <c r="G106" s="2" t="s">
        <v>22</v>
      </c>
      <c r="H106" s="2" t="s">
        <v>21</v>
      </c>
      <c r="I106" s="2" t="s">
        <v>21</v>
      </c>
      <c r="J106" s="2">
        <v>2</v>
      </c>
      <c r="K106" s="2" t="s">
        <v>54</v>
      </c>
      <c r="L106" s="2">
        <v>106</v>
      </c>
      <c r="M106" s="2" t="s">
        <v>107</v>
      </c>
      <c r="N106" s="2">
        <v>28</v>
      </c>
      <c r="O106" s="6">
        <v>827575.91</v>
      </c>
      <c r="P106" s="6">
        <v>29556.28</v>
      </c>
    </row>
    <row r="107" spans="1:16" outlineLevel="1" x14ac:dyDescent="0.2">
      <c r="A107" s="5"/>
      <c r="D107" s="4" t="s">
        <v>189</v>
      </c>
      <c r="E107" s="4"/>
      <c r="F107" s="4"/>
      <c r="G107" s="4"/>
      <c r="H107" s="4"/>
      <c r="I107" s="4"/>
      <c r="J107" s="4"/>
      <c r="K107" s="4"/>
      <c r="L107" s="4"/>
      <c r="M107" s="4"/>
      <c r="N107" s="4">
        <f>SUBTOTAL(9,N92:N106)</f>
        <v>166</v>
      </c>
      <c r="O107" s="7">
        <f>SUBTOTAL(9,O92:O106)</f>
        <v>3315587.55</v>
      </c>
      <c r="P107" s="7">
        <f>+O107/N107</f>
        <v>19973.418975903613</v>
      </c>
    </row>
    <row r="108" spans="1:16" outlineLevel="2" x14ac:dyDescent="0.2">
      <c r="A108" s="5">
        <v>46216</v>
      </c>
      <c r="B108" s="2">
        <v>160721</v>
      </c>
      <c r="C108" s="2">
        <v>5</v>
      </c>
      <c r="D108" s="2" t="s">
        <v>43</v>
      </c>
      <c r="E108" s="2" t="s">
        <v>87</v>
      </c>
      <c r="F108" s="2" t="s">
        <v>45</v>
      </c>
      <c r="G108" s="2" t="s">
        <v>22</v>
      </c>
      <c r="H108" s="2" t="s">
        <v>21</v>
      </c>
      <c r="I108" s="2" t="s">
        <v>21</v>
      </c>
      <c r="J108" s="2">
        <v>1</v>
      </c>
      <c r="K108" s="2" t="s">
        <v>33</v>
      </c>
      <c r="L108" s="2">
        <v>2541</v>
      </c>
      <c r="M108" s="2" t="s">
        <v>46</v>
      </c>
      <c r="N108" s="2">
        <v>62</v>
      </c>
      <c r="O108" s="6">
        <v>4452668.32</v>
      </c>
      <c r="P108" s="6">
        <v>71817.23</v>
      </c>
    </row>
    <row r="109" spans="1:16" outlineLevel="2" x14ac:dyDescent="0.2">
      <c r="A109" s="5">
        <v>46223</v>
      </c>
      <c r="B109" s="2">
        <v>161095</v>
      </c>
      <c r="C109" s="2">
        <v>2</v>
      </c>
      <c r="D109" s="2" t="s">
        <v>43</v>
      </c>
      <c r="E109" s="2" t="s">
        <v>123</v>
      </c>
      <c r="F109" s="2" t="s">
        <v>45</v>
      </c>
      <c r="G109" s="2" t="s">
        <v>22</v>
      </c>
      <c r="H109" s="2" t="s">
        <v>21</v>
      </c>
      <c r="I109" s="2" t="s">
        <v>21</v>
      </c>
      <c r="J109" s="2">
        <v>1</v>
      </c>
      <c r="K109" s="2" t="s">
        <v>33</v>
      </c>
      <c r="L109" s="2">
        <v>2541</v>
      </c>
      <c r="M109" s="2" t="s">
        <v>46</v>
      </c>
      <c r="N109" s="2">
        <v>15</v>
      </c>
      <c r="O109" s="6">
        <v>973714.07</v>
      </c>
      <c r="P109" s="6">
        <v>64914.27</v>
      </c>
    </row>
    <row r="110" spans="1:16" outlineLevel="2" x14ac:dyDescent="0.2">
      <c r="A110" s="5">
        <v>46195</v>
      </c>
      <c r="B110" s="2">
        <v>160340</v>
      </c>
      <c r="C110" s="2">
        <v>2</v>
      </c>
      <c r="D110" s="2" t="s">
        <v>43</v>
      </c>
      <c r="E110" s="2" t="s">
        <v>44</v>
      </c>
      <c r="F110" s="2" t="s">
        <v>45</v>
      </c>
      <c r="G110" s="2" t="s">
        <v>22</v>
      </c>
      <c r="H110" s="2" t="s">
        <v>21</v>
      </c>
      <c r="I110" s="2" t="s">
        <v>21</v>
      </c>
      <c r="J110" s="2">
        <v>1</v>
      </c>
      <c r="K110" s="2" t="s">
        <v>33</v>
      </c>
      <c r="L110" s="2">
        <v>2541</v>
      </c>
      <c r="M110" s="2" t="s">
        <v>46</v>
      </c>
      <c r="N110" s="2">
        <v>45</v>
      </c>
      <c r="O110" s="6">
        <v>2819973.87</v>
      </c>
      <c r="P110" s="6">
        <v>62666.09</v>
      </c>
    </row>
    <row r="111" spans="1:16" outlineLevel="2" x14ac:dyDescent="0.2">
      <c r="A111" s="5">
        <v>46209</v>
      </c>
      <c r="B111" s="2">
        <v>160557</v>
      </c>
      <c r="C111" s="2">
        <v>2</v>
      </c>
      <c r="D111" s="2" t="s">
        <v>43</v>
      </c>
      <c r="E111" s="2" t="s">
        <v>44</v>
      </c>
      <c r="F111" s="2" t="s">
        <v>45</v>
      </c>
      <c r="G111" s="2" t="s">
        <v>22</v>
      </c>
      <c r="H111" s="2" t="s">
        <v>21</v>
      </c>
      <c r="I111" s="2" t="s">
        <v>21</v>
      </c>
      <c r="J111" s="2">
        <v>1</v>
      </c>
      <c r="K111" s="2" t="s">
        <v>33</v>
      </c>
      <c r="L111" s="2">
        <v>2541</v>
      </c>
      <c r="M111" s="2" t="s">
        <v>46</v>
      </c>
      <c r="N111" s="2">
        <v>3</v>
      </c>
      <c r="O111" s="6">
        <v>111408.68</v>
      </c>
      <c r="P111" s="6">
        <v>37136.230000000003</v>
      </c>
    </row>
    <row r="112" spans="1:16" outlineLevel="1" x14ac:dyDescent="0.2">
      <c r="A112" s="5"/>
      <c r="D112" s="4" t="s">
        <v>190</v>
      </c>
      <c r="E112" s="4"/>
      <c r="F112" s="4"/>
      <c r="G112" s="4"/>
      <c r="H112" s="4"/>
      <c r="I112" s="4"/>
      <c r="J112" s="4"/>
      <c r="K112" s="4"/>
      <c r="L112" s="4"/>
      <c r="M112" s="4"/>
      <c r="N112" s="4">
        <f>SUBTOTAL(9,N108:N111)</f>
        <v>125</v>
      </c>
      <c r="O112" s="7">
        <f>SUBTOTAL(9,O108:O111)</f>
        <v>8357764.9400000004</v>
      </c>
      <c r="P112" s="7">
        <f>+O112/N112</f>
        <v>66862.119520000007</v>
      </c>
    </row>
    <row r="113" spans="1:16" x14ac:dyDescent="0.2">
      <c r="A113" s="5"/>
      <c r="D113" s="4" t="s">
        <v>191</v>
      </c>
      <c r="E113" s="4"/>
      <c r="F113" s="4"/>
      <c r="G113" s="4"/>
      <c r="H113" s="4"/>
      <c r="I113" s="4"/>
      <c r="J113" s="4"/>
      <c r="K113" s="4"/>
      <c r="L113" s="4"/>
      <c r="M113" s="4"/>
      <c r="N113" s="4">
        <f>SUBTOTAL(9,N5:N111)</f>
        <v>3374.7</v>
      </c>
      <c r="O113" s="7">
        <f>SUBTOTAL(9,O5:O111)</f>
        <v>97168929.5</v>
      </c>
      <c r="P113" s="7"/>
    </row>
  </sheetData>
  <sortState ref="A5:P87">
    <sortCondition ref="D5:D55"/>
    <sortCondition ref="E5:E55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</dc:creator>
  <cp:lastModifiedBy>ROBERTO</cp:lastModifiedBy>
  <dcterms:created xsi:type="dcterms:W3CDTF">2026-07-27T19:32:39Z</dcterms:created>
  <dcterms:modified xsi:type="dcterms:W3CDTF">2026-07-27T19:33:23Z</dcterms:modified>
</cp:coreProperties>
</file>