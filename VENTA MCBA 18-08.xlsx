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9" i="1"/>
  <c r="P12" i="1"/>
  <c r="P16" i="1"/>
  <c r="P18" i="1"/>
  <c r="P20" i="1"/>
  <c r="P25" i="1"/>
  <c r="P28" i="1"/>
  <c r="P30" i="1"/>
  <c r="P32" i="1"/>
  <c r="P34" i="1"/>
  <c r="P36" i="1"/>
  <c r="P39" i="1"/>
  <c r="P42" i="1"/>
  <c r="P47" i="1"/>
  <c r="P49" i="1"/>
  <c r="P52" i="1"/>
  <c r="P54" i="1"/>
  <c r="P60" i="1"/>
  <c r="P64" i="1"/>
  <c r="P66" i="1"/>
  <c r="P68" i="1"/>
  <c r="P70" i="1"/>
  <c r="P72" i="1"/>
  <c r="P74" i="1"/>
  <c r="P76" i="1"/>
  <c r="P78" i="1"/>
  <c r="P81" i="1"/>
  <c r="P85" i="1"/>
  <c r="P88" i="1"/>
  <c r="O89" i="1"/>
  <c r="N89" i="1"/>
  <c r="O88" i="1"/>
  <c r="N88" i="1"/>
  <c r="O85" i="1"/>
  <c r="N85" i="1"/>
  <c r="O81" i="1"/>
  <c r="N81" i="1"/>
  <c r="O78" i="1"/>
  <c r="N78" i="1"/>
  <c r="O76" i="1"/>
  <c r="N76" i="1"/>
  <c r="O74" i="1"/>
  <c r="N74" i="1"/>
  <c r="O72" i="1"/>
  <c r="N72" i="1"/>
  <c r="O70" i="1"/>
  <c r="N70" i="1"/>
  <c r="O68" i="1"/>
  <c r="N68" i="1"/>
  <c r="O66" i="1"/>
  <c r="N66" i="1"/>
  <c r="O64" i="1"/>
  <c r="N64" i="1"/>
  <c r="O60" i="1"/>
  <c r="N60" i="1"/>
  <c r="O54" i="1"/>
  <c r="N54" i="1"/>
  <c r="O52" i="1"/>
  <c r="N52" i="1"/>
  <c r="O49" i="1"/>
  <c r="N49" i="1"/>
  <c r="O47" i="1"/>
  <c r="N47" i="1"/>
  <c r="O42" i="1"/>
  <c r="N42" i="1"/>
  <c r="O39" i="1"/>
  <c r="N39" i="1"/>
  <c r="O36" i="1"/>
  <c r="N36" i="1"/>
  <c r="O34" i="1"/>
  <c r="N34" i="1"/>
  <c r="O32" i="1"/>
  <c r="N32" i="1"/>
  <c r="O30" i="1"/>
  <c r="N30" i="1"/>
  <c r="O28" i="1"/>
  <c r="N28" i="1"/>
  <c r="O25" i="1"/>
  <c r="N25" i="1"/>
  <c r="O20" i="1"/>
  <c r="N20" i="1"/>
  <c r="O18" i="1"/>
  <c r="N18" i="1"/>
  <c r="O16" i="1"/>
  <c r="N16" i="1"/>
  <c r="O12" i="1"/>
  <c r="N12" i="1"/>
  <c r="O9" i="1"/>
  <c r="N9" i="1"/>
  <c r="O7" i="1"/>
  <c r="N7" i="1"/>
</calcChain>
</file>

<file path=xl/sharedStrings.xml><?xml version="1.0" encoding="utf-8"?>
<sst xmlns="http://schemas.openxmlformats.org/spreadsheetml/2006/main" count="482" uniqueCount="178">
  <si>
    <t>2026.08.18 12:48:09 SUCU:   2 CAJA: 1</t>
  </si>
  <si>
    <t xml:space="preserve">PUTRUELE HNOS. S.A.A.I.C.  </t>
  </si>
  <si>
    <t>LS040-VENTAS PERIODO:18/08/26-18/08/26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</si>
  <si>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</si>
  <si>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</si>
  <si>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</si>
  <si>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</si>
  <si>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</si>
  <si>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</si>
  <si>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</si>
  <si>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</si>
  <si>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</si>
  <si>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</si>
  <si>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</si>
  <si>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</si>
  <si>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</si>
  <si>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</si>
  <si>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</si>
  <si>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</si>
  <si>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</si>
  <si>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>GRANNY SMI</t>
  </si>
  <si>
    <t xml:space="preserve">R.N.      </t>
  </si>
  <si>
    <t xml:space="preserve">ELG       </t>
  </si>
  <si>
    <t xml:space="preserve">          </t>
  </si>
  <si>
    <t xml:space="preserve">C/C       </t>
  </si>
  <si>
    <t xml:space="preserve">CELESTINO      </t>
  </si>
  <si>
    <t xml:space="preserve">NARANJA   </t>
  </si>
  <si>
    <t xml:space="preserve">JUGO      </t>
  </si>
  <si>
    <t xml:space="preserve">E.R.      </t>
  </si>
  <si>
    <t xml:space="preserve">G CASTILLO     </t>
  </si>
  <si>
    <t xml:space="preserve">TOP RED   </t>
  </si>
  <si>
    <t xml:space="preserve">125       </t>
  </si>
  <si>
    <t xml:space="preserve">PALTA     </t>
  </si>
  <si>
    <t xml:space="preserve">HASS      </t>
  </si>
  <si>
    <t xml:space="preserve">TMAN      </t>
  </si>
  <si>
    <t xml:space="preserve">24        </t>
  </si>
  <si>
    <t xml:space="preserve">GUAYAL S.A     </t>
  </si>
  <si>
    <t xml:space="preserve">MELON     </t>
  </si>
  <si>
    <t>AMARILLO S</t>
  </si>
  <si>
    <t xml:space="preserve">BRASIL    </t>
  </si>
  <si>
    <t xml:space="preserve">5         </t>
  </si>
  <si>
    <t xml:space="preserve">DINA INDUS     </t>
  </si>
  <si>
    <t xml:space="preserve">RED DELI. </t>
  </si>
  <si>
    <t xml:space="preserve">PATAGONIA      </t>
  </si>
  <si>
    <t xml:space="preserve">JENGIBRE  </t>
  </si>
  <si>
    <t xml:space="preserve">ENLU-COMER     </t>
  </si>
  <si>
    <t xml:space="preserve">COCO      </t>
  </si>
  <si>
    <t xml:space="preserve">BAHIA     </t>
  </si>
  <si>
    <t xml:space="preserve">BLS       </t>
  </si>
  <si>
    <t xml:space="preserve">UVA       </t>
  </si>
  <si>
    <t>SUGAR CRIS</t>
  </si>
  <si>
    <t xml:space="preserve">SERRA BRAN     </t>
  </si>
  <si>
    <t xml:space="preserve">KIWI      </t>
  </si>
  <si>
    <t xml:space="preserve">SUN GOLD  </t>
  </si>
  <si>
    <t>NUEVA ZELA</t>
  </si>
  <si>
    <t xml:space="preserve">T.30      </t>
  </si>
  <si>
    <t xml:space="preserve">ZESPRI INT     </t>
  </si>
  <si>
    <t xml:space="preserve">LIMA      </t>
  </si>
  <si>
    <t xml:space="preserve">TAHITI    </t>
  </si>
  <si>
    <t xml:space="preserve">ESPARRAGO </t>
  </si>
  <si>
    <t xml:space="preserve">PAQUETE   </t>
  </si>
  <si>
    <t xml:space="preserve">PAQUETES  </t>
  </si>
  <si>
    <t xml:space="preserve">PRIME TIME     </t>
  </si>
  <si>
    <t xml:space="preserve">CAT 2     </t>
  </si>
  <si>
    <t xml:space="preserve">16-20     </t>
  </si>
  <si>
    <t xml:space="preserve">C/PL      </t>
  </si>
  <si>
    <t xml:space="preserve">OTAVIO RES     </t>
  </si>
  <si>
    <t xml:space="preserve">CHILE     </t>
  </si>
  <si>
    <t xml:space="preserve">CAT I     </t>
  </si>
  <si>
    <t xml:space="preserve">84        </t>
  </si>
  <si>
    <t xml:space="preserve">EXPOR PROP     </t>
  </si>
  <si>
    <t xml:space="preserve">MAMON     </t>
  </si>
  <si>
    <t xml:space="preserve">FORMOSA   </t>
  </si>
  <si>
    <t>AGUA DE CO</t>
  </si>
  <si>
    <t xml:space="preserve">C/CUB     </t>
  </si>
  <si>
    <t>PALTA PILA</t>
  </si>
  <si>
    <t xml:space="preserve">PILAR     </t>
  </si>
  <si>
    <t xml:space="preserve">BOLSONELLA     </t>
  </si>
  <si>
    <t>SUPER CHIE</t>
  </si>
  <si>
    <t xml:space="preserve">CELESTINO </t>
  </si>
  <si>
    <t xml:space="preserve">VERDE     </t>
  </si>
  <si>
    <t xml:space="preserve">SJN       </t>
  </si>
  <si>
    <t xml:space="preserve">PUTRUELE H     </t>
  </si>
  <si>
    <t xml:space="preserve">T.16      </t>
  </si>
  <si>
    <t xml:space="preserve">JOSE ALCID     </t>
  </si>
  <si>
    <t xml:space="preserve">LIMON     </t>
  </si>
  <si>
    <t xml:space="preserve">EUREKA    </t>
  </si>
  <si>
    <t xml:space="preserve">AGRO ALIAN     </t>
  </si>
  <si>
    <t xml:space="preserve">PERU    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</si>
  <si>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</si>
  <si>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</si>
  <si>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</si>
  <si>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</si>
  <si>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</si>
  <si>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 xml:space="preserve">PITAHAYA  </t>
  </si>
  <si>
    <t xml:space="preserve">ROJA      </t>
  </si>
  <si>
    <t xml:space="preserve">ECUADOR   </t>
  </si>
  <si>
    <t xml:space="preserve">N§8       </t>
  </si>
  <si>
    <t xml:space="preserve">CALDERON N     </t>
  </si>
  <si>
    <t>AUTUN CRIS</t>
  </si>
  <si>
    <t xml:space="preserve">CIRUELA   </t>
  </si>
  <si>
    <t>CRIMSON GL</t>
  </si>
  <si>
    <t xml:space="preserve">ESPA¥A    </t>
  </si>
  <si>
    <t xml:space="preserve">60-65     </t>
  </si>
  <si>
    <t xml:space="preserve">C/M       </t>
  </si>
  <si>
    <t xml:space="preserve">FRUTINA IM     </t>
  </si>
  <si>
    <t xml:space="preserve">CHERRY    </t>
  </si>
  <si>
    <t xml:space="preserve">CTES.     </t>
  </si>
  <si>
    <t xml:space="preserve">FINCA LA J     </t>
  </si>
  <si>
    <t xml:space="preserve">FRUTILLA  </t>
  </si>
  <si>
    <t xml:space="preserve">S.FE      </t>
  </si>
  <si>
    <t xml:space="preserve">GARCIA Y G     </t>
  </si>
  <si>
    <t xml:space="preserve">ZAPALLITO </t>
  </si>
  <si>
    <t xml:space="preserve">REDONDO   </t>
  </si>
  <si>
    <t xml:space="preserve">PRODUCTOS      </t>
  </si>
  <si>
    <t xml:space="preserve">MORRON    </t>
  </si>
  <si>
    <t xml:space="preserve">ROJO      </t>
  </si>
  <si>
    <t xml:space="preserve">LARGO     </t>
  </si>
  <si>
    <t xml:space="preserve">FAMOSA DE      </t>
  </si>
  <si>
    <t>PORTOBELLO</t>
  </si>
  <si>
    <t xml:space="preserve">BS.AS.    </t>
  </si>
  <si>
    <t xml:space="preserve">BAND      </t>
  </si>
  <si>
    <t xml:space="preserve">HONGOS DEL     </t>
  </si>
  <si>
    <t>CHAMPIG¥ON</t>
  </si>
  <si>
    <t xml:space="preserve">C/VERDE   </t>
  </si>
  <si>
    <t xml:space="preserve">C-AZUL    </t>
  </si>
  <si>
    <t xml:space="preserve">PAPA      </t>
  </si>
  <si>
    <t xml:space="preserve">LAVADA    </t>
  </si>
  <si>
    <t>PALTA NUEV</t>
  </si>
  <si>
    <t xml:space="preserve">16        </t>
  </si>
  <si>
    <t xml:space="preserve">BONELLA        </t>
  </si>
  <si>
    <t xml:space="preserve">18        </t>
  </si>
  <si>
    <t xml:space="preserve">PAPIN     </t>
  </si>
  <si>
    <t xml:space="preserve">AGATA     </t>
  </si>
  <si>
    <t>REDONDO RO</t>
  </si>
  <si>
    <t xml:space="preserve">MARIA MARI     </t>
  </si>
  <si>
    <t xml:space="preserve">PERA      </t>
  </si>
  <si>
    <t xml:space="preserve">PACKHAM S </t>
  </si>
  <si>
    <t xml:space="preserve">1/2 CAJA  </t>
  </si>
  <si>
    <t xml:space="preserve">BANANA    </t>
  </si>
  <si>
    <t xml:space="preserve">FRUTICOLA      </t>
  </si>
  <si>
    <t xml:space="preserve">REPOLLITO </t>
  </si>
  <si>
    <t xml:space="preserve">BRUSELA   </t>
  </si>
  <si>
    <t xml:space="preserve">GUILLERMO      </t>
  </si>
  <si>
    <t xml:space="preserve">TOMATE    </t>
  </si>
  <si>
    <t xml:space="preserve">RACIMO    </t>
  </si>
  <si>
    <t xml:space="preserve">A.ROCKY S.     </t>
  </si>
  <si>
    <t>Total AGUA DE CO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</si>
  <si>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</si>
  <si>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</si>
  <si>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</si>
  <si>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</si>
  <si>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</si>
  <si>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</si>
  <si>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</si>
  <si>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</si>
  <si>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</si>
  <si>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</si>
  <si>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</si>
  <si>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</si>
  <si>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</si>
  <si>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</si>
  <si>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</si>
  <si>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</si>
  <si>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NARANJA   </t>
  </si>
  <si>
    <t xml:space="preserve">Total PALTA     </t>
  </si>
  <si>
    <t>Total PALTA NUEV</t>
  </si>
  <si>
    <t>Total PALTA PILA</t>
  </si>
  <si>
    <t xml:space="preserve">Total PAPA      </t>
  </si>
  <si>
    <t xml:space="preserve">Total PAPIN     </t>
  </si>
  <si>
    <t xml:space="preserve">Total PERA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</si>
  <si>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</si>
  <si>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</si>
  <si>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</si>
  <si>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</si>
  <si>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</si>
  <si>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 xml:space="preserve">Total ZAPALLITO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</si>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</sst>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topLeftCell="A65" workbookViewId="0">
      <selection activeCell="D90" sqref="D90"/>
    </sheetView>
  </sheetViews>
  <sheetFormatPr baseColWidth="10" defaultRowHeight="11.25" outlineLevelRow="2" x14ac:dyDescent="0.2"/>
  <cols>
    <col min="1" max="14" width="11.42578125" style="2"/>
    <col min="15" max="16" width="11.42578125" style="6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73</v>
      </c>
      <c r="E5" s="2" t="s">
        <v>23</v>
      </c>
      <c r="F5" s="2" t="s">
        <v>39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24</v>
      </c>
      <c r="L5" s="2">
        <v>2521</v>
      </c>
      <c r="M5" s="2" t="s">
        <v>45</v>
      </c>
      <c r="N5" s="2">
        <v>-1</v>
      </c>
      <c r="O5" s="6">
        <v>-24892.85</v>
      </c>
      <c r="P5" s="6">
        <v>24892.85</v>
      </c>
    </row>
    <row r="6" spans="1:16" outlineLevel="2" x14ac:dyDescent="0.2">
      <c r="A6" s="5">
        <v>46251</v>
      </c>
      <c r="B6" s="2">
        <v>161722</v>
      </c>
      <c r="C6" s="2">
        <v>1</v>
      </c>
      <c r="D6" s="2" t="s">
        <v>73</v>
      </c>
      <c r="E6" s="2" t="s">
        <v>23</v>
      </c>
      <c r="F6" s="2" t="s">
        <v>39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24</v>
      </c>
      <c r="L6" s="2">
        <v>2521</v>
      </c>
      <c r="M6" s="2" t="s">
        <v>45</v>
      </c>
      <c r="N6" s="2">
        <v>7</v>
      </c>
      <c r="O6" s="6">
        <v>311465.49</v>
      </c>
      <c r="P6" s="6">
        <v>44495.07</v>
      </c>
    </row>
    <row r="7" spans="1:16" outlineLevel="1" x14ac:dyDescent="0.2">
      <c r="A7" s="5"/>
      <c r="D7" s="4" t="s">
        <v>147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6</v>
      </c>
      <c r="O7" s="7">
        <f>SUBTOTAL(9,O5:O6)</f>
        <v>286572.64</v>
      </c>
      <c r="P7" s="7">
        <f>+O7/N7</f>
        <v>47762.106666666667</v>
      </c>
    </row>
    <row r="8" spans="1:16" outlineLevel="2" x14ac:dyDescent="0.2">
      <c r="A8" s="5">
        <v>46248</v>
      </c>
      <c r="B8" s="2">
        <v>161741</v>
      </c>
      <c r="C8" s="2">
        <v>1</v>
      </c>
      <c r="D8" s="2" t="s">
        <v>139</v>
      </c>
      <c r="E8" s="2" t="s">
        <v>76</v>
      </c>
      <c r="F8" s="2" t="s">
        <v>23</v>
      </c>
      <c r="G8" s="2" t="s">
        <v>23</v>
      </c>
      <c r="H8" s="2" t="s">
        <v>23</v>
      </c>
      <c r="I8" s="2" t="s">
        <v>23</v>
      </c>
      <c r="J8" s="2">
        <v>1</v>
      </c>
      <c r="K8" s="2" t="s">
        <v>24</v>
      </c>
      <c r="L8" s="2">
        <v>1833</v>
      </c>
      <c r="M8" s="2" t="s">
        <v>140</v>
      </c>
      <c r="N8" s="2">
        <v>1</v>
      </c>
      <c r="O8" s="6">
        <v>4357.1899999999996</v>
      </c>
      <c r="P8" s="6">
        <v>4357.1899999999996</v>
      </c>
    </row>
    <row r="9" spans="1:16" outlineLevel="1" x14ac:dyDescent="0.2">
      <c r="A9" s="5"/>
      <c r="D9" s="4" t="s">
        <v>148</v>
      </c>
      <c r="E9" s="4"/>
      <c r="F9" s="4"/>
      <c r="G9" s="4"/>
      <c r="H9" s="4"/>
      <c r="I9" s="4"/>
      <c r="J9" s="4"/>
      <c r="K9" s="4"/>
      <c r="L9" s="4"/>
      <c r="M9" s="4"/>
      <c r="N9" s="4">
        <f>SUBTOTAL(9,N8:N8)</f>
        <v>1</v>
      </c>
      <c r="O9" s="7">
        <f>SUBTOTAL(9,O8:O8)</f>
        <v>4357.1899999999996</v>
      </c>
      <c r="P9" s="7">
        <f>+O9/N9</f>
        <v>4357.1899999999996</v>
      </c>
    </row>
    <row r="10" spans="1:16" outlineLevel="2" x14ac:dyDescent="0.2">
      <c r="A10" s="5">
        <v>46248</v>
      </c>
      <c r="B10" s="2">
        <v>161627</v>
      </c>
      <c r="C10" s="2">
        <v>2</v>
      </c>
      <c r="D10" s="2" t="s">
        <v>123</v>
      </c>
      <c r="E10" s="2" t="s">
        <v>23</v>
      </c>
      <c r="F10" s="2" t="s">
        <v>120</v>
      </c>
      <c r="G10" s="2" t="s">
        <v>22</v>
      </c>
      <c r="H10" s="2" t="s">
        <v>124</v>
      </c>
      <c r="I10" s="2" t="s">
        <v>23</v>
      </c>
      <c r="J10" s="2">
        <v>41</v>
      </c>
      <c r="K10" s="2" t="s">
        <v>121</v>
      </c>
      <c r="L10" s="2">
        <v>25213</v>
      </c>
      <c r="M10" s="2" t="s">
        <v>122</v>
      </c>
      <c r="N10" s="2">
        <v>2</v>
      </c>
      <c r="O10" s="6">
        <v>4980.6400000000003</v>
      </c>
      <c r="P10" s="6">
        <v>2490.3200000000002</v>
      </c>
    </row>
    <row r="11" spans="1:16" outlineLevel="2" x14ac:dyDescent="0.2">
      <c r="A11" s="5">
        <v>46248</v>
      </c>
      <c r="B11" s="2">
        <v>161627</v>
      </c>
      <c r="C11" s="2">
        <v>3</v>
      </c>
      <c r="D11" s="2" t="s">
        <v>123</v>
      </c>
      <c r="E11" s="2" t="s">
        <v>23</v>
      </c>
      <c r="F11" s="2" t="s">
        <v>120</v>
      </c>
      <c r="G11" s="2" t="s">
        <v>22</v>
      </c>
      <c r="H11" s="2" t="s">
        <v>125</v>
      </c>
      <c r="I11" s="2" t="s">
        <v>23</v>
      </c>
      <c r="J11" s="2">
        <v>41</v>
      </c>
      <c r="K11" s="2" t="s">
        <v>121</v>
      </c>
      <c r="L11" s="2">
        <v>25213</v>
      </c>
      <c r="M11" s="2" t="s">
        <v>122</v>
      </c>
      <c r="N11" s="2">
        <v>1</v>
      </c>
      <c r="O11" s="6">
        <v>3610.44</v>
      </c>
      <c r="P11" s="6">
        <v>3610.44</v>
      </c>
    </row>
    <row r="12" spans="1:16" outlineLevel="1" x14ac:dyDescent="0.2">
      <c r="A12" s="5"/>
      <c r="D12" s="4" t="s">
        <v>149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SUBTOTAL(9,N10:N11)</f>
        <v>3</v>
      </c>
      <c r="O12" s="7">
        <f>SUBTOTAL(9,O10:O11)</f>
        <v>8591.08</v>
      </c>
      <c r="P12" s="7">
        <f>+O12/N12</f>
        <v>2863.6933333333332</v>
      </c>
    </row>
    <row r="13" spans="1:16" outlineLevel="2" x14ac:dyDescent="0.2">
      <c r="A13" s="5">
        <v>46248</v>
      </c>
      <c r="B13" s="2">
        <v>161728</v>
      </c>
      <c r="C13" s="2">
        <v>9</v>
      </c>
      <c r="D13" s="2" t="s">
        <v>106</v>
      </c>
      <c r="E13" s="2" t="s">
        <v>100</v>
      </c>
      <c r="F13" s="2" t="s">
        <v>107</v>
      </c>
      <c r="G13" s="2" t="s">
        <v>22</v>
      </c>
      <c r="H13" s="2" t="s">
        <v>23</v>
      </c>
      <c r="I13" s="2" t="s">
        <v>23</v>
      </c>
      <c r="J13" s="2">
        <v>41</v>
      </c>
      <c r="K13" s="2" t="s">
        <v>121</v>
      </c>
      <c r="L13" s="2">
        <v>801</v>
      </c>
      <c r="M13" s="2" t="s">
        <v>108</v>
      </c>
      <c r="N13" s="2">
        <v>1</v>
      </c>
      <c r="O13" s="6">
        <v>18358.77</v>
      </c>
      <c r="P13" s="6">
        <v>18358.77</v>
      </c>
    </row>
    <row r="14" spans="1:16" outlineLevel="2" x14ac:dyDescent="0.2">
      <c r="A14" s="5">
        <v>46246</v>
      </c>
      <c r="B14" s="2">
        <v>161594</v>
      </c>
      <c r="C14" s="2">
        <v>312</v>
      </c>
      <c r="D14" s="2" t="s">
        <v>106</v>
      </c>
      <c r="E14" s="2" t="s">
        <v>26</v>
      </c>
      <c r="F14" s="2" t="s">
        <v>107</v>
      </c>
      <c r="G14" s="2" t="s">
        <v>22</v>
      </c>
      <c r="H14" s="2" t="s">
        <v>23</v>
      </c>
      <c r="I14" s="2" t="s">
        <v>23</v>
      </c>
      <c r="J14" s="2">
        <v>2</v>
      </c>
      <c r="K14" s="2" t="s">
        <v>104</v>
      </c>
      <c r="L14" s="2">
        <v>801</v>
      </c>
      <c r="M14" s="2" t="s">
        <v>108</v>
      </c>
      <c r="N14" s="2">
        <v>2</v>
      </c>
      <c r="O14" s="6">
        <v>8714.3799999999992</v>
      </c>
      <c r="P14" s="6">
        <v>4357.1899999999996</v>
      </c>
    </row>
    <row r="15" spans="1:16" outlineLevel="2" x14ac:dyDescent="0.2">
      <c r="A15" s="5">
        <v>46248</v>
      </c>
      <c r="B15" s="2">
        <v>161728</v>
      </c>
      <c r="C15" s="2">
        <v>14</v>
      </c>
      <c r="D15" s="2" t="s">
        <v>106</v>
      </c>
      <c r="E15" s="2" t="s">
        <v>134</v>
      </c>
      <c r="F15" s="2" t="s">
        <v>107</v>
      </c>
      <c r="G15" s="2" t="s">
        <v>22</v>
      </c>
      <c r="H15" s="2" t="s">
        <v>23</v>
      </c>
      <c r="I15" s="2" t="s">
        <v>23</v>
      </c>
      <c r="J15" s="2">
        <v>41</v>
      </c>
      <c r="K15" s="2" t="s">
        <v>121</v>
      </c>
      <c r="L15" s="2">
        <v>801</v>
      </c>
      <c r="M15" s="2" t="s">
        <v>108</v>
      </c>
      <c r="N15" s="2">
        <v>2</v>
      </c>
      <c r="O15" s="6">
        <v>46051.96</v>
      </c>
      <c r="P15" s="6">
        <v>23025.98</v>
      </c>
    </row>
    <row r="16" spans="1:16" outlineLevel="1" x14ac:dyDescent="0.2">
      <c r="A16" s="5"/>
      <c r="D16" s="4" t="s">
        <v>150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SUBTOTAL(9,N13:N15)</f>
        <v>5</v>
      </c>
      <c r="O16" s="7">
        <f>SUBTOTAL(9,O13:O15)</f>
        <v>73125.11</v>
      </c>
      <c r="P16" s="7">
        <f>+O16/N16</f>
        <v>14625.022000000001</v>
      </c>
    </row>
    <row r="17" spans="1:16" outlineLevel="2" x14ac:dyDescent="0.2">
      <c r="A17" s="5">
        <v>46251</v>
      </c>
      <c r="B17" s="2">
        <v>161585</v>
      </c>
      <c r="C17" s="2">
        <v>6</v>
      </c>
      <c r="D17" s="2" t="s">
        <v>100</v>
      </c>
      <c r="E17" s="2" t="s">
        <v>101</v>
      </c>
      <c r="F17" s="2" t="s">
        <v>102</v>
      </c>
      <c r="G17" s="2" t="s">
        <v>22</v>
      </c>
      <c r="H17" s="2" t="s">
        <v>23</v>
      </c>
      <c r="I17" s="2" t="s">
        <v>103</v>
      </c>
      <c r="J17" s="2">
        <v>2</v>
      </c>
      <c r="K17" s="2" t="s">
        <v>104</v>
      </c>
      <c r="L17" s="2">
        <v>25249</v>
      </c>
      <c r="M17" s="2" t="s">
        <v>105</v>
      </c>
      <c r="N17" s="2">
        <v>3</v>
      </c>
      <c r="O17" s="6">
        <v>168955.87</v>
      </c>
      <c r="P17" s="6">
        <v>56318.62</v>
      </c>
    </row>
    <row r="18" spans="1:16" outlineLevel="1" x14ac:dyDescent="0.2">
      <c r="A18" s="5"/>
      <c r="D18" s="4" t="s">
        <v>151</v>
      </c>
      <c r="E18" s="4"/>
      <c r="F18" s="4"/>
      <c r="G18" s="4"/>
      <c r="H18" s="4"/>
      <c r="I18" s="4"/>
      <c r="J18" s="4"/>
      <c r="K18" s="4"/>
      <c r="L18" s="4"/>
      <c r="M18" s="4"/>
      <c r="N18" s="4">
        <f>SUBTOTAL(9,N17:N17)</f>
        <v>3</v>
      </c>
      <c r="O18" s="7">
        <f>SUBTOTAL(9,O17:O17)</f>
        <v>168955.87</v>
      </c>
      <c r="P18" s="7">
        <f>+O18/N18</f>
        <v>56318.623333333329</v>
      </c>
    </row>
    <row r="19" spans="1:16" outlineLevel="2" x14ac:dyDescent="0.2">
      <c r="A19" s="5">
        <v>46237</v>
      </c>
      <c r="B19" s="2">
        <v>161052</v>
      </c>
      <c r="C19" s="2">
        <v>1</v>
      </c>
      <c r="D19" s="2" t="s">
        <v>46</v>
      </c>
      <c r="E19" s="2" t="s">
        <v>47</v>
      </c>
      <c r="F19" s="2" t="s">
        <v>39</v>
      </c>
      <c r="G19" s="2" t="s">
        <v>22</v>
      </c>
      <c r="H19" s="2" t="s">
        <v>23</v>
      </c>
      <c r="I19" s="2" t="s">
        <v>23</v>
      </c>
      <c r="J19" s="2">
        <v>5</v>
      </c>
      <c r="K19" s="2" t="s">
        <v>48</v>
      </c>
      <c r="L19" s="2">
        <v>2521</v>
      </c>
      <c r="M19" s="2" t="s">
        <v>45</v>
      </c>
      <c r="N19" s="2">
        <v>3</v>
      </c>
      <c r="O19" s="6">
        <v>69077.94</v>
      </c>
      <c r="P19" s="6">
        <v>23025.98</v>
      </c>
    </row>
    <row r="20" spans="1:16" outlineLevel="1" x14ac:dyDescent="0.2">
      <c r="A20" s="5"/>
      <c r="D20" s="4" t="s">
        <v>152</v>
      </c>
      <c r="E20" s="4"/>
      <c r="F20" s="4"/>
      <c r="G20" s="4"/>
      <c r="H20" s="4"/>
      <c r="I20" s="4"/>
      <c r="J20" s="4"/>
      <c r="K20" s="4"/>
      <c r="L20" s="4"/>
      <c r="M20" s="4"/>
      <c r="N20" s="4">
        <f>SUBTOTAL(9,N19:N19)</f>
        <v>3</v>
      </c>
      <c r="O20" s="7">
        <f>SUBTOTAL(9,O19:O19)</f>
        <v>69077.94</v>
      </c>
      <c r="P20" s="7">
        <f>+O20/N20</f>
        <v>23025.98</v>
      </c>
    </row>
    <row r="21" spans="1:16" outlineLevel="2" x14ac:dyDescent="0.2">
      <c r="A21" s="5">
        <v>46230</v>
      </c>
      <c r="B21" s="2">
        <v>161207</v>
      </c>
      <c r="C21" s="2">
        <v>200</v>
      </c>
      <c r="D21" s="2" t="s">
        <v>59</v>
      </c>
      <c r="E21" s="2" t="s">
        <v>60</v>
      </c>
      <c r="F21" s="2" t="s">
        <v>23</v>
      </c>
      <c r="G21" s="2" t="s">
        <v>22</v>
      </c>
      <c r="H21" s="2" t="s">
        <v>23</v>
      </c>
      <c r="I21" s="2" t="s">
        <v>23</v>
      </c>
      <c r="J21" s="2">
        <v>39</v>
      </c>
      <c r="K21" s="2" t="s">
        <v>61</v>
      </c>
      <c r="L21" s="2">
        <v>25205</v>
      </c>
      <c r="M21" s="2" t="s">
        <v>62</v>
      </c>
      <c r="N21" s="2">
        <v>23</v>
      </c>
      <c r="O21" s="6">
        <v>16206</v>
      </c>
      <c r="P21" s="6">
        <v>704.61</v>
      </c>
    </row>
    <row r="22" spans="1:16" outlineLevel="2" x14ac:dyDescent="0.2">
      <c r="A22" s="5">
        <v>46241</v>
      </c>
      <c r="B22" s="2">
        <v>161463</v>
      </c>
      <c r="C22" s="2">
        <v>1</v>
      </c>
      <c r="D22" s="2" t="s">
        <v>59</v>
      </c>
      <c r="E22" s="2" t="s">
        <v>80</v>
      </c>
      <c r="F22" s="2" t="s">
        <v>81</v>
      </c>
      <c r="G22" s="2" t="s">
        <v>22</v>
      </c>
      <c r="H22" s="2" t="s">
        <v>23</v>
      </c>
      <c r="I22" s="2" t="s">
        <v>23</v>
      </c>
      <c r="J22" s="2">
        <v>39</v>
      </c>
      <c r="K22" s="2" t="s">
        <v>61</v>
      </c>
      <c r="L22" s="2">
        <v>1</v>
      </c>
      <c r="M22" s="2" t="s">
        <v>82</v>
      </c>
      <c r="N22" s="2">
        <v>9</v>
      </c>
      <c r="O22" s="6">
        <v>35014.32</v>
      </c>
      <c r="P22" s="6">
        <v>3890.48</v>
      </c>
    </row>
    <row r="23" spans="1:16" outlineLevel="2" x14ac:dyDescent="0.2">
      <c r="A23" s="5">
        <v>46246</v>
      </c>
      <c r="B23" s="2">
        <v>161563</v>
      </c>
      <c r="C23" s="2">
        <v>200</v>
      </c>
      <c r="D23" s="2" t="s">
        <v>59</v>
      </c>
      <c r="E23" s="2" t="s">
        <v>80</v>
      </c>
      <c r="F23" s="2" t="s">
        <v>88</v>
      </c>
      <c r="G23" s="2" t="s">
        <v>22</v>
      </c>
      <c r="H23" s="2" t="s">
        <v>23</v>
      </c>
      <c r="I23" s="2" t="s">
        <v>23</v>
      </c>
      <c r="J23" s="2">
        <v>39</v>
      </c>
      <c r="K23" s="2" t="s">
        <v>61</v>
      </c>
      <c r="L23" s="2">
        <v>25205</v>
      </c>
      <c r="M23" s="2" t="s">
        <v>62</v>
      </c>
      <c r="N23" s="2">
        <v>51</v>
      </c>
      <c r="O23" s="6">
        <v>42996.72</v>
      </c>
      <c r="P23" s="6">
        <v>843.07</v>
      </c>
    </row>
    <row r="24" spans="1:16" outlineLevel="2" x14ac:dyDescent="0.2">
      <c r="A24" s="5">
        <v>46251</v>
      </c>
      <c r="B24" s="2">
        <v>161738</v>
      </c>
      <c r="C24" s="2">
        <v>1</v>
      </c>
      <c r="D24" s="2" t="s">
        <v>59</v>
      </c>
      <c r="E24" s="2" t="s">
        <v>80</v>
      </c>
      <c r="F24" s="2" t="s">
        <v>81</v>
      </c>
      <c r="G24" s="2" t="s">
        <v>22</v>
      </c>
      <c r="H24" s="2" t="s">
        <v>23</v>
      </c>
      <c r="I24" s="2" t="s">
        <v>23</v>
      </c>
      <c r="J24" s="2">
        <v>39</v>
      </c>
      <c r="K24" s="2" t="s">
        <v>61</v>
      </c>
      <c r="L24" s="2">
        <v>1</v>
      </c>
      <c r="M24" s="2" t="s">
        <v>82</v>
      </c>
      <c r="N24" s="2">
        <v>27</v>
      </c>
      <c r="O24" s="6">
        <v>97575.2</v>
      </c>
      <c r="P24" s="6">
        <v>3613.9</v>
      </c>
    </row>
    <row r="25" spans="1:16" outlineLevel="1" x14ac:dyDescent="0.2">
      <c r="A25" s="5"/>
      <c r="D25" s="4" t="s">
        <v>153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SUBTOTAL(9,N21:N24)</f>
        <v>110</v>
      </c>
      <c r="O25" s="7">
        <f>SUBTOTAL(9,O21:O24)</f>
        <v>191792.24</v>
      </c>
      <c r="P25" s="7">
        <f>+O25/N25</f>
        <v>1743.565818181818</v>
      </c>
    </row>
    <row r="26" spans="1:16" outlineLevel="2" x14ac:dyDescent="0.2">
      <c r="A26" s="5">
        <v>46251</v>
      </c>
      <c r="B26" s="2">
        <v>161601</v>
      </c>
      <c r="C26" s="2">
        <v>2</v>
      </c>
      <c r="D26" s="2" t="s">
        <v>109</v>
      </c>
      <c r="E26" s="2" t="s">
        <v>23</v>
      </c>
      <c r="F26" s="2" t="s">
        <v>110</v>
      </c>
      <c r="G26" s="2" t="s">
        <v>22</v>
      </c>
      <c r="H26" s="2" t="s">
        <v>23</v>
      </c>
      <c r="I26" s="2" t="s">
        <v>23</v>
      </c>
      <c r="J26" s="2">
        <v>86</v>
      </c>
      <c r="K26" s="2" t="s">
        <v>74</v>
      </c>
      <c r="L26" s="2">
        <v>1795</v>
      </c>
      <c r="M26" s="2" t="s">
        <v>111</v>
      </c>
      <c r="N26" s="2">
        <v>6</v>
      </c>
      <c r="O26" s="6">
        <v>17182.14</v>
      </c>
      <c r="P26" s="6">
        <v>2863.69</v>
      </c>
    </row>
    <row r="27" spans="1:16" outlineLevel="2" x14ac:dyDescent="0.2">
      <c r="A27" s="5">
        <v>46252</v>
      </c>
      <c r="B27" s="2">
        <v>161735</v>
      </c>
      <c r="C27" s="2">
        <v>1</v>
      </c>
      <c r="D27" s="2" t="s">
        <v>109</v>
      </c>
      <c r="E27" s="2" t="s">
        <v>23</v>
      </c>
      <c r="F27" s="2" t="s">
        <v>110</v>
      </c>
      <c r="G27" s="2" t="s">
        <v>22</v>
      </c>
      <c r="H27" s="2" t="s">
        <v>23</v>
      </c>
      <c r="I27" s="2" t="s">
        <v>23</v>
      </c>
      <c r="J27" s="2">
        <v>86</v>
      </c>
      <c r="K27" s="2" t="s">
        <v>74</v>
      </c>
      <c r="L27" s="2">
        <v>25061</v>
      </c>
      <c r="M27" s="2" t="s">
        <v>135</v>
      </c>
      <c r="N27" s="2">
        <v>1</v>
      </c>
      <c r="O27" s="6">
        <v>12758.14</v>
      </c>
      <c r="P27" s="6">
        <v>12758.14</v>
      </c>
    </row>
    <row r="28" spans="1:16" outlineLevel="1" x14ac:dyDescent="0.2">
      <c r="A28" s="5"/>
      <c r="D28" s="4" t="s">
        <v>154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SUBTOTAL(9,N26:N27)</f>
        <v>7</v>
      </c>
      <c r="O28" s="7">
        <f>SUBTOTAL(9,O26:O27)</f>
        <v>29940.28</v>
      </c>
      <c r="P28" s="7">
        <f>+O28/N28</f>
        <v>4277.1828571428568</v>
      </c>
    </row>
    <row r="29" spans="1:16" outlineLevel="2" x14ac:dyDescent="0.2">
      <c r="A29" s="5">
        <v>46237</v>
      </c>
      <c r="B29" s="2">
        <v>161007</v>
      </c>
      <c r="C29" s="2">
        <v>1</v>
      </c>
      <c r="D29" s="2" t="s">
        <v>44</v>
      </c>
      <c r="E29" s="2" t="s">
        <v>23</v>
      </c>
      <c r="F29" s="2" t="s">
        <v>39</v>
      </c>
      <c r="G29" s="2" t="s">
        <v>22</v>
      </c>
      <c r="H29" s="2" t="s">
        <v>23</v>
      </c>
      <c r="I29" s="2" t="s">
        <v>23</v>
      </c>
      <c r="J29" s="2">
        <v>1</v>
      </c>
      <c r="K29" s="2" t="s">
        <v>24</v>
      </c>
      <c r="L29" s="2">
        <v>2521</v>
      </c>
      <c r="M29" s="2" t="s">
        <v>45</v>
      </c>
      <c r="N29" s="2">
        <v>6</v>
      </c>
      <c r="O29" s="6">
        <v>199190.79</v>
      </c>
      <c r="P29" s="6">
        <v>33198.47</v>
      </c>
    </row>
    <row r="30" spans="1:16" outlineLevel="1" x14ac:dyDescent="0.2">
      <c r="A30" s="5"/>
      <c r="D30" s="4" t="s">
        <v>155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SUBTOTAL(9,N29:N29)</f>
        <v>6</v>
      </c>
      <c r="O30" s="7">
        <f>SUBTOTAL(9,O29:O29)</f>
        <v>199190.79</v>
      </c>
      <c r="P30" s="7">
        <f>+O30/N30</f>
        <v>33198.465000000004</v>
      </c>
    </row>
    <row r="31" spans="1:16" outlineLevel="2" x14ac:dyDescent="0.2">
      <c r="A31" s="5">
        <v>46251</v>
      </c>
      <c r="B31" s="2">
        <v>161125</v>
      </c>
      <c r="C31" s="2">
        <v>3</v>
      </c>
      <c r="D31" s="2" t="s">
        <v>52</v>
      </c>
      <c r="E31" s="2" t="s">
        <v>53</v>
      </c>
      <c r="F31" s="2" t="s">
        <v>54</v>
      </c>
      <c r="G31" s="2" t="s">
        <v>22</v>
      </c>
      <c r="H31" s="2" t="s">
        <v>23</v>
      </c>
      <c r="I31" s="2" t="s">
        <v>55</v>
      </c>
      <c r="J31" s="2">
        <v>1</v>
      </c>
      <c r="K31" s="2" t="s">
        <v>24</v>
      </c>
      <c r="L31" s="2">
        <v>2535</v>
      </c>
      <c r="M31" s="2" t="s">
        <v>56</v>
      </c>
      <c r="N31" s="2">
        <v>2</v>
      </c>
      <c r="O31" s="6">
        <v>94590.76</v>
      </c>
      <c r="P31" s="6">
        <v>47295.38</v>
      </c>
    </row>
    <row r="32" spans="1:16" outlineLevel="1" x14ac:dyDescent="0.2">
      <c r="A32" s="5"/>
      <c r="D32" s="4" t="s">
        <v>156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SUBTOTAL(9,N31:N31)</f>
        <v>2</v>
      </c>
      <c r="O32" s="7">
        <f>SUBTOTAL(9,O31:O31)</f>
        <v>94590.76</v>
      </c>
      <c r="P32" s="7">
        <f>+O32/N32</f>
        <v>47295.38</v>
      </c>
    </row>
    <row r="33" spans="1:16" outlineLevel="2" x14ac:dyDescent="0.2">
      <c r="A33" s="5">
        <v>46246</v>
      </c>
      <c r="B33" s="2">
        <v>161138</v>
      </c>
      <c r="C33" s="2">
        <v>1</v>
      </c>
      <c r="D33" s="2" t="s">
        <v>57</v>
      </c>
      <c r="E33" s="2" t="s">
        <v>58</v>
      </c>
      <c r="F33" s="2" t="s">
        <v>39</v>
      </c>
      <c r="G33" s="2" t="s">
        <v>22</v>
      </c>
      <c r="H33" s="2" t="s">
        <v>23</v>
      </c>
      <c r="I33" s="2" t="s">
        <v>23</v>
      </c>
      <c r="J33" s="2">
        <v>1</v>
      </c>
      <c r="K33" s="2" t="s">
        <v>24</v>
      </c>
      <c r="L33" s="2">
        <v>2521</v>
      </c>
      <c r="M33" s="2" t="s">
        <v>45</v>
      </c>
      <c r="N33" s="2">
        <v>9</v>
      </c>
      <c r="O33" s="6">
        <v>165228.97</v>
      </c>
      <c r="P33" s="6">
        <v>18358.77</v>
      </c>
    </row>
    <row r="34" spans="1:16" outlineLevel="1" x14ac:dyDescent="0.2">
      <c r="A34" s="5"/>
      <c r="D34" s="4" t="s">
        <v>157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SUBTOTAL(9,N33:N33)</f>
        <v>9</v>
      </c>
      <c r="O34" s="7">
        <f>SUBTOTAL(9,O33:O33)</f>
        <v>165228.97</v>
      </c>
      <c r="P34" s="7">
        <f>+O34/N34</f>
        <v>18358.774444444443</v>
      </c>
    </row>
    <row r="35" spans="1:16" outlineLevel="2" x14ac:dyDescent="0.2">
      <c r="A35" s="5">
        <v>46251</v>
      </c>
      <c r="B35" s="2">
        <v>161522</v>
      </c>
      <c r="C35" s="2">
        <v>315</v>
      </c>
      <c r="D35" s="2" t="s">
        <v>85</v>
      </c>
      <c r="E35" s="2" t="s">
        <v>86</v>
      </c>
      <c r="F35" s="2" t="s">
        <v>34</v>
      </c>
      <c r="G35" s="2" t="s">
        <v>22</v>
      </c>
      <c r="H35" s="2" t="s">
        <v>23</v>
      </c>
      <c r="I35" s="2" t="s">
        <v>23</v>
      </c>
      <c r="J35" s="2">
        <v>5</v>
      </c>
      <c r="K35" s="2" t="s">
        <v>48</v>
      </c>
      <c r="L35" s="2">
        <v>2602</v>
      </c>
      <c r="M35" s="2" t="s">
        <v>87</v>
      </c>
      <c r="N35" s="2">
        <v>24</v>
      </c>
      <c r="O35" s="6">
        <v>130708.88</v>
      </c>
      <c r="P35" s="6">
        <v>5446.2</v>
      </c>
    </row>
    <row r="36" spans="1:16" outlineLevel="1" x14ac:dyDescent="0.2">
      <c r="A36" s="5"/>
      <c r="D36" s="4" t="s">
        <v>158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SUBTOTAL(9,N35:N35)</f>
        <v>24</v>
      </c>
      <c r="O36" s="7">
        <f>SUBTOTAL(9,O35:O35)</f>
        <v>130708.88</v>
      </c>
      <c r="P36" s="7">
        <f>+O36/N36</f>
        <v>5446.2033333333338</v>
      </c>
    </row>
    <row r="37" spans="1:16" outlineLevel="2" x14ac:dyDescent="0.2">
      <c r="A37" s="5">
        <v>46237</v>
      </c>
      <c r="B37" s="2">
        <v>161333</v>
      </c>
      <c r="C37" s="2">
        <v>1</v>
      </c>
      <c r="D37" s="2" t="s">
        <v>71</v>
      </c>
      <c r="E37" s="2" t="s">
        <v>72</v>
      </c>
      <c r="F37" s="2" t="s">
        <v>39</v>
      </c>
      <c r="G37" s="2" t="s">
        <v>22</v>
      </c>
      <c r="H37" s="2" t="s">
        <v>23</v>
      </c>
      <c r="I37" s="2" t="s">
        <v>23</v>
      </c>
      <c r="J37" s="2">
        <v>1</v>
      </c>
      <c r="K37" s="2" t="s">
        <v>24</v>
      </c>
      <c r="L37" s="2">
        <v>2521</v>
      </c>
      <c r="M37" s="2" t="s">
        <v>45</v>
      </c>
      <c r="N37" s="2">
        <v>1</v>
      </c>
      <c r="O37" s="6">
        <v>37027.56</v>
      </c>
      <c r="P37" s="6">
        <v>37027.56</v>
      </c>
    </row>
    <row r="38" spans="1:16" outlineLevel="2" x14ac:dyDescent="0.2">
      <c r="A38" s="5">
        <v>46251</v>
      </c>
      <c r="B38" s="2">
        <v>161722</v>
      </c>
      <c r="C38" s="2">
        <v>2</v>
      </c>
      <c r="D38" s="2" t="s">
        <v>71</v>
      </c>
      <c r="E38" s="2" t="s">
        <v>72</v>
      </c>
      <c r="F38" s="2" t="s">
        <v>39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24</v>
      </c>
      <c r="L38" s="2">
        <v>2521</v>
      </c>
      <c r="M38" s="2" t="s">
        <v>45</v>
      </c>
      <c r="N38" s="2">
        <v>1</v>
      </c>
      <c r="O38" s="6">
        <v>40850</v>
      </c>
      <c r="P38" s="6">
        <v>40850</v>
      </c>
    </row>
    <row r="39" spans="1:16" outlineLevel="1" x14ac:dyDescent="0.2">
      <c r="A39" s="5"/>
      <c r="D39" s="4" t="s">
        <v>159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SUBTOTAL(9,N37:N38)</f>
        <v>2</v>
      </c>
      <c r="O39" s="7">
        <f>SUBTOTAL(9,O37:O38)</f>
        <v>77877.56</v>
      </c>
      <c r="P39" s="7">
        <f>+O39/N39</f>
        <v>38938.78</v>
      </c>
    </row>
    <row r="40" spans="1:16" outlineLevel="2" x14ac:dyDescent="0.2">
      <c r="A40" s="5">
        <v>46244</v>
      </c>
      <c r="B40" s="2">
        <v>161570</v>
      </c>
      <c r="C40" s="2">
        <v>3</v>
      </c>
      <c r="D40" s="2" t="s">
        <v>89</v>
      </c>
      <c r="E40" s="2" t="s">
        <v>90</v>
      </c>
      <c r="F40" s="2" t="s">
        <v>39</v>
      </c>
      <c r="G40" s="2" t="s">
        <v>22</v>
      </c>
      <c r="H40" s="2" t="s">
        <v>23</v>
      </c>
      <c r="I40" s="2" t="s">
        <v>91</v>
      </c>
      <c r="J40" s="2">
        <v>1</v>
      </c>
      <c r="K40" s="2" t="s">
        <v>24</v>
      </c>
      <c r="L40" s="2">
        <v>331</v>
      </c>
      <c r="M40" s="2" t="s">
        <v>92</v>
      </c>
      <c r="N40" s="2">
        <v>-1</v>
      </c>
      <c r="O40" s="6">
        <v>1243.42</v>
      </c>
      <c r="P40" s="6">
        <v>-1243.42</v>
      </c>
    </row>
    <row r="41" spans="1:16" outlineLevel="2" x14ac:dyDescent="0.2">
      <c r="A41" s="5">
        <v>46248</v>
      </c>
      <c r="B41" s="2">
        <v>161570</v>
      </c>
      <c r="C41" s="2">
        <v>4</v>
      </c>
      <c r="D41" s="2" t="s">
        <v>89</v>
      </c>
      <c r="E41" s="2" t="s">
        <v>90</v>
      </c>
      <c r="F41" s="2" t="s">
        <v>39</v>
      </c>
      <c r="G41" s="2" t="s">
        <v>22</v>
      </c>
      <c r="H41" s="2" t="s">
        <v>23</v>
      </c>
      <c r="I41" s="2" t="s">
        <v>93</v>
      </c>
      <c r="J41" s="2">
        <v>1</v>
      </c>
      <c r="K41" s="2" t="s">
        <v>24</v>
      </c>
      <c r="L41" s="2">
        <v>331</v>
      </c>
      <c r="M41" s="2" t="s">
        <v>92</v>
      </c>
      <c r="N41" s="2">
        <v>3</v>
      </c>
      <c r="O41" s="6">
        <v>39207.86</v>
      </c>
      <c r="P41" s="6">
        <v>13069.29</v>
      </c>
    </row>
    <row r="42" spans="1:16" outlineLevel="1" x14ac:dyDescent="0.2">
      <c r="A42" s="5"/>
      <c r="D42" s="4" t="s">
        <v>160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SUBTOTAL(9,N40:N41)</f>
        <v>2</v>
      </c>
      <c r="O42" s="7">
        <f>SUBTOTAL(9,O40:O41)</f>
        <v>40451.279999999999</v>
      </c>
      <c r="P42" s="7">
        <f>+O42/N42</f>
        <v>20225.64</v>
      </c>
    </row>
    <row r="43" spans="1:16" outlineLevel="2" x14ac:dyDescent="0.2">
      <c r="A43" s="5">
        <v>46176</v>
      </c>
      <c r="B43" s="2">
        <v>159508</v>
      </c>
      <c r="C43" s="2">
        <v>4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23</v>
      </c>
      <c r="J43" s="2">
        <v>1</v>
      </c>
      <c r="K43" s="2" t="s">
        <v>24</v>
      </c>
      <c r="L43" s="2">
        <v>226</v>
      </c>
      <c r="M43" s="2" t="s">
        <v>25</v>
      </c>
      <c r="N43" s="2">
        <v>1</v>
      </c>
      <c r="O43" s="6">
        <v>31426.93</v>
      </c>
      <c r="P43" s="6">
        <v>31426.93</v>
      </c>
    </row>
    <row r="44" spans="1:16" outlineLevel="2" x14ac:dyDescent="0.2">
      <c r="A44" s="5">
        <v>46246</v>
      </c>
      <c r="B44" s="2">
        <v>160912</v>
      </c>
      <c r="C44" s="2">
        <v>2</v>
      </c>
      <c r="D44" s="2" t="s">
        <v>19</v>
      </c>
      <c r="E44" s="2" t="s">
        <v>42</v>
      </c>
      <c r="F44" s="2" t="s">
        <v>21</v>
      </c>
      <c r="G44" s="2" t="s">
        <v>22</v>
      </c>
      <c r="H44" s="2" t="s">
        <v>23</v>
      </c>
      <c r="I44" s="2" t="s">
        <v>23</v>
      </c>
      <c r="J44" s="2">
        <v>1</v>
      </c>
      <c r="K44" s="2" t="s">
        <v>24</v>
      </c>
      <c r="L44" s="2">
        <v>1857</v>
      </c>
      <c r="M44" s="2" t="s">
        <v>43</v>
      </c>
      <c r="N44" s="2">
        <v>2</v>
      </c>
      <c r="O44" s="6">
        <v>13381.6</v>
      </c>
      <c r="P44" s="6">
        <v>6690.8</v>
      </c>
    </row>
    <row r="45" spans="1:16" outlineLevel="2" x14ac:dyDescent="0.2">
      <c r="A45" s="5">
        <v>46241</v>
      </c>
      <c r="B45" s="2">
        <v>161462</v>
      </c>
      <c r="C45" s="2">
        <v>1</v>
      </c>
      <c r="D45" s="2" t="s">
        <v>19</v>
      </c>
      <c r="E45" s="2" t="s">
        <v>78</v>
      </c>
      <c r="F45" s="2" t="s">
        <v>21</v>
      </c>
      <c r="G45" s="2" t="s">
        <v>22</v>
      </c>
      <c r="H45" s="2" t="s">
        <v>79</v>
      </c>
      <c r="I45" s="2" t="s">
        <v>23</v>
      </c>
      <c r="J45" s="2">
        <v>1</v>
      </c>
      <c r="K45" s="2" t="s">
        <v>24</v>
      </c>
      <c r="L45" s="2">
        <v>226</v>
      </c>
      <c r="M45" s="2" t="s">
        <v>25</v>
      </c>
      <c r="N45" s="2">
        <v>1</v>
      </c>
      <c r="O45" s="6">
        <v>41694.75</v>
      </c>
      <c r="P45" s="6">
        <v>41694.75</v>
      </c>
    </row>
    <row r="46" spans="1:16" outlineLevel="2" x14ac:dyDescent="0.2">
      <c r="A46" s="5">
        <v>46188</v>
      </c>
      <c r="B46" s="2">
        <v>160107</v>
      </c>
      <c r="C46" s="2">
        <v>2</v>
      </c>
      <c r="D46" s="2" t="s">
        <v>19</v>
      </c>
      <c r="E46" s="2" t="s">
        <v>30</v>
      </c>
      <c r="F46" s="2" t="s">
        <v>21</v>
      </c>
      <c r="G46" s="2" t="s">
        <v>22</v>
      </c>
      <c r="H46" s="2" t="s">
        <v>23</v>
      </c>
      <c r="I46" s="2" t="s">
        <v>31</v>
      </c>
      <c r="J46" s="2">
        <v>1</v>
      </c>
      <c r="K46" s="2" t="s">
        <v>24</v>
      </c>
      <c r="L46" s="2">
        <v>226</v>
      </c>
      <c r="M46" s="2" t="s">
        <v>25</v>
      </c>
      <c r="N46" s="2">
        <v>1</v>
      </c>
      <c r="O46" s="6">
        <v>38894.43</v>
      </c>
      <c r="P46" s="6">
        <v>38894.43</v>
      </c>
    </row>
    <row r="47" spans="1:16" outlineLevel="1" x14ac:dyDescent="0.2">
      <c r="A47" s="5"/>
      <c r="D47" s="4" t="s">
        <v>161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SUBTOTAL(9,N43:N46)</f>
        <v>5</v>
      </c>
      <c r="O47" s="7">
        <f>SUBTOTAL(9,O43:O46)</f>
        <v>125397.70999999999</v>
      </c>
      <c r="P47" s="7">
        <f>+O47/N47</f>
        <v>25079.541999999998</v>
      </c>
    </row>
    <row r="48" spans="1:16" outlineLevel="2" x14ac:dyDescent="0.2">
      <c r="A48" s="5">
        <v>46208</v>
      </c>
      <c r="B48" s="2">
        <v>160714</v>
      </c>
      <c r="C48" s="2">
        <v>1</v>
      </c>
      <c r="D48" s="2" t="s">
        <v>37</v>
      </c>
      <c r="E48" s="2" t="s">
        <v>38</v>
      </c>
      <c r="F48" s="2" t="s">
        <v>39</v>
      </c>
      <c r="G48" s="2" t="s">
        <v>22</v>
      </c>
      <c r="H48" s="2" t="s">
        <v>23</v>
      </c>
      <c r="I48" s="2" t="s">
        <v>40</v>
      </c>
      <c r="J48" s="2">
        <v>1</v>
      </c>
      <c r="K48" s="2" t="s">
        <v>24</v>
      </c>
      <c r="L48" s="2">
        <v>25077</v>
      </c>
      <c r="M48" s="2" t="s">
        <v>41</v>
      </c>
      <c r="N48" s="2">
        <v>11</v>
      </c>
      <c r="O48" s="6">
        <v>52596.27</v>
      </c>
      <c r="P48" s="6">
        <v>4781.4799999999996</v>
      </c>
    </row>
    <row r="49" spans="1:16" outlineLevel="1" x14ac:dyDescent="0.2">
      <c r="A49" s="5"/>
      <c r="D49" s="4" t="s">
        <v>162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SUBTOTAL(9,N48:N48)</f>
        <v>11</v>
      </c>
      <c r="O49" s="7">
        <f>SUBTOTAL(9,O48:O48)</f>
        <v>52596.27</v>
      </c>
      <c r="P49" s="7">
        <f>+O49/N49</f>
        <v>4781.4790909090907</v>
      </c>
    </row>
    <row r="50" spans="1:16" outlineLevel="2" x14ac:dyDescent="0.2">
      <c r="A50" s="5">
        <v>46248</v>
      </c>
      <c r="B50" s="2">
        <v>161611</v>
      </c>
      <c r="C50" s="2">
        <v>501</v>
      </c>
      <c r="D50" s="2" t="s">
        <v>115</v>
      </c>
      <c r="E50" s="2" t="s">
        <v>116</v>
      </c>
      <c r="F50" s="2" t="s">
        <v>107</v>
      </c>
      <c r="G50" s="2" t="s">
        <v>22</v>
      </c>
      <c r="H50" s="2" t="s">
        <v>23</v>
      </c>
      <c r="I50" s="2" t="s">
        <v>23</v>
      </c>
      <c r="J50" s="2">
        <v>2</v>
      </c>
      <c r="K50" s="2" t="s">
        <v>104</v>
      </c>
      <c r="L50" s="2">
        <v>626</v>
      </c>
      <c r="M50" s="2" t="s">
        <v>114</v>
      </c>
      <c r="N50" s="2">
        <v>2</v>
      </c>
      <c r="O50" s="6">
        <v>10581.26</v>
      </c>
      <c r="P50" s="6">
        <v>5290.63</v>
      </c>
    </row>
    <row r="51" spans="1:16" outlineLevel="2" x14ac:dyDescent="0.2">
      <c r="A51" s="5">
        <v>46251</v>
      </c>
      <c r="B51" s="2">
        <v>161728</v>
      </c>
      <c r="C51" s="2">
        <v>301</v>
      </c>
      <c r="D51" s="2" t="s">
        <v>115</v>
      </c>
      <c r="E51" s="2" t="s">
        <v>116</v>
      </c>
      <c r="F51" s="2" t="s">
        <v>107</v>
      </c>
      <c r="G51" s="2" t="s">
        <v>22</v>
      </c>
      <c r="H51" s="2" t="s">
        <v>23</v>
      </c>
      <c r="I51" s="2" t="s">
        <v>23</v>
      </c>
      <c r="J51" s="2">
        <v>2</v>
      </c>
      <c r="K51" s="2" t="s">
        <v>104</v>
      </c>
      <c r="L51" s="2">
        <v>801</v>
      </c>
      <c r="M51" s="2" t="s">
        <v>108</v>
      </c>
      <c r="N51" s="2">
        <v>4</v>
      </c>
      <c r="O51" s="6">
        <v>26763.16</v>
      </c>
      <c r="P51" s="6">
        <v>6690.79</v>
      </c>
    </row>
    <row r="52" spans="1:16" outlineLevel="1" x14ac:dyDescent="0.2">
      <c r="A52" s="5"/>
      <c r="D52" s="4" t="s">
        <v>163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SUBTOTAL(9,N50:N51)</f>
        <v>6</v>
      </c>
      <c r="O52" s="7">
        <f>SUBTOTAL(9,O50:O51)</f>
        <v>37344.42</v>
      </c>
      <c r="P52" s="7">
        <f>+O52/N52</f>
        <v>6224.07</v>
      </c>
    </row>
    <row r="53" spans="1:16" outlineLevel="2" x14ac:dyDescent="0.2">
      <c r="A53" s="5">
        <v>46246</v>
      </c>
      <c r="B53" s="2">
        <v>159984</v>
      </c>
      <c r="C53" s="2">
        <v>2</v>
      </c>
      <c r="D53" s="2" t="s">
        <v>26</v>
      </c>
      <c r="E53" s="2" t="s">
        <v>27</v>
      </c>
      <c r="F53" s="2" t="s">
        <v>28</v>
      </c>
      <c r="G53" s="2" t="s">
        <v>23</v>
      </c>
      <c r="H53" s="2" t="s">
        <v>23</v>
      </c>
      <c r="I53" s="2" t="s">
        <v>23</v>
      </c>
      <c r="J53" s="2">
        <v>1</v>
      </c>
      <c r="K53" s="2" t="s">
        <v>24</v>
      </c>
      <c r="L53" s="2">
        <v>600</v>
      </c>
      <c r="M53" s="2" t="s">
        <v>29</v>
      </c>
      <c r="N53" s="2">
        <v>5</v>
      </c>
      <c r="O53" s="6">
        <v>17118.759999999998</v>
      </c>
      <c r="P53" s="6">
        <v>3423.75</v>
      </c>
    </row>
    <row r="54" spans="1:16" outlineLevel="1" x14ac:dyDescent="0.2">
      <c r="A54" s="5"/>
      <c r="D54" s="4" t="s">
        <v>164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SUBTOTAL(9,N53:N53)</f>
        <v>5</v>
      </c>
      <c r="O54" s="7">
        <f>SUBTOTAL(9,O53:O53)</f>
        <v>17118.759999999998</v>
      </c>
      <c r="P54" s="7">
        <f>+O54/N54</f>
        <v>3423.7519999999995</v>
      </c>
    </row>
    <row r="55" spans="1:16" outlineLevel="2" x14ac:dyDescent="0.2">
      <c r="A55" s="5">
        <v>46209</v>
      </c>
      <c r="B55" s="2">
        <v>160662</v>
      </c>
      <c r="C55" s="2">
        <v>1</v>
      </c>
      <c r="D55" s="2" t="s">
        <v>32</v>
      </c>
      <c r="E55" s="2" t="s">
        <v>33</v>
      </c>
      <c r="F55" s="2" t="s">
        <v>34</v>
      </c>
      <c r="G55" s="2" t="s">
        <v>22</v>
      </c>
      <c r="H55" s="2" t="s">
        <v>23</v>
      </c>
      <c r="I55" s="2" t="s">
        <v>35</v>
      </c>
      <c r="J55" s="2">
        <v>1</v>
      </c>
      <c r="K55" s="2" t="s">
        <v>24</v>
      </c>
      <c r="L55" s="2">
        <v>206</v>
      </c>
      <c r="M55" s="2" t="s">
        <v>36</v>
      </c>
      <c r="N55" s="2">
        <v>19</v>
      </c>
      <c r="O55" s="6">
        <v>745528.3</v>
      </c>
      <c r="P55" s="6">
        <v>39238.33</v>
      </c>
    </row>
    <row r="56" spans="1:16" outlineLevel="2" x14ac:dyDescent="0.2">
      <c r="A56" s="5">
        <v>46244</v>
      </c>
      <c r="B56" s="2">
        <v>161331</v>
      </c>
      <c r="C56" s="2">
        <v>6</v>
      </c>
      <c r="D56" s="2" t="s">
        <v>32</v>
      </c>
      <c r="E56" s="2" t="s">
        <v>33</v>
      </c>
      <c r="F56" s="2" t="s">
        <v>39</v>
      </c>
      <c r="G56" s="2" t="s">
        <v>63</v>
      </c>
      <c r="H56" s="2" t="s">
        <v>23</v>
      </c>
      <c r="I56" s="2" t="s">
        <v>64</v>
      </c>
      <c r="J56" s="2">
        <v>40</v>
      </c>
      <c r="K56" s="2" t="s">
        <v>65</v>
      </c>
      <c r="L56" s="2">
        <v>2813</v>
      </c>
      <c r="M56" s="2" t="s">
        <v>66</v>
      </c>
      <c r="N56" s="2">
        <v>13</v>
      </c>
      <c r="O56" s="6">
        <v>76245.679999999993</v>
      </c>
      <c r="P56" s="6">
        <v>5865.05</v>
      </c>
    </row>
    <row r="57" spans="1:16" outlineLevel="2" x14ac:dyDescent="0.2">
      <c r="A57" s="5">
        <v>46237</v>
      </c>
      <c r="B57" s="2">
        <v>161332</v>
      </c>
      <c r="C57" s="2">
        <v>2</v>
      </c>
      <c r="D57" s="2" t="s">
        <v>32</v>
      </c>
      <c r="E57" s="2" t="s">
        <v>33</v>
      </c>
      <c r="F57" s="2" t="s">
        <v>67</v>
      </c>
      <c r="G57" s="2" t="s">
        <v>68</v>
      </c>
      <c r="H57" s="2" t="s">
        <v>23</v>
      </c>
      <c r="I57" s="2" t="s">
        <v>69</v>
      </c>
      <c r="J57" s="2">
        <v>1</v>
      </c>
      <c r="K57" s="2" t="s">
        <v>24</v>
      </c>
      <c r="L57" s="2">
        <v>1846</v>
      </c>
      <c r="M57" s="2" t="s">
        <v>70</v>
      </c>
      <c r="N57" s="2">
        <v>4</v>
      </c>
      <c r="O57" s="6">
        <v>36097.56</v>
      </c>
      <c r="P57" s="6">
        <v>9024.39</v>
      </c>
    </row>
    <row r="58" spans="1:16" outlineLevel="2" x14ac:dyDescent="0.2">
      <c r="A58" s="5">
        <v>46241</v>
      </c>
      <c r="B58" s="2">
        <v>161467</v>
      </c>
      <c r="C58" s="2">
        <v>1</v>
      </c>
      <c r="D58" s="2" t="s">
        <v>32</v>
      </c>
      <c r="E58" s="2" t="s">
        <v>33</v>
      </c>
      <c r="F58" s="2" t="s">
        <v>34</v>
      </c>
      <c r="G58" s="2" t="s">
        <v>22</v>
      </c>
      <c r="H58" s="2" t="s">
        <v>23</v>
      </c>
      <c r="I58" s="2" t="s">
        <v>23</v>
      </c>
      <c r="J58" s="2">
        <v>1</v>
      </c>
      <c r="K58" s="2" t="s">
        <v>24</v>
      </c>
      <c r="L58" s="2">
        <v>206</v>
      </c>
      <c r="M58" s="2" t="s">
        <v>36</v>
      </c>
      <c r="N58" s="2">
        <v>47</v>
      </c>
      <c r="O58" s="6">
        <v>2066998.74</v>
      </c>
      <c r="P58" s="6">
        <v>43978.7</v>
      </c>
    </row>
    <row r="59" spans="1:16" outlineLevel="2" x14ac:dyDescent="0.2">
      <c r="A59" s="5">
        <v>46248</v>
      </c>
      <c r="B59" s="2">
        <v>161518</v>
      </c>
      <c r="C59" s="2">
        <v>1</v>
      </c>
      <c r="D59" s="2" t="s">
        <v>32</v>
      </c>
      <c r="E59" s="2" t="s">
        <v>33</v>
      </c>
      <c r="F59" s="2" t="s">
        <v>39</v>
      </c>
      <c r="G59" s="2" t="s">
        <v>22</v>
      </c>
      <c r="H59" s="2" t="s">
        <v>23</v>
      </c>
      <c r="I59" s="2" t="s">
        <v>83</v>
      </c>
      <c r="J59" s="2">
        <v>40</v>
      </c>
      <c r="K59" s="2" t="s">
        <v>65</v>
      </c>
      <c r="L59" s="2">
        <v>1502</v>
      </c>
      <c r="M59" s="2" t="s">
        <v>84</v>
      </c>
      <c r="N59" s="2">
        <v>40</v>
      </c>
      <c r="O59" s="6">
        <v>351641.1</v>
      </c>
      <c r="P59" s="6">
        <v>8791.0300000000007</v>
      </c>
    </row>
    <row r="60" spans="1:16" outlineLevel="1" x14ac:dyDescent="0.2">
      <c r="A60" s="5"/>
      <c r="D60" s="4" t="s">
        <v>165</v>
      </c>
      <c r="E60" s="4"/>
      <c r="F60" s="4"/>
      <c r="G60" s="4"/>
      <c r="H60" s="4"/>
      <c r="I60" s="4"/>
      <c r="J60" s="4"/>
      <c r="K60" s="4"/>
      <c r="L60" s="4"/>
      <c r="M60" s="4"/>
      <c r="N60" s="4">
        <f>SUBTOTAL(9,N55:N59)</f>
        <v>123</v>
      </c>
      <c r="O60" s="7">
        <f>SUBTOTAL(9,O55:O59)</f>
        <v>3276511.3800000004</v>
      </c>
      <c r="P60" s="7">
        <f>+O60/N60</f>
        <v>26638.303902439027</v>
      </c>
    </row>
    <row r="61" spans="1:16" outlineLevel="2" x14ac:dyDescent="0.2">
      <c r="A61" s="5">
        <v>46251</v>
      </c>
      <c r="B61" s="2">
        <v>161690</v>
      </c>
      <c r="C61" s="2">
        <v>1</v>
      </c>
      <c r="D61" s="2" t="s">
        <v>128</v>
      </c>
      <c r="E61" s="2" t="s">
        <v>33</v>
      </c>
      <c r="F61" s="2" t="s">
        <v>39</v>
      </c>
      <c r="G61" s="2" t="s">
        <v>63</v>
      </c>
      <c r="H61" s="2" t="s">
        <v>23</v>
      </c>
      <c r="I61" s="2" t="s">
        <v>129</v>
      </c>
      <c r="J61" s="2">
        <v>40</v>
      </c>
      <c r="K61" s="2" t="s">
        <v>65</v>
      </c>
      <c r="L61" s="2">
        <v>25243</v>
      </c>
      <c r="M61" s="2" t="s">
        <v>130</v>
      </c>
      <c r="N61" s="2">
        <v>35</v>
      </c>
      <c r="O61" s="6">
        <v>1655140.98</v>
      </c>
      <c r="P61" s="6">
        <v>47289.74</v>
      </c>
    </row>
    <row r="62" spans="1:16" outlineLevel="2" x14ac:dyDescent="0.2">
      <c r="A62" s="5">
        <v>46251</v>
      </c>
      <c r="B62" s="2">
        <v>161690</v>
      </c>
      <c r="C62" s="2">
        <v>2</v>
      </c>
      <c r="D62" s="2" t="s">
        <v>128</v>
      </c>
      <c r="E62" s="2" t="s">
        <v>33</v>
      </c>
      <c r="F62" s="2" t="s">
        <v>39</v>
      </c>
      <c r="G62" s="2" t="s">
        <v>63</v>
      </c>
      <c r="H62" s="2" t="s">
        <v>23</v>
      </c>
      <c r="I62" s="2" t="s">
        <v>131</v>
      </c>
      <c r="J62" s="2">
        <v>40</v>
      </c>
      <c r="K62" s="2" t="s">
        <v>65</v>
      </c>
      <c r="L62" s="2">
        <v>25243</v>
      </c>
      <c r="M62" s="2" t="s">
        <v>130</v>
      </c>
      <c r="N62" s="2">
        <v>21</v>
      </c>
      <c r="O62" s="6">
        <v>973600.74</v>
      </c>
      <c r="P62" s="6">
        <v>46361.94</v>
      </c>
    </row>
    <row r="63" spans="1:16" outlineLevel="2" x14ac:dyDescent="0.2">
      <c r="A63" s="5">
        <v>46251</v>
      </c>
      <c r="B63" s="2">
        <v>161690</v>
      </c>
      <c r="C63" s="2">
        <v>3</v>
      </c>
      <c r="D63" s="2" t="s">
        <v>128</v>
      </c>
      <c r="E63" s="2" t="s">
        <v>33</v>
      </c>
      <c r="F63" s="2" t="s">
        <v>39</v>
      </c>
      <c r="G63" s="2" t="s">
        <v>63</v>
      </c>
      <c r="H63" s="2" t="s">
        <v>23</v>
      </c>
      <c r="I63" s="2" t="s">
        <v>35</v>
      </c>
      <c r="J63" s="2">
        <v>40</v>
      </c>
      <c r="K63" s="2" t="s">
        <v>65</v>
      </c>
      <c r="L63" s="2">
        <v>25243</v>
      </c>
      <c r="M63" s="2" t="s">
        <v>130</v>
      </c>
      <c r="N63" s="2">
        <v>3</v>
      </c>
      <c r="O63" s="6">
        <v>139085.82</v>
      </c>
      <c r="P63" s="6">
        <v>46361.94</v>
      </c>
    </row>
    <row r="64" spans="1:16" outlineLevel="1" x14ac:dyDescent="0.2">
      <c r="A64" s="5"/>
      <c r="D64" s="4" t="s">
        <v>166</v>
      </c>
      <c r="E64" s="4"/>
      <c r="F64" s="4"/>
      <c r="G64" s="4"/>
      <c r="H64" s="4"/>
      <c r="I64" s="4"/>
      <c r="J64" s="4"/>
      <c r="K64" s="4"/>
      <c r="L64" s="4"/>
      <c r="M64" s="4"/>
      <c r="N64" s="4">
        <f>SUBTOTAL(9,N61:N63)</f>
        <v>59</v>
      </c>
      <c r="O64" s="7">
        <f>SUBTOTAL(9,O61:O63)</f>
        <v>2767827.5399999996</v>
      </c>
      <c r="P64" s="7">
        <f>+O64/N64</f>
        <v>46912.331186440671</v>
      </c>
    </row>
    <row r="65" spans="1:16" outlineLevel="2" x14ac:dyDescent="0.2">
      <c r="A65" s="5">
        <v>46244</v>
      </c>
      <c r="B65" s="2">
        <v>161408</v>
      </c>
      <c r="C65" s="2">
        <v>300</v>
      </c>
      <c r="D65" s="2" t="s">
        <v>75</v>
      </c>
      <c r="E65" s="2" t="s">
        <v>33</v>
      </c>
      <c r="F65" s="2" t="s">
        <v>76</v>
      </c>
      <c r="G65" s="2" t="s">
        <v>23</v>
      </c>
      <c r="H65" s="2" t="s">
        <v>23</v>
      </c>
      <c r="I65" s="2" t="s">
        <v>23</v>
      </c>
      <c r="J65" s="2">
        <v>40</v>
      </c>
      <c r="K65" s="2" t="s">
        <v>65</v>
      </c>
      <c r="L65" s="2">
        <v>133</v>
      </c>
      <c r="M65" s="2" t="s">
        <v>77</v>
      </c>
      <c r="N65" s="2">
        <v>10</v>
      </c>
      <c r="O65" s="6">
        <v>43571.9</v>
      </c>
      <c r="P65" s="6">
        <v>4357.1899999999996</v>
      </c>
    </row>
    <row r="66" spans="1:16" outlineLevel="1" x14ac:dyDescent="0.2">
      <c r="A66" s="5"/>
      <c r="D66" s="4" t="s">
        <v>167</v>
      </c>
      <c r="E66" s="4"/>
      <c r="F66" s="4"/>
      <c r="G66" s="4"/>
      <c r="H66" s="4"/>
      <c r="I66" s="4"/>
      <c r="J66" s="4"/>
      <c r="K66" s="4"/>
      <c r="L66" s="4"/>
      <c r="M66" s="4"/>
      <c r="N66" s="4">
        <f>SUBTOTAL(9,N65:N65)</f>
        <v>10</v>
      </c>
      <c r="O66" s="7">
        <f>SUBTOTAL(9,O65:O65)</f>
        <v>43571.9</v>
      </c>
      <c r="P66" s="7">
        <f>+O66/N66</f>
        <v>4357.1900000000005</v>
      </c>
    </row>
    <row r="67" spans="1:16" outlineLevel="2" x14ac:dyDescent="0.2">
      <c r="A67" s="5">
        <v>46251</v>
      </c>
      <c r="B67" s="2">
        <v>161689</v>
      </c>
      <c r="C67" s="2">
        <v>1</v>
      </c>
      <c r="D67" s="2" t="s">
        <v>126</v>
      </c>
      <c r="E67" s="2" t="s">
        <v>127</v>
      </c>
      <c r="F67" s="2" t="s">
        <v>39</v>
      </c>
      <c r="G67" s="2" t="s">
        <v>22</v>
      </c>
      <c r="H67" s="2" t="s">
        <v>23</v>
      </c>
      <c r="I67" s="2" t="s">
        <v>23</v>
      </c>
      <c r="J67" s="2">
        <v>5</v>
      </c>
      <c r="K67" s="2" t="s">
        <v>48</v>
      </c>
      <c r="L67" s="2">
        <v>2521</v>
      </c>
      <c r="M67" s="2" t="s">
        <v>45</v>
      </c>
      <c r="N67" s="2">
        <v>19</v>
      </c>
      <c r="O67" s="6">
        <v>588710.63</v>
      </c>
      <c r="P67" s="6">
        <v>30984.77</v>
      </c>
    </row>
    <row r="68" spans="1:16" outlineLevel="1" x14ac:dyDescent="0.2">
      <c r="A68" s="5"/>
      <c r="D68" s="4" t="s">
        <v>168</v>
      </c>
      <c r="E68" s="4"/>
      <c r="F68" s="4"/>
      <c r="G68" s="4"/>
      <c r="H68" s="4"/>
      <c r="I68" s="4"/>
      <c r="J68" s="4"/>
      <c r="K68" s="4"/>
      <c r="L68" s="4"/>
      <c r="M68" s="4"/>
      <c r="N68" s="4">
        <f>SUBTOTAL(9,N67:N67)</f>
        <v>19</v>
      </c>
      <c r="O68" s="7">
        <f>SUBTOTAL(9,O67:O67)</f>
        <v>588710.63</v>
      </c>
      <c r="P68" s="7">
        <f>+O68/N68</f>
        <v>30984.77</v>
      </c>
    </row>
    <row r="69" spans="1:16" outlineLevel="2" x14ac:dyDescent="0.2">
      <c r="A69" s="5">
        <v>46251</v>
      </c>
      <c r="B69" s="2">
        <v>161724</v>
      </c>
      <c r="C69" s="2">
        <v>1</v>
      </c>
      <c r="D69" s="2" t="s">
        <v>132</v>
      </c>
      <c r="E69" s="2" t="s">
        <v>133</v>
      </c>
      <c r="F69" s="2" t="s">
        <v>39</v>
      </c>
      <c r="G69" s="2" t="s">
        <v>22</v>
      </c>
      <c r="H69" s="2" t="s">
        <v>23</v>
      </c>
      <c r="I69" s="2" t="s">
        <v>23</v>
      </c>
      <c r="J69" s="2">
        <v>5</v>
      </c>
      <c r="K69" s="2" t="s">
        <v>48</v>
      </c>
      <c r="L69" s="2">
        <v>2521</v>
      </c>
      <c r="M69" s="2" t="s">
        <v>45</v>
      </c>
      <c r="N69" s="2">
        <v>1</v>
      </c>
      <c r="O69" s="6">
        <v>27693.17</v>
      </c>
      <c r="P69" s="6">
        <v>27693.17</v>
      </c>
    </row>
    <row r="70" spans="1:16" outlineLevel="1" x14ac:dyDescent="0.2">
      <c r="A70" s="5"/>
      <c r="D70" s="4" t="s">
        <v>169</v>
      </c>
      <c r="E70" s="4"/>
      <c r="F70" s="4"/>
      <c r="G70" s="4"/>
      <c r="H70" s="4"/>
      <c r="I70" s="4"/>
      <c r="J70" s="4"/>
      <c r="K70" s="4"/>
      <c r="L70" s="4"/>
      <c r="M70" s="4"/>
      <c r="N70" s="4">
        <f>SUBTOTAL(9,N69:N69)</f>
        <v>1</v>
      </c>
      <c r="O70" s="7">
        <f>SUBTOTAL(9,O69:O69)</f>
        <v>27693.17</v>
      </c>
      <c r="P70" s="7">
        <f>+O70/N70</f>
        <v>27693.17</v>
      </c>
    </row>
    <row r="71" spans="1:16" outlineLevel="2" x14ac:dyDescent="0.2">
      <c r="A71" s="5">
        <v>46251</v>
      </c>
      <c r="B71" s="2">
        <v>161739</v>
      </c>
      <c r="C71" s="2">
        <v>2</v>
      </c>
      <c r="D71" s="2" t="s">
        <v>136</v>
      </c>
      <c r="E71" s="2" t="s">
        <v>137</v>
      </c>
      <c r="F71" s="2" t="s">
        <v>21</v>
      </c>
      <c r="G71" s="2" t="s">
        <v>22</v>
      </c>
      <c r="H71" s="2" t="s">
        <v>23</v>
      </c>
      <c r="I71" s="2" t="s">
        <v>23</v>
      </c>
      <c r="J71" s="2">
        <v>78</v>
      </c>
      <c r="K71" s="2" t="s">
        <v>138</v>
      </c>
      <c r="L71" s="2">
        <v>226</v>
      </c>
      <c r="M71" s="2" t="s">
        <v>25</v>
      </c>
      <c r="N71" s="2">
        <v>1</v>
      </c>
      <c r="O71" s="6">
        <v>20225.66</v>
      </c>
      <c r="P71" s="6">
        <v>20225.66</v>
      </c>
    </row>
    <row r="72" spans="1:16" outlineLevel="1" x14ac:dyDescent="0.2">
      <c r="A72" s="5"/>
      <c r="D72" s="4" t="s">
        <v>170</v>
      </c>
      <c r="E72" s="4"/>
      <c r="F72" s="4"/>
      <c r="G72" s="4"/>
      <c r="H72" s="4"/>
      <c r="I72" s="4"/>
      <c r="J72" s="4"/>
      <c r="K72" s="4"/>
      <c r="L72" s="4"/>
      <c r="M72" s="4"/>
      <c r="N72" s="4">
        <f>SUBTOTAL(9,N71:N71)</f>
        <v>1</v>
      </c>
      <c r="O72" s="7">
        <f>SUBTOTAL(9,O71:O71)</f>
        <v>20225.66</v>
      </c>
      <c r="P72" s="7">
        <f>+O72/N72</f>
        <v>20225.66</v>
      </c>
    </row>
    <row r="73" spans="1:16" outlineLevel="2" x14ac:dyDescent="0.2">
      <c r="A73" s="5">
        <v>46244</v>
      </c>
      <c r="B73" s="2">
        <v>161582</v>
      </c>
      <c r="C73" s="2">
        <v>1</v>
      </c>
      <c r="D73" s="2" t="s">
        <v>94</v>
      </c>
      <c r="E73" s="2" t="s">
        <v>95</v>
      </c>
      <c r="F73" s="2" t="s">
        <v>96</v>
      </c>
      <c r="G73" s="2" t="s">
        <v>22</v>
      </c>
      <c r="H73" s="2" t="s">
        <v>23</v>
      </c>
      <c r="I73" s="2" t="s">
        <v>97</v>
      </c>
      <c r="J73" s="2">
        <v>1</v>
      </c>
      <c r="K73" s="2" t="s">
        <v>24</v>
      </c>
      <c r="L73" s="2">
        <v>1037</v>
      </c>
      <c r="M73" s="2" t="s">
        <v>98</v>
      </c>
      <c r="N73" s="2">
        <v>1</v>
      </c>
      <c r="O73" s="6">
        <v>51029.14</v>
      </c>
      <c r="P73" s="6">
        <v>51029.14</v>
      </c>
    </row>
    <row r="74" spans="1:16" outlineLevel="1" x14ac:dyDescent="0.2">
      <c r="A74" s="5"/>
      <c r="D74" s="4" t="s">
        <v>171</v>
      </c>
      <c r="E74" s="4"/>
      <c r="F74" s="4"/>
      <c r="G74" s="4"/>
      <c r="H74" s="4"/>
      <c r="I74" s="4"/>
      <c r="J74" s="4"/>
      <c r="K74" s="4"/>
      <c r="L74" s="4"/>
      <c r="M74" s="4"/>
      <c r="N74" s="4">
        <f>SUBTOTAL(9,N73:N73)</f>
        <v>1</v>
      </c>
      <c r="O74" s="7">
        <f>SUBTOTAL(9,O73:O73)</f>
        <v>51029.14</v>
      </c>
      <c r="P74" s="7">
        <f>+O74/N74</f>
        <v>51029.14</v>
      </c>
    </row>
    <row r="75" spans="1:16" outlineLevel="2" x14ac:dyDescent="0.2">
      <c r="A75" s="5">
        <v>46248</v>
      </c>
      <c r="B75" s="2">
        <v>161627</v>
      </c>
      <c r="C75" s="2">
        <v>1</v>
      </c>
      <c r="D75" s="2" t="s">
        <v>119</v>
      </c>
      <c r="E75" s="2" t="s">
        <v>23</v>
      </c>
      <c r="F75" s="2" t="s">
        <v>120</v>
      </c>
      <c r="G75" s="2" t="s">
        <v>22</v>
      </c>
      <c r="H75" s="2" t="s">
        <v>23</v>
      </c>
      <c r="I75" s="2" t="s">
        <v>23</v>
      </c>
      <c r="J75" s="2">
        <v>41</v>
      </c>
      <c r="K75" s="2" t="s">
        <v>121</v>
      </c>
      <c r="L75" s="2">
        <v>25213</v>
      </c>
      <c r="M75" s="2" t="s">
        <v>122</v>
      </c>
      <c r="N75" s="2">
        <v>4</v>
      </c>
      <c r="O75" s="6">
        <v>15561.92</v>
      </c>
      <c r="P75" s="6">
        <v>3890.48</v>
      </c>
    </row>
    <row r="76" spans="1:16" outlineLevel="1" x14ac:dyDescent="0.2">
      <c r="A76" s="5"/>
      <c r="D76" s="4" t="s">
        <v>172</v>
      </c>
      <c r="E76" s="4"/>
      <c r="F76" s="4"/>
      <c r="G76" s="4"/>
      <c r="H76" s="4"/>
      <c r="I76" s="4"/>
      <c r="J76" s="4"/>
      <c r="K76" s="4"/>
      <c r="L76" s="4"/>
      <c r="M76" s="4"/>
      <c r="N76" s="4">
        <f>SUBTOTAL(9,N75:N75)</f>
        <v>4</v>
      </c>
      <c r="O76" s="7">
        <f>SUBTOTAL(9,O75:O75)</f>
        <v>15561.92</v>
      </c>
      <c r="P76" s="7">
        <f>+O76/N76</f>
        <v>3890.48</v>
      </c>
    </row>
    <row r="77" spans="1:16" outlineLevel="2" x14ac:dyDescent="0.2">
      <c r="A77" s="5">
        <v>46251</v>
      </c>
      <c r="B77" s="2">
        <v>161744</v>
      </c>
      <c r="C77" s="2">
        <v>1</v>
      </c>
      <c r="D77" s="2" t="s">
        <v>141</v>
      </c>
      <c r="E77" s="2" t="s">
        <v>142</v>
      </c>
      <c r="F77" s="2" t="s">
        <v>120</v>
      </c>
      <c r="G77" s="2" t="s">
        <v>22</v>
      </c>
      <c r="H77" s="2" t="s">
        <v>23</v>
      </c>
      <c r="I77" s="2" t="s">
        <v>23</v>
      </c>
      <c r="J77" s="2">
        <v>41</v>
      </c>
      <c r="K77" s="2" t="s">
        <v>121</v>
      </c>
      <c r="L77" s="2">
        <v>2338</v>
      </c>
      <c r="M77" s="2" t="s">
        <v>143</v>
      </c>
      <c r="N77" s="2">
        <v>10</v>
      </c>
      <c r="O77" s="6">
        <v>6234.4</v>
      </c>
      <c r="P77" s="6">
        <v>623.44000000000005</v>
      </c>
    </row>
    <row r="78" spans="1:16" outlineLevel="1" x14ac:dyDescent="0.2">
      <c r="A78" s="5"/>
      <c r="D78" s="4" t="s">
        <v>173</v>
      </c>
      <c r="E78" s="4"/>
      <c r="F78" s="4"/>
      <c r="G78" s="4"/>
      <c r="H78" s="4"/>
      <c r="I78" s="4"/>
      <c r="J78" s="4"/>
      <c r="K78" s="4"/>
      <c r="L78" s="4"/>
      <c r="M78" s="4"/>
      <c r="N78" s="4">
        <f>SUBTOTAL(9,N77:N77)</f>
        <v>10</v>
      </c>
      <c r="O78" s="7">
        <f>SUBTOTAL(9,O77:O77)</f>
        <v>6234.4</v>
      </c>
      <c r="P78" s="7">
        <f>+O78/N78</f>
        <v>623.43999999999994</v>
      </c>
    </row>
    <row r="79" spans="1:16" outlineLevel="2" x14ac:dyDescent="0.2">
      <c r="A79" s="5">
        <v>46251</v>
      </c>
      <c r="B79" s="2">
        <v>161776</v>
      </c>
      <c r="C79" s="2">
        <v>10</v>
      </c>
      <c r="D79" s="2" t="s">
        <v>144</v>
      </c>
      <c r="E79" s="2" t="s">
        <v>145</v>
      </c>
      <c r="F79" s="2" t="s">
        <v>107</v>
      </c>
      <c r="G79" s="2" t="s">
        <v>22</v>
      </c>
      <c r="H79" s="2" t="s">
        <v>23</v>
      </c>
      <c r="I79" s="2" t="s">
        <v>23</v>
      </c>
      <c r="J79" s="2">
        <v>41</v>
      </c>
      <c r="K79" s="2" t="s">
        <v>121</v>
      </c>
      <c r="L79" s="2">
        <v>801</v>
      </c>
      <c r="M79" s="2" t="s">
        <v>108</v>
      </c>
      <c r="N79" s="2">
        <v>1</v>
      </c>
      <c r="O79" s="6">
        <v>16491.900000000001</v>
      </c>
      <c r="P79" s="6">
        <v>16491.900000000001</v>
      </c>
    </row>
    <row r="80" spans="1:16" outlineLevel="2" x14ac:dyDescent="0.2">
      <c r="A80" s="5">
        <v>46251</v>
      </c>
      <c r="B80" s="2">
        <v>161777</v>
      </c>
      <c r="C80" s="2">
        <v>5</v>
      </c>
      <c r="D80" s="2" t="s">
        <v>144</v>
      </c>
      <c r="E80" s="2" t="s">
        <v>113</v>
      </c>
      <c r="F80" s="2" t="s">
        <v>107</v>
      </c>
      <c r="G80" s="2" t="s">
        <v>22</v>
      </c>
      <c r="H80" s="2" t="s">
        <v>23</v>
      </c>
      <c r="I80" s="2" t="s">
        <v>23</v>
      </c>
      <c r="J80" s="2">
        <v>2</v>
      </c>
      <c r="K80" s="2" t="s">
        <v>104</v>
      </c>
      <c r="L80" s="2">
        <v>106</v>
      </c>
      <c r="M80" s="2" t="s">
        <v>146</v>
      </c>
      <c r="N80" s="2">
        <v>1</v>
      </c>
      <c r="O80" s="6">
        <v>27693.17</v>
      </c>
      <c r="P80" s="6">
        <v>27693.17</v>
      </c>
    </row>
    <row r="81" spans="1:16" outlineLevel="1" x14ac:dyDescent="0.2">
      <c r="A81" s="5"/>
      <c r="D81" s="4" t="s">
        <v>174</v>
      </c>
      <c r="E81" s="4"/>
      <c r="F81" s="4"/>
      <c r="G81" s="4"/>
      <c r="H81" s="4"/>
      <c r="I81" s="4"/>
      <c r="J81" s="4"/>
      <c r="K81" s="4"/>
      <c r="L81" s="4"/>
      <c r="M81" s="4"/>
      <c r="N81" s="4">
        <f>SUBTOTAL(9,N79:N80)</f>
        <v>2</v>
      </c>
      <c r="O81" s="7">
        <f>SUBTOTAL(9,O79:O80)</f>
        <v>44185.07</v>
      </c>
      <c r="P81" s="7">
        <f>+O81/N81</f>
        <v>22092.535</v>
      </c>
    </row>
    <row r="82" spans="1:16" outlineLevel="2" x14ac:dyDescent="0.2">
      <c r="A82" s="5">
        <v>46244</v>
      </c>
      <c r="B82" s="2">
        <v>161583</v>
      </c>
      <c r="C82" s="2">
        <v>1</v>
      </c>
      <c r="D82" s="2" t="s">
        <v>49</v>
      </c>
      <c r="E82" s="2" t="s">
        <v>99</v>
      </c>
      <c r="F82" s="2" t="s">
        <v>39</v>
      </c>
      <c r="G82" s="2" t="s">
        <v>22</v>
      </c>
      <c r="H82" s="2" t="s">
        <v>23</v>
      </c>
      <c r="I82" s="2" t="s">
        <v>23</v>
      </c>
      <c r="J82" s="2">
        <v>1</v>
      </c>
      <c r="K82" s="2" t="s">
        <v>24</v>
      </c>
      <c r="L82" s="2">
        <v>2541</v>
      </c>
      <c r="M82" s="2" t="s">
        <v>51</v>
      </c>
      <c r="N82" s="2">
        <v>6</v>
      </c>
      <c r="O82" s="6">
        <v>392051.26</v>
      </c>
      <c r="P82" s="6">
        <v>65341.88</v>
      </c>
    </row>
    <row r="83" spans="1:16" outlineLevel="2" x14ac:dyDescent="0.2">
      <c r="A83" s="5">
        <v>46238</v>
      </c>
      <c r="B83" s="2">
        <v>161095</v>
      </c>
      <c r="C83" s="2">
        <v>3</v>
      </c>
      <c r="D83" s="2" t="s">
        <v>49</v>
      </c>
      <c r="E83" s="2" t="s">
        <v>50</v>
      </c>
      <c r="F83" s="2" t="s">
        <v>39</v>
      </c>
      <c r="G83" s="2" t="s">
        <v>22</v>
      </c>
      <c r="H83" s="2" t="s">
        <v>23</v>
      </c>
      <c r="I83" s="2" t="s">
        <v>23</v>
      </c>
      <c r="J83" s="2">
        <v>1</v>
      </c>
      <c r="K83" s="2" t="s">
        <v>24</v>
      </c>
      <c r="L83" s="2">
        <v>2541</v>
      </c>
      <c r="M83" s="2" t="s">
        <v>51</v>
      </c>
      <c r="N83" s="2">
        <v>2</v>
      </c>
      <c r="O83" s="6">
        <v>115126.42</v>
      </c>
      <c r="P83" s="6">
        <v>57563.21</v>
      </c>
    </row>
    <row r="84" spans="1:16" outlineLevel="2" x14ac:dyDescent="0.2">
      <c r="A84" s="5">
        <v>46246</v>
      </c>
      <c r="B84" s="2">
        <v>161399</v>
      </c>
      <c r="C84" s="2">
        <v>4</v>
      </c>
      <c r="D84" s="2" t="s">
        <v>49</v>
      </c>
      <c r="E84" s="2" t="s">
        <v>50</v>
      </c>
      <c r="F84" s="2" t="s">
        <v>39</v>
      </c>
      <c r="G84" s="2" t="s">
        <v>22</v>
      </c>
      <c r="H84" s="2" t="s">
        <v>23</v>
      </c>
      <c r="I84" s="2" t="s">
        <v>23</v>
      </c>
      <c r="J84" s="2">
        <v>86</v>
      </c>
      <c r="K84" s="2" t="s">
        <v>74</v>
      </c>
      <c r="L84" s="2">
        <v>2541</v>
      </c>
      <c r="M84" s="2" t="s">
        <v>51</v>
      </c>
      <c r="N84" s="2">
        <v>1</v>
      </c>
      <c r="O84" s="6">
        <v>37027.56</v>
      </c>
      <c r="P84" s="6">
        <v>37027.56</v>
      </c>
    </row>
    <row r="85" spans="1:16" outlineLevel="1" x14ac:dyDescent="0.2">
      <c r="A85" s="5"/>
      <c r="D85" s="4" t="s">
        <v>175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SUBTOTAL(9,N82:N84)</f>
        <v>9</v>
      </c>
      <c r="O85" s="7">
        <f>SUBTOTAL(9,O82:O84)</f>
        <v>544205.24</v>
      </c>
      <c r="P85" s="7">
        <f>+O85/N85</f>
        <v>60467.248888888891</v>
      </c>
    </row>
    <row r="86" spans="1:16" outlineLevel="2" x14ac:dyDescent="0.2">
      <c r="A86" s="5">
        <v>46251</v>
      </c>
      <c r="B86" s="2">
        <v>161624</v>
      </c>
      <c r="C86" s="2">
        <v>2</v>
      </c>
      <c r="D86" s="2" t="s">
        <v>112</v>
      </c>
      <c r="E86" s="2" t="s">
        <v>117</v>
      </c>
      <c r="F86" s="2" t="s">
        <v>76</v>
      </c>
      <c r="G86" s="2" t="s">
        <v>23</v>
      </c>
      <c r="H86" s="2" t="s">
        <v>23</v>
      </c>
      <c r="I86" s="2" t="s">
        <v>23</v>
      </c>
      <c r="J86" s="2">
        <v>2</v>
      </c>
      <c r="K86" s="2" t="s">
        <v>104</v>
      </c>
      <c r="L86" s="2">
        <v>1974</v>
      </c>
      <c r="M86" s="2" t="s">
        <v>118</v>
      </c>
      <c r="N86" s="2">
        <v>2</v>
      </c>
      <c r="O86" s="6">
        <v>9647.82</v>
      </c>
      <c r="P86" s="6">
        <v>4823.91</v>
      </c>
    </row>
    <row r="87" spans="1:16" outlineLevel="2" x14ac:dyDescent="0.2">
      <c r="A87" s="5">
        <v>46251</v>
      </c>
      <c r="B87" s="2">
        <v>161611</v>
      </c>
      <c r="C87" s="2">
        <v>315</v>
      </c>
      <c r="D87" s="2" t="s">
        <v>112</v>
      </c>
      <c r="E87" s="2" t="s">
        <v>113</v>
      </c>
      <c r="F87" s="2" t="s">
        <v>76</v>
      </c>
      <c r="G87" s="2" t="s">
        <v>23</v>
      </c>
      <c r="H87" s="2" t="s">
        <v>23</v>
      </c>
      <c r="I87" s="2" t="s">
        <v>23</v>
      </c>
      <c r="J87" s="2">
        <v>2</v>
      </c>
      <c r="K87" s="2" t="s">
        <v>104</v>
      </c>
      <c r="L87" s="2">
        <v>626</v>
      </c>
      <c r="M87" s="2" t="s">
        <v>114</v>
      </c>
      <c r="N87" s="2">
        <v>18</v>
      </c>
      <c r="O87" s="6">
        <v>92431.02</v>
      </c>
      <c r="P87" s="6">
        <v>5135.0600000000004</v>
      </c>
    </row>
    <row r="88" spans="1:16" outlineLevel="1" x14ac:dyDescent="0.2">
      <c r="A88" s="5"/>
      <c r="D88" s="4" t="s">
        <v>176</v>
      </c>
      <c r="E88" s="4"/>
      <c r="F88" s="4"/>
      <c r="G88" s="4"/>
      <c r="H88" s="4"/>
      <c r="I88" s="4"/>
      <c r="J88" s="4"/>
      <c r="K88" s="4"/>
      <c r="L88" s="4"/>
      <c r="M88" s="4"/>
      <c r="N88" s="4">
        <f>SUBTOTAL(9,N86:N87)</f>
        <v>20</v>
      </c>
      <c r="O88" s="7">
        <f>SUBTOTAL(9,O86:O87)</f>
        <v>102078.84</v>
      </c>
      <c r="P88" s="7">
        <f>+O88/N88</f>
        <v>5103.942</v>
      </c>
    </row>
    <row r="89" spans="1:16" x14ac:dyDescent="0.2">
      <c r="A89" s="5"/>
      <c r="D89" s="4" t="s">
        <v>177</v>
      </c>
      <c r="E89" s="4"/>
      <c r="F89" s="4"/>
      <c r="G89" s="4"/>
      <c r="H89" s="4"/>
      <c r="I89" s="4"/>
      <c r="J89" s="4"/>
      <c r="K89" s="4"/>
      <c r="L89" s="4"/>
      <c r="M89" s="4"/>
      <c r="N89" s="4">
        <f>SUBTOTAL(9,N5:N87)</f>
        <v>469</v>
      </c>
      <c r="O89" s="7">
        <f>SUBTOTAL(9,O5:O87)</f>
        <v>9260752.6400000025</v>
      </c>
      <c r="P89" s="7"/>
    </row>
  </sheetData>
  <sortState ref="A5:P58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2026-08-18T15:48:09Z</dcterms:created>
  <dcterms:modified xsi:type="dcterms:W3CDTF">2026-08-18T15:49:26Z</dcterms:modified>
</cp:coreProperties>
</file>