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ias\Mi unidad\antigravity\venta mcba\"/>
    </mc:Choice>
  </mc:AlternateContent>
  <xr:revisionPtr revIDLastSave="0" documentId="8_{31AC7BB1-E257-4CD5-9BC2-750FF8BA24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610" i="1" l="1"/>
  <c r="P5610" i="1" s="1"/>
  <c r="N5610" i="1"/>
  <c r="O5608" i="1"/>
  <c r="P5608" i="1" s="1"/>
  <c r="N5608" i="1"/>
  <c r="O5606" i="1"/>
  <c r="P5606" i="1" s="1"/>
  <c r="N5606" i="1"/>
  <c r="O5604" i="1"/>
  <c r="P5604" i="1" s="1"/>
  <c r="N5604" i="1"/>
  <c r="O5601" i="1"/>
  <c r="P5601" i="1" s="1"/>
  <c r="N5601" i="1"/>
  <c r="O5595" i="1"/>
  <c r="P5595" i="1" s="1"/>
  <c r="N5595" i="1"/>
  <c r="O5593" i="1"/>
  <c r="P5593" i="1" s="1"/>
  <c r="N5593" i="1"/>
  <c r="O5591" i="1"/>
  <c r="P5591" i="1" s="1"/>
  <c r="N5591" i="1"/>
  <c r="O5589" i="1"/>
  <c r="P5589" i="1" s="1"/>
  <c r="N5589" i="1"/>
  <c r="O5585" i="1"/>
  <c r="P5585" i="1" s="1"/>
  <c r="N5585" i="1"/>
  <c r="O5583" i="1"/>
  <c r="P5583" i="1" s="1"/>
  <c r="N5583" i="1"/>
  <c r="O5581" i="1"/>
  <c r="P5581" i="1" s="1"/>
  <c r="N5581" i="1"/>
  <c r="O5579" i="1"/>
  <c r="P5579" i="1" s="1"/>
  <c r="N5579" i="1"/>
  <c r="O5577" i="1"/>
  <c r="P5577" i="1" s="1"/>
  <c r="N5577" i="1"/>
  <c r="O5571" i="1"/>
  <c r="P5571" i="1" s="1"/>
  <c r="N5571" i="1"/>
  <c r="O5566" i="1"/>
  <c r="P5566" i="1" s="1"/>
  <c r="N5566" i="1"/>
  <c r="O5564" i="1"/>
  <c r="P5564" i="1" s="1"/>
  <c r="N5564" i="1"/>
  <c r="O5562" i="1"/>
  <c r="P5562" i="1" s="1"/>
  <c r="N5562" i="1"/>
  <c r="O5560" i="1"/>
  <c r="P5560" i="1" s="1"/>
  <c r="N5560" i="1"/>
  <c r="O5557" i="1"/>
  <c r="P5557" i="1" s="1"/>
  <c r="N5557" i="1"/>
  <c r="O5554" i="1"/>
  <c r="P5554" i="1" s="1"/>
  <c r="N5554" i="1"/>
  <c r="O5549" i="1"/>
  <c r="P5549" i="1" s="1"/>
  <c r="N5549" i="1"/>
  <c r="O5546" i="1"/>
  <c r="P5546" i="1" s="1"/>
  <c r="N5546" i="1"/>
  <c r="O5543" i="1"/>
  <c r="P5543" i="1" s="1"/>
  <c r="N5543" i="1"/>
  <c r="O5540" i="1"/>
  <c r="P5540" i="1" s="1"/>
  <c r="N5540" i="1"/>
  <c r="O5535" i="1"/>
  <c r="P5535" i="1" s="1"/>
  <c r="N5535" i="1"/>
  <c r="O5531" i="1"/>
  <c r="P5531" i="1" s="1"/>
  <c r="N5531" i="1"/>
  <c r="O5529" i="1"/>
  <c r="P5529" i="1" s="1"/>
  <c r="N5529" i="1"/>
  <c r="O5526" i="1"/>
  <c r="P5526" i="1" s="1"/>
  <c r="N5526" i="1"/>
  <c r="O5524" i="1"/>
  <c r="P5524" i="1" s="1"/>
  <c r="N5524" i="1"/>
  <c r="O5522" i="1"/>
  <c r="P5522" i="1" s="1"/>
  <c r="N5522" i="1"/>
  <c r="O5517" i="1"/>
  <c r="P5517" i="1" s="1"/>
  <c r="N5517" i="1"/>
  <c r="O5514" i="1"/>
  <c r="P5514" i="1" s="1"/>
  <c r="N5514" i="1"/>
  <c r="O5511" i="1"/>
  <c r="P5511" i="1" s="1"/>
  <c r="N5511" i="1"/>
  <c r="O5509" i="1"/>
  <c r="P5509" i="1" s="1"/>
  <c r="N5509" i="1"/>
  <c r="O5506" i="1"/>
  <c r="P5506" i="1" s="1"/>
  <c r="N5506" i="1"/>
  <c r="O5504" i="1"/>
  <c r="P5504" i="1" s="1"/>
  <c r="N5504" i="1"/>
  <c r="O5502" i="1"/>
  <c r="P5502" i="1" s="1"/>
  <c r="N5502" i="1"/>
  <c r="O5498" i="1"/>
  <c r="P5498" i="1" s="1"/>
  <c r="N5498" i="1"/>
  <c r="O5496" i="1"/>
  <c r="P5496" i="1" s="1"/>
  <c r="N5496" i="1"/>
  <c r="O5494" i="1"/>
  <c r="P5494" i="1" s="1"/>
  <c r="N5494" i="1"/>
  <c r="O5492" i="1"/>
  <c r="P5492" i="1" s="1"/>
  <c r="N5492" i="1"/>
  <c r="O5490" i="1"/>
  <c r="P5490" i="1" s="1"/>
  <c r="N5490" i="1"/>
  <c r="O5488" i="1"/>
  <c r="P5488" i="1" s="1"/>
  <c r="N5488" i="1"/>
  <c r="O5486" i="1"/>
  <c r="P5486" i="1" s="1"/>
  <c r="N5486" i="1"/>
  <c r="O5483" i="1"/>
  <c r="P5483" i="1" s="1"/>
  <c r="N5483" i="1"/>
  <c r="O5480" i="1"/>
  <c r="P5480" i="1" s="1"/>
  <c r="N5480" i="1"/>
  <c r="O5478" i="1"/>
  <c r="P5478" i="1" s="1"/>
  <c r="N5478" i="1"/>
  <c r="O5476" i="1"/>
  <c r="P5476" i="1" s="1"/>
  <c r="N5476" i="1"/>
  <c r="O5472" i="1"/>
  <c r="P5472" i="1" s="1"/>
  <c r="N5472" i="1"/>
  <c r="O5469" i="1"/>
  <c r="P5469" i="1" s="1"/>
  <c r="N5469" i="1"/>
  <c r="O5467" i="1"/>
  <c r="P5467" i="1" s="1"/>
  <c r="N5467" i="1"/>
  <c r="O5465" i="1"/>
  <c r="P5465" i="1" s="1"/>
  <c r="N5465" i="1"/>
  <c r="O5462" i="1"/>
  <c r="P5462" i="1" s="1"/>
  <c r="N5462" i="1"/>
  <c r="O5460" i="1"/>
  <c r="P5460" i="1" s="1"/>
  <c r="N5460" i="1"/>
  <c r="O5458" i="1"/>
  <c r="P5458" i="1" s="1"/>
  <c r="N5458" i="1"/>
  <c r="O5456" i="1"/>
  <c r="P5456" i="1" s="1"/>
  <c r="N5456" i="1"/>
  <c r="O5454" i="1"/>
  <c r="P5454" i="1" s="1"/>
  <c r="N5454" i="1"/>
  <c r="O5452" i="1"/>
  <c r="P5452" i="1" s="1"/>
  <c r="N5452" i="1"/>
  <c r="O5450" i="1"/>
  <c r="P5450" i="1" s="1"/>
  <c r="N5450" i="1"/>
  <c r="O5448" i="1"/>
  <c r="P5448" i="1" s="1"/>
  <c r="N5448" i="1"/>
  <c r="O5446" i="1"/>
  <c r="P5446" i="1" s="1"/>
  <c r="N5446" i="1"/>
  <c r="O5444" i="1"/>
  <c r="P5444" i="1" s="1"/>
  <c r="N5444" i="1"/>
  <c r="O5442" i="1"/>
  <c r="P5442" i="1" s="1"/>
  <c r="N5442" i="1"/>
  <c r="O5440" i="1"/>
  <c r="P5440" i="1" s="1"/>
  <c r="N5440" i="1"/>
  <c r="O5438" i="1"/>
  <c r="P5438" i="1" s="1"/>
  <c r="N5438" i="1"/>
  <c r="O5436" i="1"/>
  <c r="P5436" i="1" s="1"/>
  <c r="N5436" i="1"/>
  <c r="O5434" i="1"/>
  <c r="P5434" i="1" s="1"/>
  <c r="N5434" i="1"/>
  <c r="O5429" i="1"/>
  <c r="P5429" i="1" s="1"/>
  <c r="N5429" i="1"/>
  <c r="O5423" i="1"/>
  <c r="P5423" i="1" s="1"/>
  <c r="N5423" i="1"/>
  <c r="O5417" i="1"/>
  <c r="P5417" i="1" s="1"/>
  <c r="N5417" i="1"/>
  <c r="O5414" i="1"/>
  <c r="P5414" i="1" s="1"/>
  <c r="N5414" i="1"/>
  <c r="O5409" i="1"/>
  <c r="P5409" i="1" s="1"/>
  <c r="N5409" i="1"/>
  <c r="O5406" i="1"/>
  <c r="P5406" i="1" s="1"/>
  <c r="N5406" i="1"/>
  <c r="O5404" i="1"/>
  <c r="P5404" i="1" s="1"/>
  <c r="N5404" i="1"/>
  <c r="O5401" i="1"/>
  <c r="P5401" i="1" s="1"/>
  <c r="N5401" i="1"/>
  <c r="O5399" i="1"/>
  <c r="P5399" i="1" s="1"/>
  <c r="N5399" i="1"/>
  <c r="O5397" i="1"/>
  <c r="P5397" i="1" s="1"/>
  <c r="N5397" i="1"/>
  <c r="O5395" i="1"/>
  <c r="P5395" i="1" s="1"/>
  <c r="N5395" i="1"/>
  <c r="O5393" i="1"/>
  <c r="P5393" i="1" s="1"/>
  <c r="N5393" i="1"/>
  <c r="O5391" i="1"/>
  <c r="P5391" i="1" s="1"/>
  <c r="N5391" i="1"/>
  <c r="O5388" i="1"/>
  <c r="P5388" i="1" s="1"/>
  <c r="N5388" i="1"/>
  <c r="O5385" i="1"/>
  <c r="P5385" i="1" s="1"/>
  <c r="N5385" i="1"/>
  <c r="O5380" i="1"/>
  <c r="P5380" i="1" s="1"/>
  <c r="N5380" i="1"/>
  <c r="O5377" i="1"/>
  <c r="P5377" i="1" s="1"/>
  <c r="N5377" i="1"/>
  <c r="O5375" i="1"/>
  <c r="P5375" i="1" s="1"/>
  <c r="N5375" i="1"/>
  <c r="O5373" i="1"/>
  <c r="P5373" i="1" s="1"/>
  <c r="N5373" i="1"/>
  <c r="O5371" i="1"/>
  <c r="P5371" i="1" s="1"/>
  <c r="N5371" i="1"/>
  <c r="O5369" i="1"/>
  <c r="P5369" i="1" s="1"/>
  <c r="N5369" i="1"/>
  <c r="O5366" i="1"/>
  <c r="P5366" i="1" s="1"/>
  <c r="N5366" i="1"/>
  <c r="O5361" i="1"/>
  <c r="P5361" i="1" s="1"/>
  <c r="N5361" i="1"/>
  <c r="O5359" i="1"/>
  <c r="P5359" i="1" s="1"/>
  <c r="N5359" i="1"/>
  <c r="O5357" i="1"/>
  <c r="P5357" i="1" s="1"/>
  <c r="N5357" i="1"/>
  <c r="O5355" i="1"/>
  <c r="P5355" i="1" s="1"/>
  <c r="N5355" i="1"/>
  <c r="O5353" i="1"/>
  <c r="P5353" i="1" s="1"/>
  <c r="N5353" i="1"/>
  <c r="O5351" i="1"/>
  <c r="P5351" i="1" s="1"/>
  <c r="N5351" i="1"/>
  <c r="O5347" i="1"/>
  <c r="P5347" i="1" s="1"/>
  <c r="N5347" i="1"/>
  <c r="O5345" i="1"/>
  <c r="P5345" i="1" s="1"/>
  <c r="N5345" i="1"/>
  <c r="O5343" i="1"/>
  <c r="P5343" i="1" s="1"/>
  <c r="N5343" i="1"/>
  <c r="O5341" i="1"/>
  <c r="P5341" i="1" s="1"/>
  <c r="N5341" i="1"/>
  <c r="O5337" i="1"/>
  <c r="P5337" i="1" s="1"/>
  <c r="N5337" i="1"/>
  <c r="O5334" i="1"/>
  <c r="P5334" i="1" s="1"/>
  <c r="N5334" i="1"/>
  <c r="O5332" i="1"/>
  <c r="P5332" i="1" s="1"/>
  <c r="N5332" i="1"/>
  <c r="O5328" i="1"/>
  <c r="P5328" i="1" s="1"/>
  <c r="N5328" i="1"/>
  <c r="O5326" i="1"/>
  <c r="P5326" i="1" s="1"/>
  <c r="N5326" i="1"/>
  <c r="O5323" i="1"/>
  <c r="P5323" i="1" s="1"/>
  <c r="N5323" i="1"/>
  <c r="O5321" i="1"/>
  <c r="P5321" i="1" s="1"/>
  <c r="N5321" i="1"/>
  <c r="O5318" i="1"/>
  <c r="P5318" i="1" s="1"/>
  <c r="N5318" i="1"/>
  <c r="O5316" i="1"/>
  <c r="P5316" i="1" s="1"/>
  <c r="N5316" i="1"/>
  <c r="O5314" i="1"/>
  <c r="P5314" i="1" s="1"/>
  <c r="N5314" i="1"/>
  <c r="O5312" i="1"/>
  <c r="P5312" i="1" s="1"/>
  <c r="N5312" i="1"/>
  <c r="O5310" i="1"/>
  <c r="P5310" i="1" s="1"/>
  <c r="N5310" i="1"/>
  <c r="O5307" i="1"/>
  <c r="P5307" i="1" s="1"/>
  <c r="N5307" i="1"/>
  <c r="O5305" i="1"/>
  <c r="P5305" i="1" s="1"/>
  <c r="N5305" i="1"/>
  <c r="O5303" i="1"/>
  <c r="P5303" i="1" s="1"/>
  <c r="N5303" i="1"/>
  <c r="O5301" i="1"/>
  <c r="P5301" i="1" s="1"/>
  <c r="N5301" i="1"/>
  <c r="O5299" i="1"/>
  <c r="P5299" i="1" s="1"/>
  <c r="N5299" i="1"/>
  <c r="O5297" i="1"/>
  <c r="P5297" i="1" s="1"/>
  <c r="N5297" i="1"/>
  <c r="O5295" i="1"/>
  <c r="P5295" i="1" s="1"/>
  <c r="N5295" i="1"/>
  <c r="O5293" i="1"/>
  <c r="P5293" i="1" s="1"/>
  <c r="N5293" i="1"/>
  <c r="O5291" i="1"/>
  <c r="P5291" i="1" s="1"/>
  <c r="N5291" i="1"/>
  <c r="O5289" i="1"/>
  <c r="P5289" i="1" s="1"/>
  <c r="N5289" i="1"/>
  <c r="O5287" i="1"/>
  <c r="P5287" i="1" s="1"/>
  <c r="N5287" i="1"/>
  <c r="O5282" i="1"/>
  <c r="P5282" i="1" s="1"/>
  <c r="N5282" i="1"/>
  <c r="O5277" i="1"/>
  <c r="P5277" i="1" s="1"/>
  <c r="N5277" i="1"/>
  <c r="O5274" i="1"/>
  <c r="P5274" i="1" s="1"/>
  <c r="N5274" i="1"/>
  <c r="O5272" i="1"/>
  <c r="P5272" i="1" s="1"/>
  <c r="N5272" i="1"/>
  <c r="O5270" i="1"/>
  <c r="P5270" i="1" s="1"/>
  <c r="N5270" i="1"/>
  <c r="O5266" i="1"/>
  <c r="P5266" i="1" s="1"/>
  <c r="N5266" i="1"/>
  <c r="O5264" i="1"/>
  <c r="P5264" i="1" s="1"/>
  <c r="N5264" i="1"/>
  <c r="O5262" i="1"/>
  <c r="P5262" i="1" s="1"/>
  <c r="N5262" i="1"/>
  <c r="O5259" i="1"/>
  <c r="P5259" i="1" s="1"/>
  <c r="N5259" i="1"/>
  <c r="O5256" i="1"/>
  <c r="P5256" i="1" s="1"/>
  <c r="N5256" i="1"/>
  <c r="O5252" i="1"/>
  <c r="P5252" i="1" s="1"/>
  <c r="N5252" i="1"/>
  <c r="O5248" i="1"/>
  <c r="P5248" i="1" s="1"/>
  <c r="N5248" i="1"/>
  <c r="O5244" i="1"/>
  <c r="P5244" i="1" s="1"/>
  <c r="N5244" i="1"/>
  <c r="O5242" i="1"/>
  <c r="P5242" i="1" s="1"/>
  <c r="N5242" i="1"/>
  <c r="O5240" i="1"/>
  <c r="P5240" i="1" s="1"/>
  <c r="N5240" i="1"/>
  <c r="O5237" i="1"/>
  <c r="P5237" i="1" s="1"/>
  <c r="N5237" i="1"/>
  <c r="O5233" i="1"/>
  <c r="P5233" i="1" s="1"/>
  <c r="N5233" i="1"/>
  <c r="O5230" i="1"/>
  <c r="P5230" i="1" s="1"/>
  <c r="N5230" i="1"/>
  <c r="O5228" i="1"/>
  <c r="P5228" i="1" s="1"/>
  <c r="N5228" i="1"/>
  <c r="O5226" i="1"/>
  <c r="P5226" i="1" s="1"/>
  <c r="N5226" i="1"/>
  <c r="O5224" i="1"/>
  <c r="P5224" i="1" s="1"/>
  <c r="N5224" i="1"/>
  <c r="O5222" i="1"/>
  <c r="P5222" i="1" s="1"/>
  <c r="N5222" i="1"/>
  <c r="O5220" i="1"/>
  <c r="P5220" i="1" s="1"/>
  <c r="N5220" i="1"/>
  <c r="O5218" i="1"/>
  <c r="P5218" i="1" s="1"/>
  <c r="N5218" i="1"/>
  <c r="O5216" i="1"/>
  <c r="P5216" i="1" s="1"/>
  <c r="N5216" i="1"/>
  <c r="O5214" i="1"/>
  <c r="P5214" i="1" s="1"/>
  <c r="N5214" i="1"/>
  <c r="O5212" i="1"/>
  <c r="P5212" i="1" s="1"/>
  <c r="N5212" i="1"/>
  <c r="O5209" i="1"/>
  <c r="P5209" i="1" s="1"/>
  <c r="N5209" i="1"/>
  <c r="O5207" i="1"/>
  <c r="P5207" i="1" s="1"/>
  <c r="N5207" i="1"/>
  <c r="O5205" i="1"/>
  <c r="P5205" i="1" s="1"/>
  <c r="N5205" i="1"/>
  <c r="O5203" i="1"/>
  <c r="P5203" i="1" s="1"/>
  <c r="N5203" i="1"/>
  <c r="O5201" i="1"/>
  <c r="P5201" i="1" s="1"/>
  <c r="N5201" i="1"/>
  <c r="O5199" i="1"/>
  <c r="P5199" i="1" s="1"/>
  <c r="N5199" i="1"/>
  <c r="O5195" i="1"/>
  <c r="P5195" i="1" s="1"/>
  <c r="N5195" i="1"/>
  <c r="O5193" i="1"/>
  <c r="P5193" i="1" s="1"/>
  <c r="N5193" i="1"/>
  <c r="O5188" i="1"/>
  <c r="P5188" i="1" s="1"/>
  <c r="N5188" i="1"/>
  <c r="O5183" i="1"/>
  <c r="P5183" i="1" s="1"/>
  <c r="N5183" i="1"/>
  <c r="O5179" i="1"/>
  <c r="P5179" i="1" s="1"/>
  <c r="N5179" i="1"/>
  <c r="O5177" i="1"/>
  <c r="P5177" i="1" s="1"/>
  <c r="N5177" i="1"/>
  <c r="O5175" i="1"/>
  <c r="P5175" i="1" s="1"/>
  <c r="N5175" i="1"/>
  <c r="O5173" i="1"/>
  <c r="P5173" i="1" s="1"/>
  <c r="N5173" i="1"/>
  <c r="O5171" i="1"/>
  <c r="P5171" i="1" s="1"/>
  <c r="N5171" i="1"/>
  <c r="O5168" i="1"/>
  <c r="P5168" i="1" s="1"/>
  <c r="N5168" i="1"/>
  <c r="O5166" i="1"/>
  <c r="P5166" i="1" s="1"/>
  <c r="N5166" i="1"/>
  <c r="O5164" i="1"/>
  <c r="P5164" i="1" s="1"/>
  <c r="N5164" i="1"/>
  <c r="O5162" i="1"/>
  <c r="P5162" i="1" s="1"/>
  <c r="N5162" i="1"/>
  <c r="O5160" i="1"/>
  <c r="P5160" i="1" s="1"/>
  <c r="N5160" i="1"/>
  <c r="O5156" i="1"/>
  <c r="P5156" i="1" s="1"/>
  <c r="N5156" i="1"/>
  <c r="O5154" i="1"/>
  <c r="P5154" i="1" s="1"/>
  <c r="N5154" i="1"/>
  <c r="O5152" i="1"/>
  <c r="P5152" i="1" s="1"/>
  <c r="N5152" i="1"/>
  <c r="O5150" i="1"/>
  <c r="P5150" i="1" s="1"/>
  <c r="N5150" i="1"/>
  <c r="O5147" i="1"/>
  <c r="P5147" i="1" s="1"/>
  <c r="N5147" i="1"/>
  <c r="O5145" i="1"/>
  <c r="P5145" i="1" s="1"/>
  <c r="N5145" i="1"/>
  <c r="O5143" i="1"/>
  <c r="P5143" i="1" s="1"/>
  <c r="N5143" i="1"/>
  <c r="O5141" i="1"/>
  <c r="P5141" i="1" s="1"/>
  <c r="N5141" i="1"/>
  <c r="O5139" i="1"/>
  <c r="P5139" i="1" s="1"/>
  <c r="N5139" i="1"/>
  <c r="O5137" i="1"/>
  <c r="P5137" i="1" s="1"/>
  <c r="N5137" i="1"/>
  <c r="O5134" i="1"/>
  <c r="P5134" i="1" s="1"/>
  <c r="N5134" i="1"/>
  <c r="O5132" i="1"/>
  <c r="P5132" i="1" s="1"/>
  <c r="N5132" i="1"/>
  <c r="O5130" i="1"/>
  <c r="P5130" i="1" s="1"/>
  <c r="N5130" i="1"/>
  <c r="O5127" i="1"/>
  <c r="P5127" i="1" s="1"/>
  <c r="N5127" i="1"/>
  <c r="O5124" i="1"/>
  <c r="P5124" i="1" s="1"/>
  <c r="N5124" i="1"/>
  <c r="O5121" i="1"/>
  <c r="P5121" i="1" s="1"/>
  <c r="N5121" i="1"/>
  <c r="O5117" i="1"/>
  <c r="P5117" i="1" s="1"/>
  <c r="N5117" i="1"/>
  <c r="O5110" i="1"/>
  <c r="P5110" i="1" s="1"/>
  <c r="N5110" i="1"/>
  <c r="O5105" i="1"/>
  <c r="P5105" i="1" s="1"/>
  <c r="N5105" i="1"/>
  <c r="O5103" i="1"/>
  <c r="P5103" i="1" s="1"/>
  <c r="N5103" i="1"/>
  <c r="O5100" i="1"/>
  <c r="P5100" i="1" s="1"/>
  <c r="N5100" i="1"/>
  <c r="O5098" i="1"/>
  <c r="P5098" i="1" s="1"/>
  <c r="N5098" i="1"/>
  <c r="O5096" i="1"/>
  <c r="P5096" i="1" s="1"/>
  <c r="N5096" i="1"/>
  <c r="O5093" i="1"/>
  <c r="P5093" i="1" s="1"/>
  <c r="N5093" i="1"/>
  <c r="O5089" i="1"/>
  <c r="P5089" i="1" s="1"/>
  <c r="N5089" i="1"/>
  <c r="O5087" i="1"/>
  <c r="P5087" i="1" s="1"/>
  <c r="N5087" i="1"/>
  <c r="O5084" i="1"/>
  <c r="P5084" i="1" s="1"/>
  <c r="N5084" i="1"/>
  <c r="O5081" i="1"/>
  <c r="P5081" i="1" s="1"/>
  <c r="N5081" i="1"/>
  <c r="O5079" i="1"/>
  <c r="P5079" i="1" s="1"/>
  <c r="N5079" i="1"/>
  <c r="O5077" i="1"/>
  <c r="P5077" i="1" s="1"/>
  <c r="N5077" i="1"/>
  <c r="O5074" i="1"/>
  <c r="P5074" i="1" s="1"/>
  <c r="N5074" i="1"/>
  <c r="O5072" i="1"/>
  <c r="P5072" i="1" s="1"/>
  <c r="N5072" i="1"/>
  <c r="O5069" i="1"/>
  <c r="P5069" i="1" s="1"/>
  <c r="N5069" i="1"/>
  <c r="O5067" i="1"/>
  <c r="P5067" i="1" s="1"/>
  <c r="N5067" i="1"/>
  <c r="O5065" i="1"/>
  <c r="P5065" i="1" s="1"/>
  <c r="N5065" i="1"/>
  <c r="O5063" i="1"/>
  <c r="P5063" i="1" s="1"/>
  <c r="N5063" i="1"/>
  <c r="O5060" i="1"/>
  <c r="P5060" i="1" s="1"/>
  <c r="N5060" i="1"/>
  <c r="O5055" i="1"/>
  <c r="P5055" i="1" s="1"/>
  <c r="N5055" i="1"/>
  <c r="O5048" i="1"/>
  <c r="P5048" i="1" s="1"/>
  <c r="N5048" i="1"/>
  <c r="O5046" i="1"/>
  <c r="P5046" i="1" s="1"/>
  <c r="N5046" i="1"/>
  <c r="O5044" i="1"/>
  <c r="P5044" i="1" s="1"/>
  <c r="N5044" i="1"/>
  <c r="O5042" i="1"/>
  <c r="P5042" i="1" s="1"/>
  <c r="N5042" i="1"/>
  <c r="O5031" i="1"/>
  <c r="P5031" i="1" s="1"/>
  <c r="N5031" i="1"/>
  <c r="O5026" i="1"/>
  <c r="P5026" i="1" s="1"/>
  <c r="N5026" i="1"/>
  <c r="O5024" i="1"/>
  <c r="P5024" i="1" s="1"/>
  <c r="N5024" i="1"/>
  <c r="O5022" i="1"/>
  <c r="P5022" i="1" s="1"/>
  <c r="N5022" i="1"/>
  <c r="O5018" i="1"/>
  <c r="P5018" i="1" s="1"/>
  <c r="N5018" i="1"/>
  <c r="O5016" i="1"/>
  <c r="P5016" i="1" s="1"/>
  <c r="N5016" i="1"/>
  <c r="O5009" i="1"/>
  <c r="P5009" i="1" s="1"/>
  <c r="N5009" i="1"/>
  <c r="O5007" i="1"/>
  <c r="P5007" i="1" s="1"/>
  <c r="N5007" i="1"/>
  <c r="O5005" i="1"/>
  <c r="P5005" i="1" s="1"/>
  <c r="N5005" i="1"/>
  <c r="O5003" i="1"/>
  <c r="P5003" i="1" s="1"/>
  <c r="N5003" i="1"/>
  <c r="O5000" i="1"/>
  <c r="P5000" i="1" s="1"/>
  <c r="N5000" i="1"/>
  <c r="O4998" i="1"/>
  <c r="P4998" i="1" s="1"/>
  <c r="N4998" i="1"/>
  <c r="O4996" i="1"/>
  <c r="P4996" i="1" s="1"/>
  <c r="N4996" i="1"/>
  <c r="O4993" i="1"/>
  <c r="P4993" i="1" s="1"/>
  <c r="N4993" i="1"/>
  <c r="O4991" i="1"/>
  <c r="P4991" i="1" s="1"/>
  <c r="N4991" i="1"/>
  <c r="O4989" i="1"/>
  <c r="P4989" i="1" s="1"/>
  <c r="N4989" i="1"/>
  <c r="O4987" i="1"/>
  <c r="P4987" i="1" s="1"/>
  <c r="N4987" i="1"/>
  <c r="O4985" i="1"/>
  <c r="P4985" i="1" s="1"/>
  <c r="N4985" i="1"/>
  <c r="O4983" i="1"/>
  <c r="P4983" i="1" s="1"/>
  <c r="N4983" i="1"/>
  <c r="O4981" i="1"/>
  <c r="P4981" i="1" s="1"/>
  <c r="N4981" i="1"/>
  <c r="O4979" i="1"/>
  <c r="P4979" i="1" s="1"/>
  <c r="N4979" i="1"/>
  <c r="O4977" i="1"/>
  <c r="P4977" i="1" s="1"/>
  <c r="N4977" i="1"/>
  <c r="O4975" i="1"/>
  <c r="P4975" i="1" s="1"/>
  <c r="N4975" i="1"/>
  <c r="O4973" i="1"/>
  <c r="P4973" i="1" s="1"/>
  <c r="N4973" i="1"/>
  <c r="O4971" i="1"/>
  <c r="P4971" i="1" s="1"/>
  <c r="N4971" i="1"/>
  <c r="O4968" i="1"/>
  <c r="P4968" i="1" s="1"/>
  <c r="N4968" i="1"/>
  <c r="O4963" i="1"/>
  <c r="P4963" i="1" s="1"/>
  <c r="N4963" i="1"/>
  <c r="O4961" i="1"/>
  <c r="P4961" i="1" s="1"/>
  <c r="N4961" i="1"/>
  <c r="O4958" i="1"/>
  <c r="P4958" i="1" s="1"/>
  <c r="N4958" i="1"/>
  <c r="O4955" i="1"/>
  <c r="P4955" i="1" s="1"/>
  <c r="N4955" i="1"/>
  <c r="O4953" i="1"/>
  <c r="P4953" i="1" s="1"/>
  <c r="N4953" i="1"/>
  <c r="O4949" i="1"/>
  <c r="P4949" i="1" s="1"/>
  <c r="N4949" i="1"/>
  <c r="O4940" i="1"/>
  <c r="P4940" i="1" s="1"/>
  <c r="N4940" i="1"/>
  <c r="O4938" i="1"/>
  <c r="P4938" i="1" s="1"/>
  <c r="N4938" i="1"/>
  <c r="O4936" i="1"/>
  <c r="P4936" i="1" s="1"/>
  <c r="N4936" i="1"/>
  <c r="O4931" i="1"/>
  <c r="P4931" i="1" s="1"/>
  <c r="N4931" i="1"/>
  <c r="O4929" i="1"/>
  <c r="P4929" i="1" s="1"/>
  <c r="N4929" i="1"/>
  <c r="O4927" i="1"/>
  <c r="P4927" i="1" s="1"/>
  <c r="N4927" i="1"/>
  <c r="O4922" i="1"/>
  <c r="P4922" i="1" s="1"/>
  <c r="N4922" i="1"/>
  <c r="O4920" i="1"/>
  <c r="P4920" i="1" s="1"/>
  <c r="N4920" i="1"/>
  <c r="O4918" i="1"/>
  <c r="P4918" i="1" s="1"/>
  <c r="N4918" i="1"/>
  <c r="O4915" i="1"/>
  <c r="P4915" i="1" s="1"/>
  <c r="N4915" i="1"/>
  <c r="O4908" i="1"/>
  <c r="P4908" i="1" s="1"/>
  <c r="N4908" i="1"/>
  <c r="O4906" i="1"/>
  <c r="P4906" i="1" s="1"/>
  <c r="N4906" i="1"/>
  <c r="O4904" i="1"/>
  <c r="P4904" i="1" s="1"/>
  <c r="N4904" i="1"/>
  <c r="O4902" i="1"/>
  <c r="P4902" i="1" s="1"/>
  <c r="N4902" i="1"/>
  <c r="O4899" i="1"/>
  <c r="P4899" i="1" s="1"/>
  <c r="N4899" i="1"/>
  <c r="O4897" i="1"/>
  <c r="P4897" i="1" s="1"/>
  <c r="N4897" i="1"/>
  <c r="O4893" i="1"/>
  <c r="P4893" i="1" s="1"/>
  <c r="N4893" i="1"/>
  <c r="O4891" i="1"/>
  <c r="P4891" i="1" s="1"/>
  <c r="N4891" i="1"/>
  <c r="O4889" i="1"/>
  <c r="P4889" i="1" s="1"/>
  <c r="N4889" i="1"/>
  <c r="O4887" i="1"/>
  <c r="P4887" i="1" s="1"/>
  <c r="N4887" i="1"/>
  <c r="O4885" i="1"/>
  <c r="P4885" i="1" s="1"/>
  <c r="N4885" i="1"/>
  <c r="O4883" i="1"/>
  <c r="P4883" i="1" s="1"/>
  <c r="N4883" i="1"/>
  <c r="O4881" i="1"/>
  <c r="P4881" i="1" s="1"/>
  <c r="N4881" i="1"/>
  <c r="O4879" i="1"/>
  <c r="P4879" i="1" s="1"/>
  <c r="N4879" i="1"/>
  <c r="O4874" i="1"/>
  <c r="P4874" i="1" s="1"/>
  <c r="N4874" i="1"/>
  <c r="O4872" i="1"/>
  <c r="P4872" i="1" s="1"/>
  <c r="N4872" i="1"/>
  <c r="O4870" i="1"/>
  <c r="P4870" i="1" s="1"/>
  <c r="N4870" i="1"/>
  <c r="O4865" i="1"/>
  <c r="P4865" i="1" s="1"/>
  <c r="N4865" i="1"/>
  <c r="O4861" i="1"/>
  <c r="P4861" i="1" s="1"/>
  <c r="N4861" i="1"/>
  <c r="O4857" i="1"/>
  <c r="P4857" i="1" s="1"/>
  <c r="N4857" i="1"/>
  <c r="O4854" i="1"/>
  <c r="P4854" i="1" s="1"/>
  <c r="N4854" i="1"/>
  <c r="O4852" i="1"/>
  <c r="P4852" i="1" s="1"/>
  <c r="N4852" i="1"/>
  <c r="O4850" i="1"/>
  <c r="P4850" i="1" s="1"/>
  <c r="N4850" i="1"/>
  <c r="O4846" i="1"/>
  <c r="P4846" i="1" s="1"/>
  <c r="N4846" i="1"/>
  <c r="O4843" i="1"/>
  <c r="P4843" i="1" s="1"/>
  <c r="N4843" i="1"/>
  <c r="O4841" i="1"/>
  <c r="P4841" i="1" s="1"/>
  <c r="N4841" i="1"/>
  <c r="O4839" i="1"/>
  <c r="P4839" i="1" s="1"/>
  <c r="N4839" i="1"/>
  <c r="O4836" i="1"/>
  <c r="P4836" i="1" s="1"/>
  <c r="N4836" i="1"/>
  <c r="O4834" i="1"/>
  <c r="P4834" i="1" s="1"/>
  <c r="N4834" i="1"/>
  <c r="O4830" i="1"/>
  <c r="P4830" i="1" s="1"/>
  <c r="N4830" i="1"/>
  <c r="O4826" i="1"/>
  <c r="P4826" i="1" s="1"/>
  <c r="N4826" i="1"/>
  <c r="O4824" i="1"/>
  <c r="P4824" i="1" s="1"/>
  <c r="N4824" i="1"/>
  <c r="O4822" i="1"/>
  <c r="P4822" i="1" s="1"/>
  <c r="N4822" i="1"/>
  <c r="O4820" i="1"/>
  <c r="P4820" i="1" s="1"/>
  <c r="N4820" i="1"/>
  <c r="O4813" i="1"/>
  <c r="P4813" i="1" s="1"/>
  <c r="N4813" i="1"/>
  <c r="O4809" i="1"/>
  <c r="P4809" i="1" s="1"/>
  <c r="N4809" i="1"/>
  <c r="O4806" i="1"/>
  <c r="P4806" i="1" s="1"/>
  <c r="N4806" i="1"/>
  <c r="O4803" i="1"/>
  <c r="P4803" i="1" s="1"/>
  <c r="N4803" i="1"/>
  <c r="O4798" i="1"/>
  <c r="P4798" i="1" s="1"/>
  <c r="N4798" i="1"/>
  <c r="O4796" i="1"/>
  <c r="P4796" i="1" s="1"/>
  <c r="N4796" i="1"/>
  <c r="O4794" i="1"/>
  <c r="P4794" i="1" s="1"/>
  <c r="N4794" i="1"/>
  <c r="O4792" i="1"/>
  <c r="P4792" i="1" s="1"/>
  <c r="N4792" i="1"/>
  <c r="O4789" i="1"/>
  <c r="P4789" i="1" s="1"/>
  <c r="N4789" i="1"/>
  <c r="O4787" i="1"/>
  <c r="P4787" i="1" s="1"/>
  <c r="N4787" i="1"/>
  <c r="O4784" i="1"/>
  <c r="P4784" i="1" s="1"/>
  <c r="N4784" i="1"/>
  <c r="O4782" i="1"/>
  <c r="P4782" i="1" s="1"/>
  <c r="N4782" i="1"/>
  <c r="O4780" i="1"/>
  <c r="P4780" i="1" s="1"/>
  <c r="N4780" i="1"/>
  <c r="O4777" i="1"/>
  <c r="P4777" i="1" s="1"/>
  <c r="N4777" i="1"/>
  <c r="O4775" i="1"/>
  <c r="P4775" i="1" s="1"/>
  <c r="N4775" i="1"/>
  <c r="O4772" i="1"/>
  <c r="P4772" i="1" s="1"/>
  <c r="N4772" i="1"/>
  <c r="O4763" i="1"/>
  <c r="P4763" i="1" s="1"/>
  <c r="N4763" i="1"/>
  <c r="O4760" i="1"/>
  <c r="P4760" i="1" s="1"/>
  <c r="N4760" i="1"/>
  <c r="O4758" i="1"/>
  <c r="P4758" i="1" s="1"/>
  <c r="N4758" i="1"/>
  <c r="O4756" i="1"/>
  <c r="P4756" i="1" s="1"/>
  <c r="N4756" i="1"/>
  <c r="O4754" i="1"/>
  <c r="P4754" i="1" s="1"/>
  <c r="N4754" i="1"/>
  <c r="O4752" i="1"/>
  <c r="P4752" i="1" s="1"/>
  <c r="N4752" i="1"/>
  <c r="O4750" i="1"/>
  <c r="P4750" i="1" s="1"/>
  <c r="N4750" i="1"/>
  <c r="O4748" i="1"/>
  <c r="P4748" i="1" s="1"/>
  <c r="N4748" i="1"/>
  <c r="O4746" i="1"/>
  <c r="P4746" i="1" s="1"/>
  <c r="N4746" i="1"/>
  <c r="O4744" i="1"/>
  <c r="P4744" i="1" s="1"/>
  <c r="N4744" i="1"/>
  <c r="O4739" i="1"/>
  <c r="P4739" i="1" s="1"/>
  <c r="N4739" i="1"/>
  <c r="O4733" i="1"/>
  <c r="P4733" i="1" s="1"/>
  <c r="N4733" i="1"/>
  <c r="O4729" i="1"/>
  <c r="P4729" i="1" s="1"/>
  <c r="N4729" i="1"/>
  <c r="O4727" i="1"/>
  <c r="P4727" i="1" s="1"/>
  <c r="N4727" i="1"/>
  <c r="O4725" i="1"/>
  <c r="P4725" i="1" s="1"/>
  <c r="N4725" i="1"/>
  <c r="O4723" i="1"/>
  <c r="P4723" i="1" s="1"/>
  <c r="N4723" i="1"/>
  <c r="O4721" i="1"/>
  <c r="P4721" i="1" s="1"/>
  <c r="N4721" i="1"/>
  <c r="O4719" i="1"/>
  <c r="P4719" i="1" s="1"/>
  <c r="N4719" i="1"/>
  <c r="O4717" i="1"/>
  <c r="P4717" i="1" s="1"/>
  <c r="N4717" i="1"/>
  <c r="O4710" i="1"/>
  <c r="P4710" i="1" s="1"/>
  <c r="N4710" i="1"/>
  <c r="O4708" i="1"/>
  <c r="P4708" i="1" s="1"/>
  <c r="N4708" i="1"/>
  <c r="O4706" i="1"/>
  <c r="P4706" i="1" s="1"/>
  <c r="N4706" i="1"/>
  <c r="O4704" i="1"/>
  <c r="P4704" i="1" s="1"/>
  <c r="N4704" i="1"/>
  <c r="O4702" i="1"/>
  <c r="P4702" i="1" s="1"/>
  <c r="N4702" i="1"/>
  <c r="O4700" i="1"/>
  <c r="P4700" i="1" s="1"/>
  <c r="N4700" i="1"/>
  <c r="O4698" i="1"/>
  <c r="P4698" i="1" s="1"/>
  <c r="N4698" i="1"/>
  <c r="O4695" i="1"/>
  <c r="P4695" i="1" s="1"/>
  <c r="N4695" i="1"/>
  <c r="O4693" i="1"/>
  <c r="P4693" i="1" s="1"/>
  <c r="N4693" i="1"/>
  <c r="O4690" i="1"/>
  <c r="P4690" i="1" s="1"/>
  <c r="N4690" i="1"/>
  <c r="O4688" i="1"/>
  <c r="P4688" i="1" s="1"/>
  <c r="N4688" i="1"/>
  <c r="O4685" i="1"/>
  <c r="P4685" i="1" s="1"/>
  <c r="N4685" i="1"/>
  <c r="O4683" i="1"/>
  <c r="P4683" i="1" s="1"/>
  <c r="N4683" i="1"/>
  <c r="O4681" i="1"/>
  <c r="P4681" i="1" s="1"/>
  <c r="N4681" i="1"/>
  <c r="O4679" i="1"/>
  <c r="P4679" i="1" s="1"/>
  <c r="N4679" i="1"/>
  <c r="O4677" i="1"/>
  <c r="P4677" i="1" s="1"/>
  <c r="N4677" i="1"/>
  <c r="O4675" i="1"/>
  <c r="P4675" i="1" s="1"/>
  <c r="N4675" i="1"/>
  <c r="O4670" i="1"/>
  <c r="P4670" i="1" s="1"/>
  <c r="N4670" i="1"/>
  <c r="O4668" i="1"/>
  <c r="P4668" i="1" s="1"/>
  <c r="N4668" i="1"/>
  <c r="O4666" i="1"/>
  <c r="P4666" i="1" s="1"/>
  <c r="N4666" i="1"/>
  <c r="O4664" i="1"/>
  <c r="P4664" i="1" s="1"/>
  <c r="N4664" i="1"/>
  <c r="O4662" i="1"/>
  <c r="P4662" i="1" s="1"/>
  <c r="N4662" i="1"/>
  <c r="O4660" i="1"/>
  <c r="P4660" i="1" s="1"/>
  <c r="N4660" i="1"/>
  <c r="O4655" i="1"/>
  <c r="P4655" i="1" s="1"/>
  <c r="N4655" i="1"/>
  <c r="O4653" i="1"/>
  <c r="P4653" i="1" s="1"/>
  <c r="N4653" i="1"/>
  <c r="O4651" i="1"/>
  <c r="P4651" i="1" s="1"/>
  <c r="N4651" i="1"/>
  <c r="O4643" i="1"/>
  <c r="P4643" i="1" s="1"/>
  <c r="N4643" i="1"/>
  <c r="O4641" i="1"/>
  <c r="P4641" i="1" s="1"/>
  <c r="N4641" i="1"/>
  <c r="O4639" i="1"/>
  <c r="P4639" i="1" s="1"/>
  <c r="N4639" i="1"/>
  <c r="O4637" i="1"/>
  <c r="P4637" i="1" s="1"/>
  <c r="N4637" i="1"/>
  <c r="O4635" i="1"/>
  <c r="P4635" i="1" s="1"/>
  <c r="N4635" i="1"/>
  <c r="O4632" i="1"/>
  <c r="P4632" i="1" s="1"/>
  <c r="N4632" i="1"/>
  <c r="O4630" i="1"/>
  <c r="P4630" i="1" s="1"/>
  <c r="N4630" i="1"/>
  <c r="O4627" i="1"/>
  <c r="P4627" i="1" s="1"/>
  <c r="N4627" i="1"/>
  <c r="O4625" i="1"/>
  <c r="P4625" i="1" s="1"/>
  <c r="N4625" i="1"/>
  <c r="O4622" i="1"/>
  <c r="P4622" i="1" s="1"/>
  <c r="N4622" i="1"/>
  <c r="O4620" i="1"/>
  <c r="P4620" i="1" s="1"/>
  <c r="N4620" i="1"/>
  <c r="O4617" i="1"/>
  <c r="P4617" i="1" s="1"/>
  <c r="N4617" i="1"/>
  <c r="O4615" i="1"/>
  <c r="P4615" i="1" s="1"/>
  <c r="N4615" i="1"/>
  <c r="O4611" i="1"/>
  <c r="P4611" i="1" s="1"/>
  <c r="N4611" i="1"/>
  <c r="O4607" i="1"/>
  <c r="P4607" i="1" s="1"/>
  <c r="N4607" i="1"/>
  <c r="O4605" i="1"/>
  <c r="P4605" i="1" s="1"/>
  <c r="N4605" i="1"/>
  <c r="O4602" i="1"/>
  <c r="P4602" i="1" s="1"/>
  <c r="N4602" i="1"/>
  <c r="O4598" i="1"/>
  <c r="P4598" i="1" s="1"/>
  <c r="N4598" i="1"/>
  <c r="O4595" i="1"/>
  <c r="P4595" i="1" s="1"/>
  <c r="N4595" i="1"/>
  <c r="O4593" i="1"/>
  <c r="P4593" i="1" s="1"/>
  <c r="N4593" i="1"/>
  <c r="O4591" i="1"/>
  <c r="P4591" i="1" s="1"/>
  <c r="N4591" i="1"/>
  <c r="O4588" i="1"/>
  <c r="P4588" i="1" s="1"/>
  <c r="N4588" i="1"/>
  <c r="O4581" i="1"/>
  <c r="P4581" i="1" s="1"/>
  <c r="N4581" i="1"/>
  <c r="O4579" i="1"/>
  <c r="P4579" i="1" s="1"/>
  <c r="N4579" i="1"/>
  <c r="O4576" i="1"/>
  <c r="P4576" i="1" s="1"/>
  <c r="N4576" i="1"/>
  <c r="O4574" i="1"/>
  <c r="P4574" i="1" s="1"/>
  <c r="N4574" i="1"/>
  <c r="O4572" i="1"/>
  <c r="P4572" i="1" s="1"/>
  <c r="N4572" i="1"/>
  <c r="O4569" i="1"/>
  <c r="P4569" i="1" s="1"/>
  <c r="N4569" i="1"/>
  <c r="O4567" i="1"/>
  <c r="P4567" i="1" s="1"/>
  <c r="N4567" i="1"/>
  <c r="O4565" i="1"/>
  <c r="P4565" i="1" s="1"/>
  <c r="N4565" i="1"/>
  <c r="O4563" i="1"/>
  <c r="P4563" i="1" s="1"/>
  <c r="N4563" i="1"/>
  <c r="O4561" i="1"/>
  <c r="P4561" i="1" s="1"/>
  <c r="N4561" i="1"/>
  <c r="O4559" i="1"/>
  <c r="P4559" i="1" s="1"/>
  <c r="N4559" i="1"/>
  <c r="O4557" i="1"/>
  <c r="P4557" i="1" s="1"/>
  <c r="N4557" i="1"/>
  <c r="O4554" i="1"/>
  <c r="P4554" i="1" s="1"/>
  <c r="N4554" i="1"/>
  <c r="O4551" i="1"/>
  <c r="P4551" i="1" s="1"/>
  <c r="N4551" i="1"/>
  <c r="O4548" i="1"/>
  <c r="P4548" i="1" s="1"/>
  <c r="N4548" i="1"/>
  <c r="O4546" i="1"/>
  <c r="P4546" i="1" s="1"/>
  <c r="N4546" i="1"/>
  <c r="O4544" i="1"/>
  <c r="P4544" i="1" s="1"/>
  <c r="N4544" i="1"/>
  <c r="O4542" i="1"/>
  <c r="P4542" i="1" s="1"/>
  <c r="N4542" i="1"/>
  <c r="O4540" i="1"/>
  <c r="P4540" i="1" s="1"/>
  <c r="N4540" i="1"/>
  <c r="O4535" i="1"/>
  <c r="P4535" i="1" s="1"/>
  <c r="N4535" i="1"/>
  <c r="O4533" i="1"/>
  <c r="P4533" i="1" s="1"/>
  <c r="N4533" i="1"/>
  <c r="O4531" i="1"/>
  <c r="P4531" i="1" s="1"/>
  <c r="N4531" i="1"/>
  <c r="O4528" i="1"/>
  <c r="P4528" i="1" s="1"/>
  <c r="N4528" i="1"/>
  <c r="O4525" i="1"/>
  <c r="P4525" i="1" s="1"/>
  <c r="N4525" i="1"/>
  <c r="O4518" i="1"/>
  <c r="P4518" i="1" s="1"/>
  <c r="N4518" i="1"/>
  <c r="O4516" i="1"/>
  <c r="P4516" i="1" s="1"/>
  <c r="N4516" i="1"/>
  <c r="O4511" i="1"/>
  <c r="P4511" i="1" s="1"/>
  <c r="N4511" i="1"/>
  <c r="O4508" i="1"/>
  <c r="P4508" i="1" s="1"/>
  <c r="N4508" i="1"/>
  <c r="O4504" i="1"/>
  <c r="P4504" i="1" s="1"/>
  <c r="N4504" i="1"/>
  <c r="O4500" i="1"/>
  <c r="P4500" i="1" s="1"/>
  <c r="N4500" i="1"/>
  <c r="O4498" i="1"/>
  <c r="P4498" i="1" s="1"/>
  <c r="N4498" i="1"/>
  <c r="O4492" i="1"/>
  <c r="P4492" i="1" s="1"/>
  <c r="N4492" i="1"/>
  <c r="O4490" i="1"/>
  <c r="P4490" i="1" s="1"/>
  <c r="N4490" i="1"/>
  <c r="O4487" i="1"/>
  <c r="P4487" i="1" s="1"/>
  <c r="N4487" i="1"/>
  <c r="O4484" i="1"/>
  <c r="P4484" i="1" s="1"/>
  <c r="N4484" i="1"/>
  <c r="O4482" i="1"/>
  <c r="P4482" i="1" s="1"/>
  <c r="N4482" i="1"/>
  <c r="O4480" i="1"/>
  <c r="P4480" i="1" s="1"/>
  <c r="N4480" i="1"/>
  <c r="O4478" i="1"/>
  <c r="P4478" i="1" s="1"/>
  <c r="N4478" i="1"/>
  <c r="O4475" i="1"/>
  <c r="P4475" i="1" s="1"/>
  <c r="N4475" i="1"/>
  <c r="O4473" i="1"/>
  <c r="P4473" i="1" s="1"/>
  <c r="N4473" i="1"/>
  <c r="O4471" i="1"/>
  <c r="P4471" i="1" s="1"/>
  <c r="N4471" i="1"/>
  <c r="O4468" i="1"/>
  <c r="P4468" i="1" s="1"/>
  <c r="N4468" i="1"/>
  <c r="O4466" i="1"/>
  <c r="P4466" i="1" s="1"/>
  <c r="N4466" i="1"/>
  <c r="O4463" i="1"/>
  <c r="P4463" i="1" s="1"/>
  <c r="N4463" i="1"/>
  <c r="O4461" i="1"/>
  <c r="P4461" i="1" s="1"/>
  <c r="N4461" i="1"/>
  <c r="O4458" i="1"/>
  <c r="P4458" i="1" s="1"/>
  <c r="N4458" i="1"/>
  <c r="O4455" i="1"/>
  <c r="P4455" i="1" s="1"/>
  <c r="N4455" i="1"/>
  <c r="O4450" i="1"/>
  <c r="P4450" i="1" s="1"/>
  <c r="N4450" i="1"/>
  <c r="O4441" i="1"/>
  <c r="P4441" i="1" s="1"/>
  <c r="N4441" i="1"/>
  <c r="O4437" i="1"/>
  <c r="P4437" i="1" s="1"/>
  <c r="N4437" i="1"/>
  <c r="O4434" i="1"/>
  <c r="P4434" i="1" s="1"/>
  <c r="N4434" i="1"/>
  <c r="O4429" i="1"/>
  <c r="P4429" i="1" s="1"/>
  <c r="N4429" i="1"/>
  <c r="O4425" i="1"/>
  <c r="P4425" i="1" s="1"/>
  <c r="N4425" i="1"/>
  <c r="O4422" i="1"/>
  <c r="P4422" i="1" s="1"/>
  <c r="N4422" i="1"/>
  <c r="O4420" i="1"/>
  <c r="P4420" i="1" s="1"/>
  <c r="N4420" i="1"/>
  <c r="O4418" i="1"/>
  <c r="P4418" i="1" s="1"/>
  <c r="N4418" i="1"/>
  <c r="O4413" i="1"/>
  <c r="P4413" i="1" s="1"/>
  <c r="N4413" i="1"/>
  <c r="O4411" i="1"/>
  <c r="P4411" i="1" s="1"/>
  <c r="N4411" i="1"/>
  <c r="O4409" i="1"/>
  <c r="P4409" i="1" s="1"/>
  <c r="N4409" i="1"/>
  <c r="O4407" i="1"/>
  <c r="P4407" i="1" s="1"/>
  <c r="N4407" i="1"/>
  <c r="O4405" i="1"/>
  <c r="P4405" i="1" s="1"/>
  <c r="N4405" i="1"/>
  <c r="O4403" i="1"/>
  <c r="P4403" i="1" s="1"/>
  <c r="N4403" i="1"/>
  <c r="O4400" i="1"/>
  <c r="P4400" i="1" s="1"/>
  <c r="N4400" i="1"/>
  <c r="O4398" i="1"/>
  <c r="P4398" i="1" s="1"/>
  <c r="N4398" i="1"/>
  <c r="O4395" i="1"/>
  <c r="P4395" i="1" s="1"/>
  <c r="N4395" i="1"/>
  <c r="O4393" i="1"/>
  <c r="P4393" i="1" s="1"/>
  <c r="N4393" i="1"/>
  <c r="O4388" i="1"/>
  <c r="P4388" i="1" s="1"/>
  <c r="N4388" i="1"/>
  <c r="O4386" i="1"/>
  <c r="P4386" i="1" s="1"/>
  <c r="N4386" i="1"/>
  <c r="O4384" i="1"/>
  <c r="P4384" i="1" s="1"/>
  <c r="N4384" i="1"/>
  <c r="O4382" i="1"/>
  <c r="P4382" i="1" s="1"/>
  <c r="N4382" i="1"/>
  <c r="O4380" i="1"/>
  <c r="P4380" i="1" s="1"/>
  <c r="N4380" i="1"/>
  <c r="O4378" i="1"/>
  <c r="P4378" i="1" s="1"/>
  <c r="N4378" i="1"/>
  <c r="O4376" i="1"/>
  <c r="P4376" i="1" s="1"/>
  <c r="N4376" i="1"/>
  <c r="O4374" i="1"/>
  <c r="P4374" i="1" s="1"/>
  <c r="N4374" i="1"/>
  <c r="O4372" i="1"/>
  <c r="P4372" i="1" s="1"/>
  <c r="N4372" i="1"/>
  <c r="O4370" i="1"/>
  <c r="P4370" i="1" s="1"/>
  <c r="N4370" i="1"/>
  <c r="O4367" i="1"/>
  <c r="P4367" i="1" s="1"/>
  <c r="N4367" i="1"/>
  <c r="O4365" i="1"/>
  <c r="P4365" i="1" s="1"/>
  <c r="N4365" i="1"/>
  <c r="O4363" i="1"/>
  <c r="P4363" i="1" s="1"/>
  <c r="N4363" i="1"/>
  <c r="O4360" i="1"/>
  <c r="P4360" i="1" s="1"/>
  <c r="N4360" i="1"/>
  <c r="O4358" i="1"/>
  <c r="P4358" i="1" s="1"/>
  <c r="N4358" i="1"/>
  <c r="O4355" i="1"/>
  <c r="P4355" i="1" s="1"/>
  <c r="N4355" i="1"/>
  <c r="O4353" i="1"/>
  <c r="P4353" i="1" s="1"/>
  <c r="N4353" i="1"/>
  <c r="O4348" i="1"/>
  <c r="P4348" i="1" s="1"/>
  <c r="N4348" i="1"/>
  <c r="O4340" i="1"/>
  <c r="P4340" i="1" s="1"/>
  <c r="N4340" i="1"/>
  <c r="O4338" i="1"/>
  <c r="P4338" i="1" s="1"/>
  <c r="N4338" i="1"/>
  <c r="O4334" i="1"/>
  <c r="P4334" i="1" s="1"/>
  <c r="N4334" i="1"/>
  <c r="O4332" i="1"/>
  <c r="P4332" i="1" s="1"/>
  <c r="N4332" i="1"/>
  <c r="O4327" i="1"/>
  <c r="P4327" i="1" s="1"/>
  <c r="N4327" i="1"/>
  <c r="O4325" i="1"/>
  <c r="P4325" i="1" s="1"/>
  <c r="N4325" i="1"/>
  <c r="O4323" i="1"/>
  <c r="P4323" i="1" s="1"/>
  <c r="N4323" i="1"/>
  <c r="O4320" i="1"/>
  <c r="P4320" i="1" s="1"/>
  <c r="N4320" i="1"/>
  <c r="O4318" i="1"/>
  <c r="P4318" i="1" s="1"/>
  <c r="N4318" i="1"/>
  <c r="O4316" i="1"/>
  <c r="P4316" i="1" s="1"/>
  <c r="N4316" i="1"/>
  <c r="O4314" i="1"/>
  <c r="P4314" i="1" s="1"/>
  <c r="N4314" i="1"/>
  <c r="O4310" i="1"/>
  <c r="P4310" i="1" s="1"/>
  <c r="N4310" i="1"/>
  <c r="O4308" i="1"/>
  <c r="P4308" i="1" s="1"/>
  <c r="N4308" i="1"/>
  <c r="O4306" i="1"/>
  <c r="P4306" i="1" s="1"/>
  <c r="N4306" i="1"/>
  <c r="O4304" i="1"/>
  <c r="P4304" i="1" s="1"/>
  <c r="N4304" i="1"/>
  <c r="O4301" i="1"/>
  <c r="P4301" i="1" s="1"/>
  <c r="N4301" i="1"/>
  <c r="O4291" i="1"/>
  <c r="P4291" i="1" s="1"/>
  <c r="N4291" i="1"/>
  <c r="O4288" i="1"/>
  <c r="P4288" i="1" s="1"/>
  <c r="N4288" i="1"/>
  <c r="O4286" i="1"/>
  <c r="P4286" i="1" s="1"/>
  <c r="N4286" i="1"/>
  <c r="O4276" i="1"/>
  <c r="P4276" i="1" s="1"/>
  <c r="N4276" i="1"/>
  <c r="O4272" i="1"/>
  <c r="P4272" i="1" s="1"/>
  <c r="N4272" i="1"/>
  <c r="O4269" i="1"/>
  <c r="P4269" i="1" s="1"/>
  <c r="N4269" i="1"/>
  <c r="O4266" i="1"/>
  <c r="P4266" i="1" s="1"/>
  <c r="N4266" i="1"/>
  <c r="O4264" i="1"/>
  <c r="P4264" i="1" s="1"/>
  <c r="N4264" i="1"/>
  <c r="O4262" i="1"/>
  <c r="P4262" i="1" s="1"/>
  <c r="N4262" i="1"/>
  <c r="O4260" i="1"/>
  <c r="P4260" i="1" s="1"/>
  <c r="N4260" i="1"/>
  <c r="O4258" i="1"/>
  <c r="P4258" i="1" s="1"/>
  <c r="N4258" i="1"/>
  <c r="O4255" i="1"/>
  <c r="P4255" i="1" s="1"/>
  <c r="N4255" i="1"/>
  <c r="O4253" i="1"/>
  <c r="P4253" i="1" s="1"/>
  <c r="N4253" i="1"/>
  <c r="O4251" i="1"/>
  <c r="P4251" i="1" s="1"/>
  <c r="N4251" i="1"/>
  <c r="O4248" i="1"/>
  <c r="P4248" i="1" s="1"/>
  <c r="N4248" i="1"/>
  <c r="O4245" i="1"/>
  <c r="P4245" i="1" s="1"/>
  <c r="N4245" i="1"/>
  <c r="O4243" i="1"/>
  <c r="P4243" i="1" s="1"/>
  <c r="N4243" i="1"/>
  <c r="O4241" i="1"/>
  <c r="P4241" i="1" s="1"/>
  <c r="N4241" i="1"/>
  <c r="O4238" i="1"/>
  <c r="P4238" i="1" s="1"/>
  <c r="N4238" i="1"/>
  <c r="O4236" i="1"/>
  <c r="P4236" i="1" s="1"/>
  <c r="N4236" i="1"/>
  <c r="O4234" i="1"/>
  <c r="P4234" i="1" s="1"/>
  <c r="N4234" i="1"/>
  <c r="O4232" i="1"/>
  <c r="P4232" i="1" s="1"/>
  <c r="N4232" i="1"/>
  <c r="O4230" i="1"/>
  <c r="P4230" i="1" s="1"/>
  <c r="N4230" i="1"/>
  <c r="O4228" i="1"/>
  <c r="P4228" i="1" s="1"/>
  <c r="N4228" i="1"/>
  <c r="O4226" i="1"/>
  <c r="P4226" i="1" s="1"/>
  <c r="N4226" i="1"/>
  <c r="O4220" i="1"/>
  <c r="P4220" i="1" s="1"/>
  <c r="N4220" i="1"/>
  <c r="O4214" i="1"/>
  <c r="P4214" i="1" s="1"/>
  <c r="N4214" i="1"/>
  <c r="O4212" i="1"/>
  <c r="P4212" i="1" s="1"/>
  <c r="N4212" i="1"/>
  <c r="O4210" i="1"/>
  <c r="P4210" i="1" s="1"/>
  <c r="N4210" i="1"/>
  <c r="O4208" i="1"/>
  <c r="P4208" i="1" s="1"/>
  <c r="N4208" i="1"/>
  <c r="O4206" i="1"/>
  <c r="P4206" i="1" s="1"/>
  <c r="N4206" i="1"/>
  <c r="O4203" i="1"/>
  <c r="P4203" i="1" s="1"/>
  <c r="N4203" i="1"/>
  <c r="O4201" i="1"/>
  <c r="P4201" i="1" s="1"/>
  <c r="N4201" i="1"/>
  <c r="O4198" i="1"/>
  <c r="P4198" i="1" s="1"/>
  <c r="N4198" i="1"/>
  <c r="O4196" i="1"/>
  <c r="P4196" i="1" s="1"/>
  <c r="N4196" i="1"/>
  <c r="O4194" i="1"/>
  <c r="P4194" i="1" s="1"/>
  <c r="N4194" i="1"/>
  <c r="O4192" i="1"/>
  <c r="P4192" i="1" s="1"/>
  <c r="N4192" i="1"/>
  <c r="O4189" i="1"/>
  <c r="P4189" i="1" s="1"/>
  <c r="N4189" i="1"/>
  <c r="O4187" i="1"/>
  <c r="P4187" i="1" s="1"/>
  <c r="N4187" i="1"/>
  <c r="O4185" i="1"/>
  <c r="P4185" i="1" s="1"/>
  <c r="N4185" i="1"/>
  <c r="O4183" i="1"/>
  <c r="P4183" i="1" s="1"/>
  <c r="N4183" i="1"/>
  <c r="O4181" i="1"/>
  <c r="P4181" i="1" s="1"/>
  <c r="N4181" i="1"/>
  <c r="O4175" i="1"/>
  <c r="P4175" i="1" s="1"/>
  <c r="N4175" i="1"/>
  <c r="O4168" i="1"/>
  <c r="P4168" i="1" s="1"/>
  <c r="N4168" i="1"/>
  <c r="O4166" i="1"/>
  <c r="P4166" i="1" s="1"/>
  <c r="N4166" i="1"/>
  <c r="O4162" i="1"/>
  <c r="P4162" i="1" s="1"/>
  <c r="N4162" i="1"/>
  <c r="O4160" i="1"/>
  <c r="P4160" i="1" s="1"/>
  <c r="N4160" i="1"/>
  <c r="O4158" i="1"/>
  <c r="P4158" i="1" s="1"/>
  <c r="N4158" i="1"/>
  <c r="O4156" i="1"/>
  <c r="P4156" i="1" s="1"/>
  <c r="N4156" i="1"/>
  <c r="O4151" i="1"/>
  <c r="P4151" i="1" s="1"/>
  <c r="N4151" i="1"/>
  <c r="O4147" i="1"/>
  <c r="P4147" i="1" s="1"/>
  <c r="N4147" i="1"/>
  <c r="O4144" i="1"/>
  <c r="P4144" i="1" s="1"/>
  <c r="N4144" i="1"/>
  <c r="O4140" i="1"/>
  <c r="P4140" i="1" s="1"/>
  <c r="N4140" i="1"/>
  <c r="O4134" i="1"/>
  <c r="P4134" i="1" s="1"/>
  <c r="N4134" i="1"/>
  <c r="O4132" i="1"/>
  <c r="P4132" i="1" s="1"/>
  <c r="N4132" i="1"/>
  <c r="O4130" i="1"/>
  <c r="P4130" i="1" s="1"/>
  <c r="N4130" i="1"/>
  <c r="O4127" i="1"/>
  <c r="P4127" i="1" s="1"/>
  <c r="N4127" i="1"/>
  <c r="O4125" i="1"/>
  <c r="P4125" i="1" s="1"/>
  <c r="N4125" i="1"/>
  <c r="O4123" i="1"/>
  <c r="P4123" i="1" s="1"/>
  <c r="N4123" i="1"/>
  <c r="O4121" i="1"/>
  <c r="P4121" i="1" s="1"/>
  <c r="N4121" i="1"/>
  <c r="O4119" i="1"/>
  <c r="P4119" i="1" s="1"/>
  <c r="N4119" i="1"/>
  <c r="O4117" i="1"/>
  <c r="P4117" i="1" s="1"/>
  <c r="N4117" i="1"/>
  <c r="O4115" i="1"/>
  <c r="P4115" i="1" s="1"/>
  <c r="N4115" i="1"/>
  <c r="O4113" i="1"/>
  <c r="P4113" i="1" s="1"/>
  <c r="N4113" i="1"/>
  <c r="O4110" i="1"/>
  <c r="P4110" i="1" s="1"/>
  <c r="N4110" i="1"/>
  <c r="O4108" i="1"/>
  <c r="P4108" i="1" s="1"/>
  <c r="N4108" i="1"/>
  <c r="O4106" i="1"/>
  <c r="P4106" i="1" s="1"/>
  <c r="N4106" i="1"/>
  <c r="O4104" i="1"/>
  <c r="P4104" i="1" s="1"/>
  <c r="N4104" i="1"/>
  <c r="O4102" i="1"/>
  <c r="P4102" i="1" s="1"/>
  <c r="N4102" i="1"/>
  <c r="O4100" i="1"/>
  <c r="P4100" i="1" s="1"/>
  <c r="N4100" i="1"/>
  <c r="O4098" i="1"/>
  <c r="P4098" i="1" s="1"/>
  <c r="N4098" i="1"/>
  <c r="O4096" i="1"/>
  <c r="P4096" i="1" s="1"/>
  <c r="N4096" i="1"/>
  <c r="O4094" i="1"/>
  <c r="P4094" i="1" s="1"/>
  <c r="N4094" i="1"/>
  <c r="O4092" i="1"/>
  <c r="P4092" i="1" s="1"/>
  <c r="N4092" i="1"/>
  <c r="O4089" i="1"/>
  <c r="P4089" i="1" s="1"/>
  <c r="N4089" i="1"/>
  <c r="O4087" i="1"/>
  <c r="P4087" i="1" s="1"/>
  <c r="N4087" i="1"/>
  <c r="O4082" i="1"/>
  <c r="P4082" i="1" s="1"/>
  <c r="N4082" i="1"/>
  <c r="O4076" i="1"/>
  <c r="P4076" i="1" s="1"/>
  <c r="N4076" i="1"/>
  <c r="O4074" i="1"/>
  <c r="P4074" i="1" s="1"/>
  <c r="N4074" i="1"/>
  <c r="O4071" i="1"/>
  <c r="P4071" i="1" s="1"/>
  <c r="N4071" i="1"/>
  <c r="O4069" i="1"/>
  <c r="P4069" i="1" s="1"/>
  <c r="N4069" i="1"/>
  <c r="O4066" i="1"/>
  <c r="P4066" i="1" s="1"/>
  <c r="N4066" i="1"/>
  <c r="O4061" i="1"/>
  <c r="P4061" i="1" s="1"/>
  <c r="N4061" i="1"/>
  <c r="O4056" i="1"/>
  <c r="P4056" i="1" s="1"/>
  <c r="N4056" i="1"/>
  <c r="O4054" i="1"/>
  <c r="P4054" i="1" s="1"/>
  <c r="N4054" i="1"/>
  <c r="O4051" i="1"/>
  <c r="P4051" i="1" s="1"/>
  <c r="N4051" i="1"/>
  <c r="O4046" i="1"/>
  <c r="P4046" i="1" s="1"/>
  <c r="N4046" i="1"/>
  <c r="O4040" i="1"/>
  <c r="P4040" i="1" s="1"/>
  <c r="N4040" i="1"/>
  <c r="O4038" i="1"/>
  <c r="P4038" i="1" s="1"/>
  <c r="N4038" i="1"/>
  <c r="O4036" i="1"/>
  <c r="P4036" i="1" s="1"/>
  <c r="N4036" i="1"/>
  <c r="O4034" i="1"/>
  <c r="P4034" i="1" s="1"/>
  <c r="N4034" i="1"/>
  <c r="O4032" i="1"/>
  <c r="P4032" i="1" s="1"/>
  <c r="N4032" i="1"/>
  <c r="O4030" i="1"/>
  <c r="P4030" i="1" s="1"/>
  <c r="N4030" i="1"/>
  <c r="O4028" i="1"/>
  <c r="P4028" i="1" s="1"/>
  <c r="N4028" i="1"/>
  <c r="O4026" i="1"/>
  <c r="P4026" i="1" s="1"/>
  <c r="N4026" i="1"/>
  <c r="O4024" i="1"/>
  <c r="P4024" i="1" s="1"/>
  <c r="N4024" i="1"/>
  <c r="O4022" i="1"/>
  <c r="P4022" i="1" s="1"/>
  <c r="N4022" i="1"/>
  <c r="O4020" i="1"/>
  <c r="P4020" i="1" s="1"/>
  <c r="N4020" i="1"/>
  <c r="O4018" i="1"/>
  <c r="P4018" i="1" s="1"/>
  <c r="N4018" i="1"/>
  <c r="O4016" i="1"/>
  <c r="P4016" i="1" s="1"/>
  <c r="N4016" i="1"/>
  <c r="O4014" i="1"/>
  <c r="P4014" i="1" s="1"/>
  <c r="N4014" i="1"/>
  <c r="O4012" i="1"/>
  <c r="P4012" i="1" s="1"/>
  <c r="N4012" i="1"/>
  <c r="O4010" i="1"/>
  <c r="P4010" i="1" s="1"/>
  <c r="N4010" i="1"/>
  <c r="O4008" i="1"/>
  <c r="P4008" i="1" s="1"/>
  <c r="N4008" i="1"/>
  <c r="O4005" i="1"/>
  <c r="P4005" i="1" s="1"/>
  <c r="N4005" i="1"/>
  <c r="O4003" i="1"/>
  <c r="P4003" i="1" s="1"/>
  <c r="N4003" i="1"/>
  <c r="O4000" i="1"/>
  <c r="P4000" i="1" s="1"/>
  <c r="N4000" i="1"/>
  <c r="O3998" i="1"/>
  <c r="P3998" i="1" s="1"/>
  <c r="N3998" i="1"/>
  <c r="O3996" i="1"/>
  <c r="P3996" i="1" s="1"/>
  <c r="N3996" i="1"/>
  <c r="O3994" i="1"/>
  <c r="P3994" i="1" s="1"/>
  <c r="N3994" i="1"/>
  <c r="O3991" i="1"/>
  <c r="P3991" i="1" s="1"/>
  <c r="N3991" i="1"/>
  <c r="O3988" i="1"/>
  <c r="P3988" i="1" s="1"/>
  <c r="N3988" i="1"/>
  <c r="O3986" i="1"/>
  <c r="P3986" i="1" s="1"/>
  <c r="N3986" i="1"/>
  <c r="O3984" i="1"/>
  <c r="P3984" i="1" s="1"/>
  <c r="N3984" i="1"/>
  <c r="O3981" i="1"/>
  <c r="P3981" i="1" s="1"/>
  <c r="N3981" i="1"/>
  <c r="O3979" i="1"/>
  <c r="P3979" i="1" s="1"/>
  <c r="N3979" i="1"/>
  <c r="O3977" i="1"/>
  <c r="P3977" i="1" s="1"/>
  <c r="N3977" i="1"/>
  <c r="O3974" i="1"/>
  <c r="P3974" i="1" s="1"/>
  <c r="N3974" i="1"/>
  <c r="O3970" i="1"/>
  <c r="P3970" i="1" s="1"/>
  <c r="N3970" i="1"/>
  <c r="O3968" i="1"/>
  <c r="P3968" i="1" s="1"/>
  <c r="N3968" i="1"/>
  <c r="O3966" i="1"/>
  <c r="P3966" i="1" s="1"/>
  <c r="N3966" i="1"/>
  <c r="O3963" i="1"/>
  <c r="P3963" i="1" s="1"/>
  <c r="N3963" i="1"/>
  <c r="O3961" i="1"/>
  <c r="P3961" i="1" s="1"/>
  <c r="N3961" i="1"/>
  <c r="O3958" i="1"/>
  <c r="P3958" i="1" s="1"/>
  <c r="N3958" i="1"/>
  <c r="O3956" i="1"/>
  <c r="P3956" i="1" s="1"/>
  <c r="N3956" i="1"/>
  <c r="O3954" i="1"/>
  <c r="P3954" i="1" s="1"/>
  <c r="N3954" i="1"/>
  <c r="O3951" i="1"/>
  <c r="P3951" i="1" s="1"/>
  <c r="N3951" i="1"/>
  <c r="O3947" i="1"/>
  <c r="P3947" i="1" s="1"/>
  <c r="N3947" i="1"/>
  <c r="O3945" i="1"/>
  <c r="P3945" i="1" s="1"/>
  <c r="N3945" i="1"/>
  <c r="O3942" i="1"/>
  <c r="P3942" i="1" s="1"/>
  <c r="N3942" i="1"/>
  <c r="O3940" i="1"/>
  <c r="P3940" i="1" s="1"/>
  <c r="N3940" i="1"/>
  <c r="O3937" i="1"/>
  <c r="P3937" i="1" s="1"/>
  <c r="N3937" i="1"/>
  <c r="O3935" i="1"/>
  <c r="P3935" i="1" s="1"/>
  <c r="N3935" i="1"/>
  <c r="O3933" i="1"/>
  <c r="P3933" i="1" s="1"/>
  <c r="N3933" i="1"/>
  <c r="O3931" i="1"/>
  <c r="P3931" i="1" s="1"/>
  <c r="N3931" i="1"/>
  <c r="O3929" i="1"/>
  <c r="P3929" i="1" s="1"/>
  <c r="N3929" i="1"/>
  <c r="O3927" i="1"/>
  <c r="P3927" i="1" s="1"/>
  <c r="N3927" i="1"/>
  <c r="O3925" i="1"/>
  <c r="P3925" i="1" s="1"/>
  <c r="N3925" i="1"/>
  <c r="O3922" i="1"/>
  <c r="P3922" i="1" s="1"/>
  <c r="N3922" i="1"/>
  <c r="O3918" i="1"/>
  <c r="P3918" i="1" s="1"/>
  <c r="N3918" i="1"/>
  <c r="O3911" i="1"/>
  <c r="P3911" i="1" s="1"/>
  <c r="N3911" i="1"/>
  <c r="O3909" i="1"/>
  <c r="P3909" i="1" s="1"/>
  <c r="N3909" i="1"/>
  <c r="O3905" i="1"/>
  <c r="P3905" i="1" s="1"/>
  <c r="N3905" i="1"/>
  <c r="O3903" i="1"/>
  <c r="P3903" i="1" s="1"/>
  <c r="N3903" i="1"/>
  <c r="O3901" i="1"/>
  <c r="P3901" i="1" s="1"/>
  <c r="N3901" i="1"/>
  <c r="O3898" i="1"/>
  <c r="P3898" i="1" s="1"/>
  <c r="N3898" i="1"/>
  <c r="O3896" i="1"/>
  <c r="P3896" i="1" s="1"/>
  <c r="N3896" i="1"/>
  <c r="O3894" i="1"/>
  <c r="P3894" i="1" s="1"/>
  <c r="N3894" i="1"/>
  <c r="O3892" i="1"/>
  <c r="P3892" i="1" s="1"/>
  <c r="N3892" i="1"/>
  <c r="O3886" i="1"/>
  <c r="P3886" i="1" s="1"/>
  <c r="N3886" i="1"/>
  <c r="O3880" i="1"/>
  <c r="P3880" i="1" s="1"/>
  <c r="N3880" i="1"/>
  <c r="O3878" i="1"/>
  <c r="P3878" i="1" s="1"/>
  <c r="N3878" i="1"/>
  <c r="O3875" i="1"/>
  <c r="P3875" i="1" s="1"/>
  <c r="N3875" i="1"/>
  <c r="O3873" i="1"/>
  <c r="P3873" i="1" s="1"/>
  <c r="N3873" i="1"/>
  <c r="O3871" i="1"/>
  <c r="P3871" i="1" s="1"/>
  <c r="N3871" i="1"/>
  <c r="O3869" i="1"/>
  <c r="P3869" i="1" s="1"/>
  <c r="N3869" i="1"/>
  <c r="O3867" i="1"/>
  <c r="P3867" i="1" s="1"/>
  <c r="N3867" i="1"/>
  <c r="O3865" i="1"/>
  <c r="P3865" i="1" s="1"/>
  <c r="N3865" i="1"/>
  <c r="O3863" i="1"/>
  <c r="P3863" i="1" s="1"/>
  <c r="N3863" i="1"/>
  <c r="O3861" i="1"/>
  <c r="P3861" i="1" s="1"/>
  <c r="N3861" i="1"/>
  <c r="O3858" i="1"/>
  <c r="P3858" i="1" s="1"/>
  <c r="N3858" i="1"/>
  <c r="O3856" i="1"/>
  <c r="P3856" i="1" s="1"/>
  <c r="N3856" i="1"/>
  <c r="O3854" i="1"/>
  <c r="P3854" i="1" s="1"/>
  <c r="N3854" i="1"/>
  <c r="O3851" i="1"/>
  <c r="P3851" i="1" s="1"/>
  <c r="N3851" i="1"/>
  <c r="O3849" i="1"/>
  <c r="P3849" i="1" s="1"/>
  <c r="N3849" i="1"/>
  <c r="O3845" i="1"/>
  <c r="P3845" i="1" s="1"/>
  <c r="N3845" i="1"/>
  <c r="O3843" i="1"/>
  <c r="P3843" i="1" s="1"/>
  <c r="N3843" i="1"/>
  <c r="O3837" i="1"/>
  <c r="P3837" i="1" s="1"/>
  <c r="N3837" i="1"/>
  <c r="O3834" i="1"/>
  <c r="P3834" i="1" s="1"/>
  <c r="N3834" i="1"/>
  <c r="O3832" i="1"/>
  <c r="P3832" i="1" s="1"/>
  <c r="N3832" i="1"/>
  <c r="O3830" i="1"/>
  <c r="P3830" i="1" s="1"/>
  <c r="N3830" i="1"/>
  <c r="O3828" i="1"/>
  <c r="P3828" i="1" s="1"/>
  <c r="N3828" i="1"/>
  <c r="O3826" i="1"/>
  <c r="P3826" i="1" s="1"/>
  <c r="N3826" i="1"/>
  <c r="O3824" i="1"/>
  <c r="P3824" i="1" s="1"/>
  <c r="N3824" i="1"/>
  <c r="O3821" i="1"/>
  <c r="P3821" i="1" s="1"/>
  <c r="N3821" i="1"/>
  <c r="O3817" i="1"/>
  <c r="P3817" i="1" s="1"/>
  <c r="N3817" i="1"/>
  <c r="O3813" i="1"/>
  <c r="P3813" i="1" s="1"/>
  <c r="N3813" i="1"/>
  <c r="O3810" i="1"/>
  <c r="P3810" i="1" s="1"/>
  <c r="N3810" i="1"/>
  <c r="O3808" i="1"/>
  <c r="P3808" i="1" s="1"/>
  <c r="N3808" i="1"/>
  <c r="O3805" i="1"/>
  <c r="P3805" i="1" s="1"/>
  <c r="N3805" i="1"/>
  <c r="O3803" i="1"/>
  <c r="P3803" i="1" s="1"/>
  <c r="N3803" i="1"/>
  <c r="O3800" i="1"/>
  <c r="P3800" i="1" s="1"/>
  <c r="N3800" i="1"/>
  <c r="O3798" i="1"/>
  <c r="P3798" i="1" s="1"/>
  <c r="N3798" i="1"/>
  <c r="O3796" i="1"/>
  <c r="P3796" i="1" s="1"/>
  <c r="N3796" i="1"/>
  <c r="O3794" i="1"/>
  <c r="P3794" i="1" s="1"/>
  <c r="N3794" i="1"/>
  <c r="O3792" i="1"/>
  <c r="P3792" i="1" s="1"/>
  <c r="N3792" i="1"/>
  <c r="O3790" i="1"/>
  <c r="P3790" i="1" s="1"/>
  <c r="N3790" i="1"/>
  <c r="O3788" i="1"/>
  <c r="P3788" i="1" s="1"/>
  <c r="N3788" i="1"/>
  <c r="O3786" i="1"/>
  <c r="P3786" i="1" s="1"/>
  <c r="N3786" i="1"/>
  <c r="O3783" i="1"/>
  <c r="P3783" i="1" s="1"/>
  <c r="N3783" i="1"/>
  <c r="O3781" i="1"/>
  <c r="P3781" i="1" s="1"/>
  <c r="N3781" i="1"/>
  <c r="O3779" i="1"/>
  <c r="P3779" i="1" s="1"/>
  <c r="N3779" i="1"/>
  <c r="O3777" i="1"/>
  <c r="P3777" i="1" s="1"/>
  <c r="N3777" i="1"/>
  <c r="O3775" i="1"/>
  <c r="P3775" i="1" s="1"/>
  <c r="N3775" i="1"/>
  <c r="O3773" i="1"/>
  <c r="P3773" i="1" s="1"/>
  <c r="N3773" i="1"/>
  <c r="O3771" i="1"/>
  <c r="P3771" i="1" s="1"/>
  <c r="N3771" i="1"/>
  <c r="O3769" i="1"/>
  <c r="P3769" i="1" s="1"/>
  <c r="N3769" i="1"/>
  <c r="O3766" i="1"/>
  <c r="P3766" i="1" s="1"/>
  <c r="N3766" i="1"/>
  <c r="O3764" i="1"/>
  <c r="P3764" i="1" s="1"/>
  <c r="N3764" i="1"/>
  <c r="O3762" i="1"/>
  <c r="P3762" i="1" s="1"/>
  <c r="N3762" i="1"/>
  <c r="O3760" i="1"/>
  <c r="P3760" i="1" s="1"/>
  <c r="N3760" i="1"/>
  <c r="O3758" i="1"/>
  <c r="P3758" i="1" s="1"/>
  <c r="N3758" i="1"/>
  <c r="O3755" i="1"/>
  <c r="P3755" i="1" s="1"/>
  <c r="N3755" i="1"/>
  <c r="O3753" i="1"/>
  <c r="P3753" i="1" s="1"/>
  <c r="N3753" i="1"/>
  <c r="O3751" i="1"/>
  <c r="P3751" i="1" s="1"/>
  <c r="N3751" i="1"/>
  <c r="O3749" i="1"/>
  <c r="P3749" i="1" s="1"/>
  <c r="N3749" i="1"/>
  <c r="O3747" i="1"/>
  <c r="P3747" i="1" s="1"/>
  <c r="N3747" i="1"/>
  <c r="O3745" i="1"/>
  <c r="P3745" i="1" s="1"/>
  <c r="N3745" i="1"/>
  <c r="O3743" i="1"/>
  <c r="P3743" i="1" s="1"/>
  <c r="N3743" i="1"/>
  <c r="O3739" i="1"/>
  <c r="P3739" i="1" s="1"/>
  <c r="N3739" i="1"/>
  <c r="O3735" i="1"/>
  <c r="P3735" i="1" s="1"/>
  <c r="N3735" i="1"/>
  <c r="O3731" i="1"/>
  <c r="P3731" i="1" s="1"/>
  <c r="N3731" i="1"/>
  <c r="O3726" i="1"/>
  <c r="P3726" i="1" s="1"/>
  <c r="N3726" i="1"/>
  <c r="O3724" i="1"/>
  <c r="P3724" i="1" s="1"/>
  <c r="N3724" i="1"/>
  <c r="O3721" i="1"/>
  <c r="P3721" i="1" s="1"/>
  <c r="N3721" i="1"/>
  <c r="O3717" i="1"/>
  <c r="P3717" i="1" s="1"/>
  <c r="N3717" i="1"/>
  <c r="O3715" i="1"/>
  <c r="P3715" i="1" s="1"/>
  <c r="N3715" i="1"/>
  <c r="O3708" i="1"/>
  <c r="P3708" i="1" s="1"/>
  <c r="N3708" i="1"/>
  <c r="O3705" i="1"/>
  <c r="P3705" i="1" s="1"/>
  <c r="N3705" i="1"/>
  <c r="O3701" i="1"/>
  <c r="P3701" i="1" s="1"/>
  <c r="N3701" i="1"/>
  <c r="O3691" i="1"/>
  <c r="P3691" i="1" s="1"/>
  <c r="N3691" i="1"/>
  <c r="O3689" i="1"/>
  <c r="P3689" i="1" s="1"/>
  <c r="N3689" i="1"/>
  <c r="O3685" i="1"/>
  <c r="P3685" i="1" s="1"/>
  <c r="N3685" i="1"/>
  <c r="O3683" i="1"/>
  <c r="P3683" i="1" s="1"/>
  <c r="N3683" i="1"/>
  <c r="O3681" i="1"/>
  <c r="P3681" i="1" s="1"/>
  <c r="N3681" i="1"/>
  <c r="O3679" i="1"/>
  <c r="P3679" i="1" s="1"/>
  <c r="N3679" i="1"/>
  <c r="O3677" i="1"/>
  <c r="P3677" i="1" s="1"/>
  <c r="N3677" i="1"/>
  <c r="O3675" i="1"/>
  <c r="P3675" i="1" s="1"/>
  <c r="N3675" i="1"/>
  <c r="O3673" i="1"/>
  <c r="P3673" i="1" s="1"/>
  <c r="N3673" i="1"/>
  <c r="O3671" i="1"/>
  <c r="P3671" i="1" s="1"/>
  <c r="N3671" i="1"/>
  <c r="O3669" i="1"/>
  <c r="P3669" i="1" s="1"/>
  <c r="N3669" i="1"/>
  <c r="O3667" i="1"/>
  <c r="P3667" i="1" s="1"/>
  <c r="N3667" i="1"/>
  <c r="O3665" i="1"/>
  <c r="P3665" i="1" s="1"/>
  <c r="N3665" i="1"/>
  <c r="O3662" i="1"/>
  <c r="P3662" i="1" s="1"/>
  <c r="N3662" i="1"/>
  <c r="O3659" i="1"/>
  <c r="P3659" i="1" s="1"/>
  <c r="N3659" i="1"/>
  <c r="O3657" i="1"/>
  <c r="P3657" i="1" s="1"/>
  <c r="N3657" i="1"/>
  <c r="O3655" i="1"/>
  <c r="P3655" i="1" s="1"/>
  <c r="N3655" i="1"/>
  <c r="O3653" i="1"/>
  <c r="P3653" i="1" s="1"/>
  <c r="N3653" i="1"/>
  <c r="O3651" i="1"/>
  <c r="P3651" i="1" s="1"/>
  <c r="N3651" i="1"/>
  <c r="O3646" i="1"/>
  <c r="P3646" i="1" s="1"/>
  <c r="N3646" i="1"/>
  <c r="O3641" i="1"/>
  <c r="P3641" i="1" s="1"/>
  <c r="N3641" i="1"/>
  <c r="O3639" i="1"/>
  <c r="P3639" i="1" s="1"/>
  <c r="N3639" i="1"/>
  <c r="O3637" i="1"/>
  <c r="P3637" i="1" s="1"/>
  <c r="N3637" i="1"/>
  <c r="O3634" i="1"/>
  <c r="P3634" i="1" s="1"/>
  <c r="N3634" i="1"/>
  <c r="O3632" i="1"/>
  <c r="P3632" i="1" s="1"/>
  <c r="N3632" i="1"/>
  <c r="O3629" i="1"/>
  <c r="P3629" i="1" s="1"/>
  <c r="N3629" i="1"/>
  <c r="O3627" i="1"/>
  <c r="P3627" i="1" s="1"/>
  <c r="N3627" i="1"/>
  <c r="O3625" i="1"/>
  <c r="P3625" i="1" s="1"/>
  <c r="N3625" i="1"/>
  <c r="O3623" i="1"/>
  <c r="P3623" i="1" s="1"/>
  <c r="N3623" i="1"/>
  <c r="O3620" i="1"/>
  <c r="P3620" i="1" s="1"/>
  <c r="N3620" i="1"/>
  <c r="O3618" i="1"/>
  <c r="P3618" i="1" s="1"/>
  <c r="N3618" i="1"/>
  <c r="O3616" i="1"/>
  <c r="P3616" i="1" s="1"/>
  <c r="N3616" i="1"/>
  <c r="O3611" i="1"/>
  <c r="P3611" i="1" s="1"/>
  <c r="N3611" i="1"/>
  <c r="O3604" i="1"/>
  <c r="P3604" i="1" s="1"/>
  <c r="N3604" i="1"/>
  <c r="O3602" i="1"/>
  <c r="P3602" i="1" s="1"/>
  <c r="N3602" i="1"/>
  <c r="O3598" i="1"/>
  <c r="P3598" i="1" s="1"/>
  <c r="N3598" i="1"/>
  <c r="O3596" i="1"/>
  <c r="P3596" i="1" s="1"/>
  <c r="N3596" i="1"/>
  <c r="O3591" i="1"/>
  <c r="P3591" i="1" s="1"/>
  <c r="N3591" i="1"/>
  <c r="O3589" i="1"/>
  <c r="P3589" i="1" s="1"/>
  <c r="N3589" i="1"/>
  <c r="O3585" i="1"/>
  <c r="P3585" i="1" s="1"/>
  <c r="N3585" i="1"/>
  <c r="O3582" i="1"/>
  <c r="P3582" i="1" s="1"/>
  <c r="N3582" i="1"/>
  <c r="O3580" i="1"/>
  <c r="P3580" i="1" s="1"/>
  <c r="N3580" i="1"/>
  <c r="O3578" i="1"/>
  <c r="P3578" i="1" s="1"/>
  <c r="N3578" i="1"/>
  <c r="O3576" i="1"/>
  <c r="P3576" i="1" s="1"/>
  <c r="N3576" i="1"/>
  <c r="O3572" i="1"/>
  <c r="P3572" i="1" s="1"/>
  <c r="N3572" i="1"/>
  <c r="O3563" i="1"/>
  <c r="P3563" i="1" s="1"/>
  <c r="N3563" i="1"/>
  <c r="O3559" i="1"/>
  <c r="P3559" i="1" s="1"/>
  <c r="N3559" i="1"/>
  <c r="O3557" i="1"/>
  <c r="P3557" i="1" s="1"/>
  <c r="N3557" i="1"/>
  <c r="O3555" i="1"/>
  <c r="P3555" i="1" s="1"/>
  <c r="N3555" i="1"/>
  <c r="O3553" i="1"/>
  <c r="P3553" i="1" s="1"/>
  <c r="N3553" i="1"/>
  <c r="O3551" i="1"/>
  <c r="P3551" i="1" s="1"/>
  <c r="N3551" i="1"/>
  <c r="O3549" i="1"/>
  <c r="P3549" i="1" s="1"/>
  <c r="N3549" i="1"/>
  <c r="O3547" i="1"/>
  <c r="P3547" i="1" s="1"/>
  <c r="N3547" i="1"/>
  <c r="O3545" i="1"/>
  <c r="P3545" i="1" s="1"/>
  <c r="N3545" i="1"/>
  <c r="O3542" i="1"/>
  <c r="P3542" i="1" s="1"/>
  <c r="N3542" i="1"/>
  <c r="O3540" i="1"/>
  <c r="P3540" i="1" s="1"/>
  <c r="N3540" i="1"/>
  <c r="O3537" i="1"/>
  <c r="P3537" i="1" s="1"/>
  <c r="N3537" i="1"/>
  <c r="O3535" i="1"/>
  <c r="P3535" i="1" s="1"/>
  <c r="N3535" i="1"/>
  <c r="O3533" i="1"/>
  <c r="P3533" i="1" s="1"/>
  <c r="N3533" i="1"/>
  <c r="O3529" i="1"/>
  <c r="P3529" i="1" s="1"/>
  <c r="N3529" i="1"/>
  <c r="O3526" i="1"/>
  <c r="P3526" i="1" s="1"/>
  <c r="N3526" i="1"/>
  <c r="O3524" i="1"/>
  <c r="P3524" i="1" s="1"/>
  <c r="N3524" i="1"/>
  <c r="O3522" i="1"/>
  <c r="P3522" i="1" s="1"/>
  <c r="N3522" i="1"/>
  <c r="O3520" i="1"/>
  <c r="P3520" i="1" s="1"/>
  <c r="N3520" i="1"/>
  <c r="O3518" i="1"/>
  <c r="P3518" i="1" s="1"/>
  <c r="N3518" i="1"/>
  <c r="O3516" i="1"/>
  <c r="P3516" i="1" s="1"/>
  <c r="N3516" i="1"/>
  <c r="O3514" i="1"/>
  <c r="P3514" i="1" s="1"/>
  <c r="N3514" i="1"/>
  <c r="O3511" i="1"/>
  <c r="P3511" i="1" s="1"/>
  <c r="N3511" i="1"/>
  <c r="O3509" i="1"/>
  <c r="P3509" i="1" s="1"/>
  <c r="N3509" i="1"/>
  <c r="O3505" i="1"/>
  <c r="P3505" i="1" s="1"/>
  <c r="N3505" i="1"/>
  <c r="O3502" i="1"/>
  <c r="P3502" i="1" s="1"/>
  <c r="N3502" i="1"/>
  <c r="O3499" i="1"/>
  <c r="P3499" i="1" s="1"/>
  <c r="N3499" i="1"/>
  <c r="O3497" i="1"/>
  <c r="P3497" i="1" s="1"/>
  <c r="N3497" i="1"/>
  <c r="O3494" i="1"/>
  <c r="P3494" i="1" s="1"/>
  <c r="N3494" i="1"/>
  <c r="O3489" i="1"/>
  <c r="P3489" i="1" s="1"/>
  <c r="N3489" i="1"/>
  <c r="O3487" i="1"/>
  <c r="P3487" i="1" s="1"/>
  <c r="N3487" i="1"/>
  <c r="O3485" i="1"/>
  <c r="P3485" i="1" s="1"/>
  <c r="N3485" i="1"/>
  <c r="O3483" i="1"/>
  <c r="P3483" i="1" s="1"/>
  <c r="N3483" i="1"/>
  <c r="O3481" i="1"/>
  <c r="P3481" i="1" s="1"/>
  <c r="N3481" i="1"/>
  <c r="O3479" i="1"/>
  <c r="P3479" i="1" s="1"/>
  <c r="N3479" i="1"/>
  <c r="O3477" i="1"/>
  <c r="P3477" i="1" s="1"/>
  <c r="N3477" i="1"/>
  <c r="O3475" i="1"/>
  <c r="P3475" i="1" s="1"/>
  <c r="N3475" i="1"/>
  <c r="O3473" i="1"/>
  <c r="P3473" i="1" s="1"/>
  <c r="N3473" i="1"/>
  <c r="O3471" i="1"/>
  <c r="P3471" i="1" s="1"/>
  <c r="N3471" i="1"/>
  <c r="O3465" i="1"/>
  <c r="P3465" i="1" s="1"/>
  <c r="N3465" i="1"/>
  <c r="O3462" i="1"/>
  <c r="P3462" i="1" s="1"/>
  <c r="N3462" i="1"/>
  <c r="O3460" i="1"/>
  <c r="P3460" i="1" s="1"/>
  <c r="N3460" i="1"/>
  <c r="O3458" i="1"/>
  <c r="P3458" i="1" s="1"/>
  <c r="N3458" i="1"/>
  <c r="O3456" i="1"/>
  <c r="P3456" i="1" s="1"/>
  <c r="N3456" i="1"/>
  <c r="O3454" i="1"/>
  <c r="P3454" i="1" s="1"/>
  <c r="N3454" i="1"/>
  <c r="O3452" i="1"/>
  <c r="P3452" i="1" s="1"/>
  <c r="N3452" i="1"/>
  <c r="O3450" i="1"/>
  <c r="P3450" i="1" s="1"/>
  <c r="N3450" i="1"/>
  <c r="O3448" i="1"/>
  <c r="P3448" i="1" s="1"/>
  <c r="N3448" i="1"/>
  <c r="O3446" i="1"/>
  <c r="P3446" i="1" s="1"/>
  <c r="N3446" i="1"/>
  <c r="O3444" i="1"/>
  <c r="P3444" i="1" s="1"/>
  <c r="N3444" i="1"/>
  <c r="O3442" i="1"/>
  <c r="P3442" i="1" s="1"/>
  <c r="N3442" i="1"/>
  <c r="O3440" i="1"/>
  <c r="P3440" i="1" s="1"/>
  <c r="N3440" i="1"/>
  <c r="O3438" i="1"/>
  <c r="P3438" i="1" s="1"/>
  <c r="N3438" i="1"/>
  <c r="O3435" i="1"/>
  <c r="P3435" i="1" s="1"/>
  <c r="N3435" i="1"/>
  <c r="O3433" i="1"/>
  <c r="P3433" i="1" s="1"/>
  <c r="N3433" i="1"/>
  <c r="O3430" i="1"/>
  <c r="P3430" i="1" s="1"/>
  <c r="N3430" i="1"/>
  <c r="O3428" i="1"/>
  <c r="P3428" i="1" s="1"/>
  <c r="N3428" i="1"/>
  <c r="O3425" i="1"/>
  <c r="P3425" i="1" s="1"/>
  <c r="N3425" i="1"/>
  <c r="O3423" i="1"/>
  <c r="P3423" i="1" s="1"/>
  <c r="N3423" i="1"/>
  <c r="O3418" i="1"/>
  <c r="P3418" i="1" s="1"/>
  <c r="N3418" i="1"/>
  <c r="O3416" i="1"/>
  <c r="P3416" i="1" s="1"/>
  <c r="N3416" i="1"/>
  <c r="O3414" i="1"/>
  <c r="P3414" i="1" s="1"/>
  <c r="N3414" i="1"/>
  <c r="O3412" i="1"/>
  <c r="P3412" i="1" s="1"/>
  <c r="N3412" i="1"/>
  <c r="O3409" i="1"/>
  <c r="P3409" i="1" s="1"/>
  <c r="N3409" i="1"/>
  <c r="O3407" i="1"/>
  <c r="P3407" i="1" s="1"/>
  <c r="N3407" i="1"/>
  <c r="O3404" i="1"/>
  <c r="P3404" i="1" s="1"/>
  <c r="N3404" i="1"/>
  <c r="O3402" i="1"/>
  <c r="P3402" i="1" s="1"/>
  <c r="N3402" i="1"/>
  <c r="O3400" i="1"/>
  <c r="P3400" i="1" s="1"/>
  <c r="N3400" i="1"/>
  <c r="O3395" i="1"/>
  <c r="P3395" i="1" s="1"/>
  <c r="N3395" i="1"/>
  <c r="O3393" i="1"/>
  <c r="P3393" i="1" s="1"/>
  <c r="N3393" i="1"/>
  <c r="O3386" i="1"/>
  <c r="P3386" i="1" s="1"/>
  <c r="N3386" i="1"/>
  <c r="O3384" i="1"/>
  <c r="P3384" i="1" s="1"/>
  <c r="N3384" i="1"/>
  <c r="O3382" i="1"/>
  <c r="P3382" i="1" s="1"/>
  <c r="N3382" i="1"/>
  <c r="O3380" i="1"/>
  <c r="P3380" i="1" s="1"/>
  <c r="N3380" i="1"/>
  <c r="O3375" i="1"/>
  <c r="P3375" i="1" s="1"/>
  <c r="N3375" i="1"/>
  <c r="O3369" i="1"/>
  <c r="P3369" i="1" s="1"/>
  <c r="N3369" i="1"/>
  <c r="O3367" i="1"/>
  <c r="P3367" i="1" s="1"/>
  <c r="N3367" i="1"/>
  <c r="O3365" i="1"/>
  <c r="P3365" i="1" s="1"/>
  <c r="N3365" i="1"/>
  <c r="O3363" i="1"/>
  <c r="P3363" i="1" s="1"/>
  <c r="N3363" i="1"/>
  <c r="O3359" i="1"/>
  <c r="P3359" i="1" s="1"/>
  <c r="N3359" i="1"/>
  <c r="O3357" i="1"/>
  <c r="P3357" i="1" s="1"/>
  <c r="N3357" i="1"/>
  <c r="O3354" i="1"/>
  <c r="P3354" i="1" s="1"/>
  <c r="N3354" i="1"/>
  <c r="O3352" i="1"/>
  <c r="P3352" i="1" s="1"/>
  <c r="N3352" i="1"/>
  <c r="O3350" i="1"/>
  <c r="P3350" i="1" s="1"/>
  <c r="N3350" i="1"/>
  <c r="O3344" i="1"/>
  <c r="P3344" i="1" s="1"/>
  <c r="N3344" i="1"/>
  <c r="O3341" i="1"/>
  <c r="P3341" i="1" s="1"/>
  <c r="N3341" i="1"/>
  <c r="O3338" i="1"/>
  <c r="P3338" i="1" s="1"/>
  <c r="N3338" i="1"/>
  <c r="O3335" i="1"/>
  <c r="P3335" i="1" s="1"/>
  <c r="N3335" i="1"/>
  <c r="O3333" i="1"/>
  <c r="P3333" i="1" s="1"/>
  <c r="N3333" i="1"/>
  <c r="O3331" i="1"/>
  <c r="P3331" i="1" s="1"/>
  <c r="N3331" i="1"/>
  <c r="O3329" i="1"/>
  <c r="P3329" i="1" s="1"/>
  <c r="N3329" i="1"/>
  <c r="O3327" i="1"/>
  <c r="P3327" i="1" s="1"/>
  <c r="N3327" i="1"/>
  <c r="O3325" i="1"/>
  <c r="P3325" i="1" s="1"/>
  <c r="N3325" i="1"/>
  <c r="O3322" i="1"/>
  <c r="P3322" i="1" s="1"/>
  <c r="N3322" i="1"/>
  <c r="O3320" i="1"/>
  <c r="P3320" i="1" s="1"/>
  <c r="N3320" i="1"/>
  <c r="O3318" i="1"/>
  <c r="P3318" i="1" s="1"/>
  <c r="N3318" i="1"/>
  <c r="O3316" i="1"/>
  <c r="P3316" i="1" s="1"/>
  <c r="N3316" i="1"/>
  <c r="O3314" i="1"/>
  <c r="P3314" i="1" s="1"/>
  <c r="N3314" i="1"/>
  <c r="O3312" i="1"/>
  <c r="P3312" i="1" s="1"/>
  <c r="N3312" i="1"/>
  <c r="O3310" i="1"/>
  <c r="P3310" i="1" s="1"/>
  <c r="N3310" i="1"/>
  <c r="O3308" i="1"/>
  <c r="P3308" i="1" s="1"/>
  <c r="N3308" i="1"/>
  <c r="O3306" i="1"/>
  <c r="P3306" i="1" s="1"/>
  <c r="N3306" i="1"/>
  <c r="O3304" i="1"/>
  <c r="P3304" i="1" s="1"/>
  <c r="N3304" i="1"/>
  <c r="O3300" i="1"/>
  <c r="P3300" i="1" s="1"/>
  <c r="N3300" i="1"/>
  <c r="O3298" i="1"/>
  <c r="P3298" i="1" s="1"/>
  <c r="N3298" i="1"/>
  <c r="O3296" i="1"/>
  <c r="P3296" i="1" s="1"/>
  <c r="N3296" i="1"/>
  <c r="O3293" i="1"/>
  <c r="P3293" i="1" s="1"/>
  <c r="N3293" i="1"/>
  <c r="O3289" i="1"/>
  <c r="P3289" i="1" s="1"/>
  <c r="N3289" i="1"/>
  <c r="O3286" i="1"/>
  <c r="P3286" i="1" s="1"/>
  <c r="N3286" i="1"/>
  <c r="O3284" i="1"/>
  <c r="P3284" i="1" s="1"/>
  <c r="N3284" i="1"/>
  <c r="O3278" i="1"/>
  <c r="P3278" i="1" s="1"/>
  <c r="N3278" i="1"/>
  <c r="O3276" i="1"/>
  <c r="P3276" i="1" s="1"/>
  <c r="N3276" i="1"/>
  <c r="O3274" i="1"/>
  <c r="P3274" i="1" s="1"/>
  <c r="N3274" i="1"/>
  <c r="O3272" i="1"/>
  <c r="P3272" i="1" s="1"/>
  <c r="N3272" i="1"/>
  <c r="O3270" i="1"/>
  <c r="P3270" i="1" s="1"/>
  <c r="N3270" i="1"/>
  <c r="O3268" i="1"/>
  <c r="P3268" i="1" s="1"/>
  <c r="N3268" i="1"/>
  <c r="O3266" i="1"/>
  <c r="P3266" i="1" s="1"/>
  <c r="N3266" i="1"/>
  <c r="O3264" i="1"/>
  <c r="P3264" i="1" s="1"/>
  <c r="N3264" i="1"/>
  <c r="O3262" i="1"/>
  <c r="P3262" i="1" s="1"/>
  <c r="N3262" i="1"/>
  <c r="O3259" i="1"/>
  <c r="P3259" i="1" s="1"/>
  <c r="N3259" i="1"/>
  <c r="O3257" i="1"/>
  <c r="P3257" i="1" s="1"/>
  <c r="N3257" i="1"/>
  <c r="O3255" i="1"/>
  <c r="P3255" i="1" s="1"/>
  <c r="N3255" i="1"/>
  <c r="O3251" i="1"/>
  <c r="P3251" i="1" s="1"/>
  <c r="N3251" i="1"/>
  <c r="O3249" i="1"/>
  <c r="P3249" i="1" s="1"/>
  <c r="N3249" i="1"/>
  <c r="O3247" i="1"/>
  <c r="P3247" i="1" s="1"/>
  <c r="N3247" i="1"/>
  <c r="O3245" i="1"/>
  <c r="P3245" i="1" s="1"/>
  <c r="N3245" i="1"/>
  <c r="O3243" i="1"/>
  <c r="P3243" i="1" s="1"/>
  <c r="N3243" i="1"/>
  <c r="O3241" i="1"/>
  <c r="P3241" i="1" s="1"/>
  <c r="N3241" i="1"/>
  <c r="O3239" i="1"/>
  <c r="P3239" i="1" s="1"/>
  <c r="N3239" i="1"/>
  <c r="O3237" i="1"/>
  <c r="P3237" i="1" s="1"/>
  <c r="N3237" i="1"/>
  <c r="O3234" i="1"/>
  <c r="P3234" i="1" s="1"/>
  <c r="N3234" i="1"/>
  <c r="O3231" i="1"/>
  <c r="P3231" i="1" s="1"/>
  <c r="N3231" i="1"/>
  <c r="O3229" i="1"/>
  <c r="P3229" i="1" s="1"/>
  <c r="N3229" i="1"/>
  <c r="O3227" i="1"/>
  <c r="P3227" i="1" s="1"/>
  <c r="N3227" i="1"/>
  <c r="O3223" i="1"/>
  <c r="P3223" i="1" s="1"/>
  <c r="N3223" i="1"/>
  <c r="O3218" i="1"/>
  <c r="P3218" i="1" s="1"/>
  <c r="N3218" i="1"/>
  <c r="O3214" i="1"/>
  <c r="P3214" i="1" s="1"/>
  <c r="N3214" i="1"/>
  <c r="O3212" i="1"/>
  <c r="P3212" i="1" s="1"/>
  <c r="N3212" i="1"/>
  <c r="O3208" i="1"/>
  <c r="P3208" i="1" s="1"/>
  <c r="N3208" i="1"/>
  <c r="O3206" i="1"/>
  <c r="P3206" i="1" s="1"/>
  <c r="N3206" i="1"/>
  <c r="O3204" i="1"/>
  <c r="P3204" i="1" s="1"/>
  <c r="N3204" i="1"/>
  <c r="O3202" i="1"/>
  <c r="P3202" i="1" s="1"/>
  <c r="N3202" i="1"/>
  <c r="O3200" i="1"/>
  <c r="P3200" i="1" s="1"/>
  <c r="N3200" i="1"/>
  <c r="O3198" i="1"/>
  <c r="P3198" i="1" s="1"/>
  <c r="N3198" i="1"/>
  <c r="O3196" i="1"/>
  <c r="P3196" i="1" s="1"/>
  <c r="N3196" i="1"/>
  <c r="O3194" i="1"/>
  <c r="P3194" i="1" s="1"/>
  <c r="N3194" i="1"/>
  <c r="O3192" i="1"/>
  <c r="P3192" i="1" s="1"/>
  <c r="N3192" i="1"/>
  <c r="O3190" i="1"/>
  <c r="P3190" i="1" s="1"/>
  <c r="N3190" i="1"/>
  <c r="O3187" i="1"/>
  <c r="P3187" i="1" s="1"/>
  <c r="N3187" i="1"/>
  <c r="O3184" i="1"/>
  <c r="P3184" i="1" s="1"/>
  <c r="N3184" i="1"/>
  <c r="O3181" i="1"/>
  <c r="P3181" i="1" s="1"/>
  <c r="N3181" i="1"/>
  <c r="O3179" i="1"/>
  <c r="P3179" i="1" s="1"/>
  <c r="N3179" i="1"/>
  <c r="O3175" i="1"/>
  <c r="P3175" i="1" s="1"/>
  <c r="N3175" i="1"/>
  <c r="O3173" i="1"/>
  <c r="P3173" i="1" s="1"/>
  <c r="N3173" i="1"/>
  <c r="O3171" i="1"/>
  <c r="P3171" i="1" s="1"/>
  <c r="N3171" i="1"/>
  <c r="O3169" i="1"/>
  <c r="P3169" i="1" s="1"/>
  <c r="N3169" i="1"/>
  <c r="O3166" i="1"/>
  <c r="P3166" i="1" s="1"/>
  <c r="N3166" i="1"/>
  <c r="O3163" i="1"/>
  <c r="P3163" i="1" s="1"/>
  <c r="N3163" i="1"/>
  <c r="O3161" i="1"/>
  <c r="P3161" i="1" s="1"/>
  <c r="N3161" i="1"/>
  <c r="O3159" i="1"/>
  <c r="P3159" i="1" s="1"/>
  <c r="N3159" i="1"/>
  <c r="O3157" i="1"/>
  <c r="P3157" i="1" s="1"/>
  <c r="N3157" i="1"/>
  <c r="O3155" i="1"/>
  <c r="P3155" i="1" s="1"/>
  <c r="N3155" i="1"/>
  <c r="O3153" i="1"/>
  <c r="P3153" i="1" s="1"/>
  <c r="N3153" i="1"/>
  <c r="O3151" i="1"/>
  <c r="P3151" i="1" s="1"/>
  <c r="N3151" i="1"/>
  <c r="O3149" i="1"/>
  <c r="P3149" i="1" s="1"/>
  <c r="N3149" i="1"/>
  <c r="O3147" i="1"/>
  <c r="P3147" i="1" s="1"/>
  <c r="N3147" i="1"/>
  <c r="O3145" i="1"/>
  <c r="P3145" i="1" s="1"/>
  <c r="N3145" i="1"/>
  <c r="O3143" i="1"/>
  <c r="P3143" i="1" s="1"/>
  <c r="N3143" i="1"/>
  <c r="O3141" i="1"/>
  <c r="P3141" i="1" s="1"/>
  <c r="N3141" i="1"/>
  <c r="O3139" i="1"/>
  <c r="P3139" i="1" s="1"/>
  <c r="N3139" i="1"/>
  <c r="O3137" i="1"/>
  <c r="P3137" i="1" s="1"/>
  <c r="N3137" i="1"/>
  <c r="O3134" i="1"/>
  <c r="P3134" i="1" s="1"/>
  <c r="N3134" i="1"/>
  <c r="O3131" i="1"/>
  <c r="P3131" i="1" s="1"/>
  <c r="N3131" i="1"/>
  <c r="O3128" i="1"/>
  <c r="P3128" i="1" s="1"/>
  <c r="N3128" i="1"/>
  <c r="O3125" i="1"/>
  <c r="P3125" i="1" s="1"/>
  <c r="N3125" i="1"/>
  <c r="O3123" i="1"/>
  <c r="P3123" i="1" s="1"/>
  <c r="N3123" i="1"/>
  <c r="O3121" i="1"/>
  <c r="P3121" i="1" s="1"/>
  <c r="N3121" i="1"/>
  <c r="O3118" i="1"/>
  <c r="P3118" i="1" s="1"/>
  <c r="N3118" i="1"/>
  <c r="O3116" i="1"/>
  <c r="P3116" i="1" s="1"/>
  <c r="N3116" i="1"/>
  <c r="O3114" i="1"/>
  <c r="P3114" i="1" s="1"/>
  <c r="N3114" i="1"/>
  <c r="O3112" i="1"/>
  <c r="P3112" i="1" s="1"/>
  <c r="N3112" i="1"/>
  <c r="O3110" i="1"/>
  <c r="P3110" i="1" s="1"/>
  <c r="N3110" i="1"/>
  <c r="O3108" i="1"/>
  <c r="P3108" i="1" s="1"/>
  <c r="N3108" i="1"/>
  <c r="O3106" i="1"/>
  <c r="P3106" i="1" s="1"/>
  <c r="N3106" i="1"/>
  <c r="O3104" i="1"/>
  <c r="P3104" i="1" s="1"/>
  <c r="N3104" i="1"/>
  <c r="O3102" i="1"/>
  <c r="P3102" i="1" s="1"/>
  <c r="N3102" i="1"/>
  <c r="O3100" i="1"/>
  <c r="P3100" i="1" s="1"/>
  <c r="N3100" i="1"/>
  <c r="O3098" i="1"/>
  <c r="P3098" i="1" s="1"/>
  <c r="N3098" i="1"/>
  <c r="O3095" i="1"/>
  <c r="P3095" i="1" s="1"/>
  <c r="N3095" i="1"/>
  <c r="O3093" i="1"/>
  <c r="P3093" i="1" s="1"/>
  <c r="N3093" i="1"/>
  <c r="O3091" i="1"/>
  <c r="P3091" i="1" s="1"/>
  <c r="N3091" i="1"/>
  <c r="O3088" i="1"/>
  <c r="P3088" i="1" s="1"/>
  <c r="N3088" i="1"/>
  <c r="O3085" i="1"/>
  <c r="P3085" i="1" s="1"/>
  <c r="N3085" i="1"/>
  <c r="O3083" i="1"/>
  <c r="P3083" i="1" s="1"/>
  <c r="N3083" i="1"/>
  <c r="O3081" i="1"/>
  <c r="P3081" i="1" s="1"/>
  <c r="N3081" i="1"/>
  <c r="O3079" i="1"/>
  <c r="P3079" i="1" s="1"/>
  <c r="N3079" i="1"/>
  <c r="O3076" i="1"/>
  <c r="P3076" i="1" s="1"/>
  <c r="N3076" i="1"/>
  <c r="O3074" i="1"/>
  <c r="P3074" i="1" s="1"/>
  <c r="N3074" i="1"/>
  <c r="O3072" i="1"/>
  <c r="P3072" i="1" s="1"/>
  <c r="N3072" i="1"/>
  <c r="O3069" i="1"/>
  <c r="P3069" i="1" s="1"/>
  <c r="N3069" i="1"/>
  <c r="O3067" i="1"/>
  <c r="P3067" i="1" s="1"/>
  <c r="N3067" i="1"/>
  <c r="O3065" i="1"/>
  <c r="P3065" i="1" s="1"/>
  <c r="N3065" i="1"/>
  <c r="O3062" i="1"/>
  <c r="P3062" i="1" s="1"/>
  <c r="N3062" i="1"/>
  <c r="O3060" i="1"/>
  <c r="P3060" i="1" s="1"/>
  <c r="N3060" i="1"/>
  <c r="O3058" i="1"/>
  <c r="P3058" i="1" s="1"/>
  <c r="N3058" i="1"/>
  <c r="O3056" i="1"/>
  <c r="P3056" i="1" s="1"/>
  <c r="N3056" i="1"/>
  <c r="O3054" i="1"/>
  <c r="P3054" i="1" s="1"/>
  <c r="N3054" i="1"/>
  <c r="O3050" i="1"/>
  <c r="P3050" i="1" s="1"/>
  <c r="N3050" i="1"/>
  <c r="O3047" i="1"/>
  <c r="P3047" i="1" s="1"/>
  <c r="N3047" i="1"/>
  <c r="O3042" i="1"/>
  <c r="P3042" i="1" s="1"/>
  <c r="N3042" i="1"/>
  <c r="O3040" i="1"/>
  <c r="P3040" i="1" s="1"/>
  <c r="N3040" i="1"/>
  <c r="O3038" i="1"/>
  <c r="P3038" i="1" s="1"/>
  <c r="N3038" i="1"/>
  <c r="O3036" i="1"/>
  <c r="P3036" i="1" s="1"/>
  <c r="N3036" i="1"/>
  <c r="O3034" i="1"/>
  <c r="P3034" i="1" s="1"/>
  <c r="N3034" i="1"/>
  <c r="O3030" i="1"/>
  <c r="P3030" i="1" s="1"/>
  <c r="N3030" i="1"/>
  <c r="O3025" i="1"/>
  <c r="P3025" i="1" s="1"/>
  <c r="N3025" i="1"/>
  <c r="O3022" i="1"/>
  <c r="P3022" i="1" s="1"/>
  <c r="N3022" i="1"/>
  <c r="O3020" i="1"/>
  <c r="P3020" i="1" s="1"/>
  <c r="N3020" i="1"/>
  <c r="O3016" i="1"/>
  <c r="P3016" i="1" s="1"/>
  <c r="N3016" i="1"/>
  <c r="O3011" i="1"/>
  <c r="P3011" i="1" s="1"/>
  <c r="N3011" i="1"/>
  <c r="O3009" i="1"/>
  <c r="P3009" i="1" s="1"/>
  <c r="N3009" i="1"/>
  <c r="O3006" i="1"/>
  <c r="P3006" i="1" s="1"/>
  <c r="N3006" i="1"/>
  <c r="O3004" i="1"/>
  <c r="P3004" i="1" s="1"/>
  <c r="N3004" i="1"/>
  <c r="O3002" i="1"/>
  <c r="P3002" i="1" s="1"/>
  <c r="N3002" i="1"/>
  <c r="O3000" i="1"/>
  <c r="P3000" i="1" s="1"/>
  <c r="N3000" i="1"/>
  <c r="O2997" i="1"/>
  <c r="P2997" i="1" s="1"/>
  <c r="N2997" i="1"/>
  <c r="O2995" i="1"/>
  <c r="P2995" i="1" s="1"/>
  <c r="N2995" i="1"/>
  <c r="O2991" i="1"/>
  <c r="P2991" i="1" s="1"/>
  <c r="N2991" i="1"/>
  <c r="O2989" i="1"/>
  <c r="P2989" i="1" s="1"/>
  <c r="N2989" i="1"/>
  <c r="O2987" i="1"/>
  <c r="P2987" i="1" s="1"/>
  <c r="N2987" i="1"/>
  <c r="O2985" i="1"/>
  <c r="P2985" i="1" s="1"/>
  <c r="N2985" i="1"/>
  <c r="O2982" i="1"/>
  <c r="P2982" i="1" s="1"/>
  <c r="N2982" i="1"/>
  <c r="O2980" i="1"/>
  <c r="P2980" i="1" s="1"/>
  <c r="N2980" i="1"/>
  <c r="O2978" i="1"/>
  <c r="P2978" i="1" s="1"/>
  <c r="N2978" i="1"/>
  <c r="O2976" i="1"/>
  <c r="P2976" i="1" s="1"/>
  <c r="N2976" i="1"/>
  <c r="O2974" i="1"/>
  <c r="P2974" i="1" s="1"/>
  <c r="N2974" i="1"/>
  <c r="O2972" i="1"/>
  <c r="P2972" i="1" s="1"/>
  <c r="N2972" i="1"/>
  <c r="O2970" i="1"/>
  <c r="P2970" i="1" s="1"/>
  <c r="N2970" i="1"/>
  <c r="O2968" i="1"/>
  <c r="P2968" i="1" s="1"/>
  <c r="N2968" i="1"/>
  <c r="O2966" i="1"/>
  <c r="P2966" i="1" s="1"/>
  <c r="N2966" i="1"/>
  <c r="O2964" i="1"/>
  <c r="P2964" i="1" s="1"/>
  <c r="N2964" i="1"/>
  <c r="O2962" i="1"/>
  <c r="P2962" i="1" s="1"/>
  <c r="N2962" i="1"/>
  <c r="O2954" i="1"/>
  <c r="P2954" i="1" s="1"/>
  <c r="N2954" i="1"/>
  <c r="O2952" i="1"/>
  <c r="P2952" i="1" s="1"/>
  <c r="N2952" i="1"/>
  <c r="O2950" i="1"/>
  <c r="P2950" i="1" s="1"/>
  <c r="N2950" i="1"/>
  <c r="O2945" i="1"/>
  <c r="P2945" i="1" s="1"/>
  <c r="N2945" i="1"/>
  <c r="O2943" i="1"/>
  <c r="P2943" i="1" s="1"/>
  <c r="N2943" i="1"/>
  <c r="O2941" i="1"/>
  <c r="P2941" i="1" s="1"/>
  <c r="N2941" i="1"/>
  <c r="O2939" i="1"/>
  <c r="P2939" i="1" s="1"/>
  <c r="N2939" i="1"/>
  <c r="O2937" i="1"/>
  <c r="P2937" i="1" s="1"/>
  <c r="N2937" i="1"/>
  <c r="O2935" i="1"/>
  <c r="P2935" i="1" s="1"/>
  <c r="N2935" i="1"/>
  <c r="O2933" i="1"/>
  <c r="P2933" i="1" s="1"/>
  <c r="N2933" i="1"/>
  <c r="O2931" i="1"/>
  <c r="P2931" i="1" s="1"/>
  <c r="N2931" i="1"/>
  <c r="O2929" i="1"/>
  <c r="P2929" i="1" s="1"/>
  <c r="N2929" i="1"/>
  <c r="O2926" i="1"/>
  <c r="P2926" i="1" s="1"/>
  <c r="N2926" i="1"/>
  <c r="O2924" i="1"/>
  <c r="P2924" i="1" s="1"/>
  <c r="N2924" i="1"/>
  <c r="O2922" i="1"/>
  <c r="P2922" i="1" s="1"/>
  <c r="N2922" i="1"/>
  <c r="O2920" i="1"/>
  <c r="P2920" i="1" s="1"/>
  <c r="N2920" i="1"/>
  <c r="O2918" i="1"/>
  <c r="P2918" i="1" s="1"/>
  <c r="N2918" i="1"/>
  <c r="O2916" i="1"/>
  <c r="P2916" i="1" s="1"/>
  <c r="N2916" i="1"/>
  <c r="O2914" i="1"/>
  <c r="P2914" i="1" s="1"/>
  <c r="N2914" i="1"/>
  <c r="O2912" i="1"/>
  <c r="P2912" i="1" s="1"/>
  <c r="N2912" i="1"/>
  <c r="O2910" i="1"/>
  <c r="P2910" i="1" s="1"/>
  <c r="N2910" i="1"/>
  <c r="O2908" i="1"/>
  <c r="P2908" i="1" s="1"/>
  <c r="N2908" i="1"/>
  <c r="O2905" i="1"/>
  <c r="P2905" i="1" s="1"/>
  <c r="N2905" i="1"/>
  <c r="O2903" i="1"/>
  <c r="P2903" i="1" s="1"/>
  <c r="N2903" i="1"/>
  <c r="O2901" i="1"/>
  <c r="P2901" i="1" s="1"/>
  <c r="N2901" i="1"/>
  <c r="O2896" i="1"/>
  <c r="P2896" i="1" s="1"/>
  <c r="N2896" i="1"/>
  <c r="O2889" i="1"/>
  <c r="P2889" i="1" s="1"/>
  <c r="N2889" i="1"/>
  <c r="O2886" i="1"/>
  <c r="P2886" i="1" s="1"/>
  <c r="N2886" i="1"/>
  <c r="O2882" i="1"/>
  <c r="P2882" i="1" s="1"/>
  <c r="N2882" i="1"/>
  <c r="O2880" i="1"/>
  <c r="P2880" i="1" s="1"/>
  <c r="N2880" i="1"/>
  <c r="O2878" i="1"/>
  <c r="P2878" i="1" s="1"/>
  <c r="N2878" i="1"/>
  <c r="O2875" i="1"/>
  <c r="P2875" i="1" s="1"/>
  <c r="N2875" i="1"/>
  <c r="O2870" i="1"/>
  <c r="P2870" i="1" s="1"/>
  <c r="N2870" i="1"/>
  <c r="O2868" i="1"/>
  <c r="P2868" i="1" s="1"/>
  <c r="N2868" i="1"/>
  <c r="O2866" i="1"/>
  <c r="P2866" i="1" s="1"/>
  <c r="N2866" i="1"/>
  <c r="O2862" i="1"/>
  <c r="P2862" i="1" s="1"/>
  <c r="N2862" i="1"/>
  <c r="O2860" i="1"/>
  <c r="P2860" i="1" s="1"/>
  <c r="N2860" i="1"/>
  <c r="O2858" i="1"/>
  <c r="P2858" i="1" s="1"/>
  <c r="N2858" i="1"/>
  <c r="O2856" i="1"/>
  <c r="P2856" i="1" s="1"/>
  <c r="N2856" i="1"/>
  <c r="O2854" i="1"/>
  <c r="P2854" i="1" s="1"/>
  <c r="N2854" i="1"/>
  <c r="O2852" i="1"/>
  <c r="P2852" i="1" s="1"/>
  <c r="N2852" i="1"/>
  <c r="O2850" i="1"/>
  <c r="P2850" i="1" s="1"/>
  <c r="N2850" i="1"/>
  <c r="O2848" i="1"/>
  <c r="P2848" i="1" s="1"/>
  <c r="N2848" i="1"/>
  <c r="O2845" i="1"/>
  <c r="P2845" i="1" s="1"/>
  <c r="N2845" i="1"/>
  <c r="O2843" i="1"/>
  <c r="P2843" i="1" s="1"/>
  <c r="N2843" i="1"/>
  <c r="O2841" i="1"/>
  <c r="P2841" i="1" s="1"/>
  <c r="N2841" i="1"/>
  <c r="O2839" i="1"/>
  <c r="P2839" i="1" s="1"/>
  <c r="N2839" i="1"/>
  <c r="O2837" i="1"/>
  <c r="P2837" i="1" s="1"/>
  <c r="N2837" i="1"/>
  <c r="O2835" i="1"/>
  <c r="P2835" i="1" s="1"/>
  <c r="N2835" i="1"/>
  <c r="O2833" i="1"/>
  <c r="P2833" i="1" s="1"/>
  <c r="N2833" i="1"/>
  <c r="O2831" i="1"/>
  <c r="P2831" i="1" s="1"/>
  <c r="N2831" i="1"/>
  <c r="O2829" i="1"/>
  <c r="P2829" i="1" s="1"/>
  <c r="N2829" i="1"/>
  <c r="O2826" i="1"/>
  <c r="P2826" i="1" s="1"/>
  <c r="N2826" i="1"/>
  <c r="O2824" i="1"/>
  <c r="P2824" i="1" s="1"/>
  <c r="N2824" i="1"/>
  <c r="O2821" i="1"/>
  <c r="P2821" i="1" s="1"/>
  <c r="N2821" i="1"/>
  <c r="O2819" i="1"/>
  <c r="P2819" i="1" s="1"/>
  <c r="N2819" i="1"/>
  <c r="O2817" i="1"/>
  <c r="P2817" i="1" s="1"/>
  <c r="N2817" i="1"/>
  <c r="O2815" i="1"/>
  <c r="P2815" i="1" s="1"/>
  <c r="N2815" i="1"/>
  <c r="O2813" i="1"/>
  <c r="P2813" i="1" s="1"/>
  <c r="N2813" i="1"/>
  <c r="O2811" i="1"/>
  <c r="P2811" i="1" s="1"/>
  <c r="N2811" i="1"/>
  <c r="O2809" i="1"/>
  <c r="P2809" i="1" s="1"/>
  <c r="N2809" i="1"/>
  <c r="O2807" i="1"/>
  <c r="P2807" i="1" s="1"/>
  <c r="N2807" i="1"/>
  <c r="O2805" i="1"/>
  <c r="P2805" i="1" s="1"/>
  <c r="N2805" i="1"/>
  <c r="O2801" i="1"/>
  <c r="P2801" i="1" s="1"/>
  <c r="N2801" i="1"/>
  <c r="O2799" i="1"/>
  <c r="P2799" i="1" s="1"/>
  <c r="N2799" i="1"/>
  <c r="O2796" i="1"/>
  <c r="P2796" i="1" s="1"/>
  <c r="N2796" i="1"/>
  <c r="O2794" i="1"/>
  <c r="P2794" i="1" s="1"/>
  <c r="N2794" i="1"/>
  <c r="O2792" i="1"/>
  <c r="P2792" i="1" s="1"/>
  <c r="N2792" i="1"/>
  <c r="O2789" i="1"/>
  <c r="P2789" i="1" s="1"/>
  <c r="N2789" i="1"/>
  <c r="O2787" i="1"/>
  <c r="P2787" i="1" s="1"/>
  <c r="N2787" i="1"/>
  <c r="O2785" i="1"/>
  <c r="P2785" i="1" s="1"/>
  <c r="N2785" i="1"/>
  <c r="O2783" i="1"/>
  <c r="P2783" i="1" s="1"/>
  <c r="N2783" i="1"/>
  <c r="O2781" i="1"/>
  <c r="P2781" i="1" s="1"/>
  <c r="N2781" i="1"/>
  <c r="O2779" i="1"/>
  <c r="P2779" i="1" s="1"/>
  <c r="N2779" i="1"/>
  <c r="O2777" i="1"/>
  <c r="P2777" i="1" s="1"/>
  <c r="N2777" i="1"/>
  <c r="O2771" i="1"/>
  <c r="P2771" i="1" s="1"/>
  <c r="N2771" i="1"/>
  <c r="O2769" i="1"/>
  <c r="P2769" i="1" s="1"/>
  <c r="N2769" i="1"/>
  <c r="O2766" i="1"/>
  <c r="P2766" i="1" s="1"/>
  <c r="N2766" i="1"/>
  <c r="O2763" i="1"/>
  <c r="P2763" i="1" s="1"/>
  <c r="N2763" i="1"/>
  <c r="O2761" i="1"/>
  <c r="P2761" i="1" s="1"/>
  <c r="N2761" i="1"/>
  <c r="O2759" i="1"/>
  <c r="P2759" i="1" s="1"/>
  <c r="N2759" i="1"/>
  <c r="O2757" i="1"/>
  <c r="P2757" i="1" s="1"/>
  <c r="N2757" i="1"/>
  <c r="O2755" i="1"/>
  <c r="P2755" i="1" s="1"/>
  <c r="N2755" i="1"/>
  <c r="O2753" i="1"/>
  <c r="P2753" i="1" s="1"/>
  <c r="N2753" i="1"/>
  <c r="O2751" i="1"/>
  <c r="P2751" i="1" s="1"/>
  <c r="N2751" i="1"/>
  <c r="O2749" i="1"/>
  <c r="P2749" i="1" s="1"/>
  <c r="N2749" i="1"/>
  <c r="O2744" i="1"/>
  <c r="P2744" i="1" s="1"/>
  <c r="N2744" i="1"/>
  <c r="O2742" i="1"/>
  <c r="P2742" i="1" s="1"/>
  <c r="N2742" i="1"/>
  <c r="O2739" i="1"/>
  <c r="P2739" i="1" s="1"/>
  <c r="N2739" i="1"/>
  <c r="O2737" i="1"/>
  <c r="P2737" i="1" s="1"/>
  <c r="N2737" i="1"/>
  <c r="O2734" i="1"/>
  <c r="P2734" i="1" s="1"/>
  <c r="N2734" i="1"/>
  <c r="O2732" i="1"/>
  <c r="P2732" i="1" s="1"/>
  <c r="N2732" i="1"/>
  <c r="O2730" i="1"/>
  <c r="P2730" i="1" s="1"/>
  <c r="N2730" i="1"/>
  <c r="O2728" i="1"/>
  <c r="P2728" i="1" s="1"/>
  <c r="N2728" i="1"/>
  <c r="O2726" i="1"/>
  <c r="P2726" i="1" s="1"/>
  <c r="N2726" i="1"/>
  <c r="O2722" i="1"/>
  <c r="P2722" i="1" s="1"/>
  <c r="N2722" i="1"/>
  <c r="O2720" i="1"/>
  <c r="P2720" i="1" s="1"/>
  <c r="N2720" i="1"/>
  <c r="O2717" i="1"/>
  <c r="P2717" i="1" s="1"/>
  <c r="N2717" i="1"/>
  <c r="O2715" i="1"/>
  <c r="P2715" i="1" s="1"/>
  <c r="N2715" i="1"/>
  <c r="O2713" i="1"/>
  <c r="P2713" i="1" s="1"/>
  <c r="N2713" i="1"/>
  <c r="O2711" i="1"/>
  <c r="P2711" i="1" s="1"/>
  <c r="N2711" i="1"/>
  <c r="O2709" i="1"/>
  <c r="P2709" i="1" s="1"/>
  <c r="N2709" i="1"/>
  <c r="O2707" i="1"/>
  <c r="P2707" i="1" s="1"/>
  <c r="N2707" i="1"/>
  <c r="O2705" i="1"/>
  <c r="P2705" i="1" s="1"/>
  <c r="N2705" i="1"/>
  <c r="O2702" i="1"/>
  <c r="P2702" i="1" s="1"/>
  <c r="N2702" i="1"/>
  <c r="O2698" i="1"/>
  <c r="P2698" i="1" s="1"/>
  <c r="N2698" i="1"/>
  <c r="O2696" i="1"/>
  <c r="P2696" i="1" s="1"/>
  <c r="N2696" i="1"/>
  <c r="O2694" i="1"/>
  <c r="P2694" i="1" s="1"/>
  <c r="N2694" i="1"/>
  <c r="O2692" i="1"/>
  <c r="P2692" i="1" s="1"/>
  <c r="N2692" i="1"/>
  <c r="O2690" i="1"/>
  <c r="P2690" i="1" s="1"/>
  <c r="N2690" i="1"/>
  <c r="O2688" i="1"/>
  <c r="P2688" i="1" s="1"/>
  <c r="N2688" i="1"/>
  <c r="O2686" i="1"/>
  <c r="P2686" i="1" s="1"/>
  <c r="N2686" i="1"/>
  <c r="O2682" i="1"/>
  <c r="P2682" i="1" s="1"/>
  <c r="N2682" i="1"/>
  <c r="O2677" i="1"/>
  <c r="P2677" i="1" s="1"/>
  <c r="N2677" i="1"/>
  <c r="O2675" i="1"/>
  <c r="P2675" i="1" s="1"/>
  <c r="N2675" i="1"/>
  <c r="O2671" i="1"/>
  <c r="P2671" i="1" s="1"/>
  <c r="N2671" i="1"/>
  <c r="O2669" i="1"/>
  <c r="P2669" i="1" s="1"/>
  <c r="N2669" i="1"/>
  <c r="O2667" i="1"/>
  <c r="P2667" i="1" s="1"/>
  <c r="N2667" i="1"/>
  <c r="O2665" i="1"/>
  <c r="P2665" i="1" s="1"/>
  <c r="N2665" i="1"/>
  <c r="O2663" i="1"/>
  <c r="P2663" i="1" s="1"/>
  <c r="N2663" i="1"/>
  <c r="O2660" i="1"/>
  <c r="P2660" i="1" s="1"/>
  <c r="N2660" i="1"/>
  <c r="O2658" i="1"/>
  <c r="P2658" i="1" s="1"/>
  <c r="N2658" i="1"/>
  <c r="O2656" i="1"/>
  <c r="P2656" i="1" s="1"/>
  <c r="N2656" i="1"/>
  <c r="O2654" i="1"/>
  <c r="P2654" i="1" s="1"/>
  <c r="N2654" i="1"/>
  <c r="O2652" i="1"/>
  <c r="P2652" i="1" s="1"/>
  <c r="N2652" i="1"/>
  <c r="O2650" i="1"/>
  <c r="P2650" i="1" s="1"/>
  <c r="N2650" i="1"/>
  <c r="O2648" i="1"/>
  <c r="P2648" i="1" s="1"/>
  <c r="N2648" i="1"/>
  <c r="O2646" i="1"/>
  <c r="P2646" i="1" s="1"/>
  <c r="N2646" i="1"/>
  <c r="O2643" i="1"/>
  <c r="P2643" i="1" s="1"/>
  <c r="N2643" i="1"/>
  <c r="O2641" i="1"/>
  <c r="P2641" i="1" s="1"/>
  <c r="N2641" i="1"/>
  <c r="O2639" i="1"/>
  <c r="P2639" i="1" s="1"/>
  <c r="N2639" i="1"/>
  <c r="O2636" i="1"/>
  <c r="P2636" i="1" s="1"/>
  <c r="N2636" i="1"/>
  <c r="O2634" i="1"/>
  <c r="P2634" i="1" s="1"/>
  <c r="N2634" i="1"/>
  <c r="O2630" i="1"/>
  <c r="P2630" i="1" s="1"/>
  <c r="N2630" i="1"/>
  <c r="O2628" i="1"/>
  <c r="P2628" i="1" s="1"/>
  <c r="N2628" i="1"/>
  <c r="O2626" i="1"/>
  <c r="P2626" i="1" s="1"/>
  <c r="N2626" i="1"/>
  <c r="O2624" i="1"/>
  <c r="P2624" i="1" s="1"/>
  <c r="N2624" i="1"/>
  <c r="O2622" i="1"/>
  <c r="P2622" i="1" s="1"/>
  <c r="N2622" i="1"/>
  <c r="O2620" i="1"/>
  <c r="P2620" i="1" s="1"/>
  <c r="N2620" i="1"/>
  <c r="O2615" i="1"/>
  <c r="P2615" i="1" s="1"/>
  <c r="N2615" i="1"/>
  <c r="O2611" i="1"/>
  <c r="P2611" i="1" s="1"/>
  <c r="N2611" i="1"/>
  <c r="O2608" i="1"/>
  <c r="P2608" i="1" s="1"/>
  <c r="N2608" i="1"/>
  <c r="O2606" i="1"/>
  <c r="P2606" i="1" s="1"/>
  <c r="N2606" i="1"/>
  <c r="O2604" i="1"/>
  <c r="P2604" i="1" s="1"/>
  <c r="N2604" i="1"/>
  <c r="O2602" i="1"/>
  <c r="P2602" i="1" s="1"/>
  <c r="N2602" i="1"/>
  <c r="O2600" i="1"/>
  <c r="P2600" i="1" s="1"/>
  <c r="N2600" i="1"/>
  <c r="O2598" i="1"/>
  <c r="P2598" i="1" s="1"/>
  <c r="N2598" i="1"/>
  <c r="O2596" i="1"/>
  <c r="P2596" i="1" s="1"/>
  <c r="N2596" i="1"/>
  <c r="O2594" i="1"/>
  <c r="P2594" i="1" s="1"/>
  <c r="N2594" i="1"/>
  <c r="O2591" i="1"/>
  <c r="P2591" i="1" s="1"/>
  <c r="N2591" i="1"/>
  <c r="O2589" i="1"/>
  <c r="P2589" i="1" s="1"/>
  <c r="N2589" i="1"/>
  <c r="O2587" i="1"/>
  <c r="P2587" i="1" s="1"/>
  <c r="N2587" i="1"/>
  <c r="O2585" i="1"/>
  <c r="P2585" i="1" s="1"/>
  <c r="N2585" i="1"/>
  <c r="O2583" i="1"/>
  <c r="P2583" i="1" s="1"/>
  <c r="N2583" i="1"/>
  <c r="O2578" i="1"/>
  <c r="P2578" i="1" s="1"/>
  <c r="N2578" i="1"/>
  <c r="O2576" i="1"/>
  <c r="P2576" i="1" s="1"/>
  <c r="N2576" i="1"/>
  <c r="O2574" i="1"/>
  <c r="P2574" i="1" s="1"/>
  <c r="N2574" i="1"/>
  <c r="O2572" i="1"/>
  <c r="P2572" i="1" s="1"/>
  <c r="N2572" i="1"/>
  <c r="O2570" i="1"/>
  <c r="P2570" i="1" s="1"/>
  <c r="N2570" i="1"/>
  <c r="O2567" i="1"/>
  <c r="P2567" i="1" s="1"/>
  <c r="N2567" i="1"/>
  <c r="O2565" i="1"/>
  <c r="P2565" i="1" s="1"/>
  <c r="N2565" i="1"/>
  <c r="O2562" i="1"/>
  <c r="P2562" i="1" s="1"/>
  <c r="N2562" i="1"/>
  <c r="O2559" i="1"/>
  <c r="P2559" i="1" s="1"/>
  <c r="N2559" i="1"/>
  <c r="O2557" i="1"/>
  <c r="P2557" i="1" s="1"/>
  <c r="N2557" i="1"/>
  <c r="O2555" i="1"/>
  <c r="P2555" i="1" s="1"/>
  <c r="N2555" i="1"/>
  <c r="O2553" i="1"/>
  <c r="P2553" i="1" s="1"/>
  <c r="N2553" i="1"/>
  <c r="O2551" i="1"/>
  <c r="P2551" i="1" s="1"/>
  <c r="N2551" i="1"/>
  <c r="O2549" i="1"/>
  <c r="P2549" i="1" s="1"/>
  <c r="N2549" i="1"/>
  <c r="O2547" i="1"/>
  <c r="P2547" i="1" s="1"/>
  <c r="N2547" i="1"/>
  <c r="O2545" i="1"/>
  <c r="P2545" i="1" s="1"/>
  <c r="N2545" i="1"/>
  <c r="O2540" i="1"/>
  <c r="P2540" i="1" s="1"/>
  <c r="N2540" i="1"/>
  <c r="O2538" i="1"/>
  <c r="P2538" i="1" s="1"/>
  <c r="N2538" i="1"/>
  <c r="O2533" i="1"/>
  <c r="P2533" i="1" s="1"/>
  <c r="N2533" i="1"/>
  <c r="O2531" i="1"/>
  <c r="P2531" i="1" s="1"/>
  <c r="N2531" i="1"/>
  <c r="O2529" i="1"/>
  <c r="P2529" i="1" s="1"/>
  <c r="N2529" i="1"/>
  <c r="O2527" i="1"/>
  <c r="P2527" i="1" s="1"/>
  <c r="N2527" i="1"/>
  <c r="O2523" i="1"/>
  <c r="P2523" i="1" s="1"/>
  <c r="N2523" i="1"/>
  <c r="O2521" i="1"/>
  <c r="P2521" i="1" s="1"/>
  <c r="N2521" i="1"/>
  <c r="O2519" i="1"/>
  <c r="P2519" i="1" s="1"/>
  <c r="N2519" i="1"/>
  <c r="O2517" i="1"/>
  <c r="P2517" i="1" s="1"/>
  <c r="N2517" i="1"/>
  <c r="O2515" i="1"/>
  <c r="P2515" i="1" s="1"/>
  <c r="N2515" i="1"/>
  <c r="O2513" i="1"/>
  <c r="P2513" i="1" s="1"/>
  <c r="N2513" i="1"/>
  <c r="O2511" i="1"/>
  <c r="P2511" i="1" s="1"/>
  <c r="N2511" i="1"/>
  <c r="O2509" i="1"/>
  <c r="P2509" i="1" s="1"/>
  <c r="N2509" i="1"/>
  <c r="O2507" i="1"/>
  <c r="P2507" i="1" s="1"/>
  <c r="N2507" i="1"/>
  <c r="O2504" i="1"/>
  <c r="P2504" i="1" s="1"/>
  <c r="N2504" i="1"/>
  <c r="O2502" i="1"/>
  <c r="P2502" i="1" s="1"/>
  <c r="N2502" i="1"/>
  <c r="O2500" i="1"/>
  <c r="P2500" i="1" s="1"/>
  <c r="N2500" i="1"/>
  <c r="O2498" i="1"/>
  <c r="P2498" i="1" s="1"/>
  <c r="N2498" i="1"/>
  <c r="O2496" i="1"/>
  <c r="P2496" i="1" s="1"/>
  <c r="N2496" i="1"/>
  <c r="O2494" i="1"/>
  <c r="P2494" i="1" s="1"/>
  <c r="N2494" i="1"/>
  <c r="O2490" i="1"/>
  <c r="P2490" i="1" s="1"/>
  <c r="N2490" i="1"/>
  <c r="O2482" i="1"/>
  <c r="P2482" i="1" s="1"/>
  <c r="N2482" i="1"/>
  <c r="O2480" i="1"/>
  <c r="P2480" i="1" s="1"/>
  <c r="N2480" i="1"/>
  <c r="O2478" i="1"/>
  <c r="P2478" i="1" s="1"/>
  <c r="N2478" i="1"/>
  <c r="O2476" i="1"/>
  <c r="P2476" i="1" s="1"/>
  <c r="N2476" i="1"/>
  <c r="O2474" i="1"/>
  <c r="P2474" i="1" s="1"/>
  <c r="N2474" i="1"/>
  <c r="O2472" i="1"/>
  <c r="P2472" i="1" s="1"/>
  <c r="N2472" i="1"/>
  <c r="O2470" i="1"/>
  <c r="P2470" i="1" s="1"/>
  <c r="N2470" i="1"/>
  <c r="O2468" i="1"/>
  <c r="P2468" i="1" s="1"/>
  <c r="N2468" i="1"/>
  <c r="O2465" i="1"/>
  <c r="P2465" i="1" s="1"/>
  <c r="N2465" i="1"/>
  <c r="O2462" i="1"/>
  <c r="P2462" i="1" s="1"/>
  <c r="N2462" i="1"/>
  <c r="O2460" i="1"/>
  <c r="P2460" i="1" s="1"/>
  <c r="N2460" i="1"/>
  <c r="O2458" i="1"/>
  <c r="P2458" i="1" s="1"/>
  <c r="N2458" i="1"/>
  <c r="O2456" i="1"/>
  <c r="P2456" i="1" s="1"/>
  <c r="N2456" i="1"/>
  <c r="O2454" i="1"/>
  <c r="P2454" i="1" s="1"/>
  <c r="N2454" i="1"/>
  <c r="O2452" i="1"/>
  <c r="P2452" i="1" s="1"/>
  <c r="N2452" i="1"/>
  <c r="O2449" i="1"/>
  <c r="P2449" i="1" s="1"/>
  <c r="N2449" i="1"/>
  <c r="O2446" i="1"/>
  <c r="P2446" i="1" s="1"/>
  <c r="N2446" i="1"/>
  <c r="O2444" i="1"/>
  <c r="P2444" i="1" s="1"/>
  <c r="N2444" i="1"/>
  <c r="O2442" i="1"/>
  <c r="P2442" i="1" s="1"/>
  <c r="N2442" i="1"/>
  <c r="O2440" i="1"/>
  <c r="P2440" i="1" s="1"/>
  <c r="N2440" i="1"/>
  <c r="O2438" i="1"/>
  <c r="P2438" i="1" s="1"/>
  <c r="N2438" i="1"/>
  <c r="O2435" i="1"/>
  <c r="P2435" i="1" s="1"/>
  <c r="N2435" i="1"/>
  <c r="O2433" i="1"/>
  <c r="P2433" i="1" s="1"/>
  <c r="N2433" i="1"/>
  <c r="O2427" i="1"/>
  <c r="P2427" i="1" s="1"/>
  <c r="N2427" i="1"/>
  <c r="O2424" i="1"/>
  <c r="P2424" i="1" s="1"/>
  <c r="N2424" i="1"/>
  <c r="O2422" i="1"/>
  <c r="P2422" i="1" s="1"/>
  <c r="N2422" i="1"/>
  <c r="O2419" i="1"/>
  <c r="P2419" i="1" s="1"/>
  <c r="N2419" i="1"/>
  <c r="O2414" i="1"/>
  <c r="P2414" i="1" s="1"/>
  <c r="N2414" i="1"/>
  <c r="O2412" i="1"/>
  <c r="P2412" i="1" s="1"/>
  <c r="N2412" i="1"/>
  <c r="O2410" i="1"/>
  <c r="P2410" i="1" s="1"/>
  <c r="N2410" i="1"/>
  <c r="O2408" i="1"/>
  <c r="P2408" i="1" s="1"/>
  <c r="N2408" i="1"/>
  <c r="O2406" i="1"/>
  <c r="P2406" i="1" s="1"/>
  <c r="N2406" i="1"/>
  <c r="O2404" i="1"/>
  <c r="P2404" i="1" s="1"/>
  <c r="N2404" i="1"/>
  <c r="O2402" i="1"/>
  <c r="P2402" i="1" s="1"/>
  <c r="N2402" i="1"/>
  <c r="O2399" i="1"/>
  <c r="P2399" i="1" s="1"/>
  <c r="N2399" i="1"/>
  <c r="O2397" i="1"/>
  <c r="P2397" i="1" s="1"/>
  <c r="N2397" i="1"/>
  <c r="O2392" i="1"/>
  <c r="P2392" i="1" s="1"/>
  <c r="N2392" i="1"/>
  <c r="O2389" i="1"/>
  <c r="P2389" i="1" s="1"/>
  <c r="N2389" i="1"/>
  <c r="O2387" i="1"/>
  <c r="P2387" i="1" s="1"/>
  <c r="N2387" i="1"/>
  <c r="O2385" i="1"/>
  <c r="P2385" i="1" s="1"/>
  <c r="N2385" i="1"/>
  <c r="O2383" i="1"/>
  <c r="P2383" i="1" s="1"/>
  <c r="N2383" i="1"/>
  <c r="O2381" i="1"/>
  <c r="P2381" i="1" s="1"/>
  <c r="N2381" i="1"/>
  <c r="O2379" i="1"/>
  <c r="P2379" i="1" s="1"/>
  <c r="N2379" i="1"/>
  <c r="O2374" i="1"/>
  <c r="P2374" i="1" s="1"/>
  <c r="N2374" i="1"/>
  <c r="O2372" i="1"/>
  <c r="P2372" i="1" s="1"/>
  <c r="N2372" i="1"/>
  <c r="O2370" i="1"/>
  <c r="P2370" i="1" s="1"/>
  <c r="N2370" i="1"/>
  <c r="O2368" i="1"/>
  <c r="P2368" i="1" s="1"/>
  <c r="N2368" i="1"/>
  <c r="O2366" i="1"/>
  <c r="P2366" i="1" s="1"/>
  <c r="N2366" i="1"/>
  <c r="O2364" i="1"/>
  <c r="P2364" i="1" s="1"/>
  <c r="N2364" i="1"/>
  <c r="O2362" i="1"/>
  <c r="P2362" i="1" s="1"/>
  <c r="N2362" i="1"/>
  <c r="O2360" i="1"/>
  <c r="P2360" i="1" s="1"/>
  <c r="N2360" i="1"/>
  <c r="O2358" i="1"/>
  <c r="P2358" i="1" s="1"/>
  <c r="N2358" i="1"/>
  <c r="O2356" i="1"/>
  <c r="P2356" i="1" s="1"/>
  <c r="N2356" i="1"/>
  <c r="O2351" i="1"/>
  <c r="P2351" i="1" s="1"/>
  <c r="N2351" i="1"/>
  <c r="O2349" i="1"/>
  <c r="P2349" i="1" s="1"/>
  <c r="N2349" i="1"/>
  <c r="O2347" i="1"/>
  <c r="P2347" i="1" s="1"/>
  <c r="N2347" i="1"/>
  <c r="O2345" i="1"/>
  <c r="P2345" i="1" s="1"/>
  <c r="N2345" i="1"/>
  <c r="O2343" i="1"/>
  <c r="P2343" i="1" s="1"/>
  <c r="N2343" i="1"/>
  <c r="O2340" i="1"/>
  <c r="P2340" i="1" s="1"/>
  <c r="N2340" i="1"/>
  <c r="O2338" i="1"/>
  <c r="P2338" i="1" s="1"/>
  <c r="N2338" i="1"/>
  <c r="O2336" i="1"/>
  <c r="P2336" i="1" s="1"/>
  <c r="N2336" i="1"/>
  <c r="O2334" i="1"/>
  <c r="P2334" i="1" s="1"/>
  <c r="N2334" i="1"/>
  <c r="O2332" i="1"/>
  <c r="P2332" i="1" s="1"/>
  <c r="N2332" i="1"/>
  <c r="O2330" i="1"/>
  <c r="P2330" i="1" s="1"/>
  <c r="N2330" i="1"/>
  <c r="O2328" i="1"/>
  <c r="P2328" i="1" s="1"/>
  <c r="N2328" i="1"/>
  <c r="O2326" i="1"/>
  <c r="P2326" i="1" s="1"/>
  <c r="N2326" i="1"/>
  <c r="O2324" i="1"/>
  <c r="P2324" i="1" s="1"/>
  <c r="N2324" i="1"/>
  <c r="O2322" i="1"/>
  <c r="P2322" i="1" s="1"/>
  <c r="N2322" i="1"/>
  <c r="O2317" i="1"/>
  <c r="P2317" i="1" s="1"/>
  <c r="N2317" i="1"/>
  <c r="O2315" i="1"/>
  <c r="P2315" i="1" s="1"/>
  <c r="N2315" i="1"/>
  <c r="O2311" i="1"/>
  <c r="P2311" i="1" s="1"/>
  <c r="N2311" i="1"/>
  <c r="O2308" i="1"/>
  <c r="P2308" i="1" s="1"/>
  <c r="N2308" i="1"/>
  <c r="O2306" i="1"/>
  <c r="P2306" i="1" s="1"/>
  <c r="N2306" i="1"/>
  <c r="O2304" i="1"/>
  <c r="P2304" i="1" s="1"/>
  <c r="N2304" i="1"/>
  <c r="O2301" i="1"/>
  <c r="P2301" i="1" s="1"/>
  <c r="N2301" i="1"/>
  <c r="O2298" i="1"/>
  <c r="P2298" i="1" s="1"/>
  <c r="N2298" i="1"/>
  <c r="O2296" i="1"/>
  <c r="P2296" i="1" s="1"/>
  <c r="N2296" i="1"/>
  <c r="O2294" i="1"/>
  <c r="P2294" i="1" s="1"/>
  <c r="N2294" i="1"/>
  <c r="O2292" i="1"/>
  <c r="P2292" i="1" s="1"/>
  <c r="N2292" i="1"/>
  <c r="O2290" i="1"/>
  <c r="P2290" i="1" s="1"/>
  <c r="N2290" i="1"/>
  <c r="O2288" i="1"/>
  <c r="P2288" i="1" s="1"/>
  <c r="N2288" i="1"/>
  <c r="O2286" i="1"/>
  <c r="P2286" i="1" s="1"/>
  <c r="N2286" i="1"/>
  <c r="O2283" i="1"/>
  <c r="P2283" i="1" s="1"/>
  <c r="N2283" i="1"/>
  <c r="O2281" i="1"/>
  <c r="P2281" i="1" s="1"/>
  <c r="N2281" i="1"/>
  <c r="O2279" i="1"/>
  <c r="P2279" i="1" s="1"/>
  <c r="N2279" i="1"/>
  <c r="O2277" i="1"/>
  <c r="P2277" i="1" s="1"/>
  <c r="N2277" i="1"/>
  <c r="O2275" i="1"/>
  <c r="P2275" i="1" s="1"/>
  <c r="N2275" i="1"/>
  <c r="O2273" i="1"/>
  <c r="P2273" i="1" s="1"/>
  <c r="N2273" i="1"/>
  <c r="O2271" i="1"/>
  <c r="P2271" i="1" s="1"/>
  <c r="N2271" i="1"/>
  <c r="O2269" i="1"/>
  <c r="P2269" i="1" s="1"/>
  <c r="N2269" i="1"/>
  <c r="O2267" i="1"/>
  <c r="P2267" i="1" s="1"/>
  <c r="N2267" i="1"/>
  <c r="O2263" i="1"/>
  <c r="P2263" i="1" s="1"/>
  <c r="N2263" i="1"/>
  <c r="O2261" i="1"/>
  <c r="P2261" i="1" s="1"/>
  <c r="N2261" i="1"/>
  <c r="O2259" i="1"/>
  <c r="P2259" i="1" s="1"/>
  <c r="N2259" i="1"/>
  <c r="O2257" i="1"/>
  <c r="P2257" i="1" s="1"/>
  <c r="N2257" i="1"/>
  <c r="O2253" i="1"/>
  <c r="P2253" i="1" s="1"/>
  <c r="N2253" i="1"/>
  <c r="O2248" i="1"/>
  <c r="P2248" i="1" s="1"/>
  <c r="N2248" i="1"/>
  <c r="O2245" i="1"/>
  <c r="P2245" i="1" s="1"/>
  <c r="N2245" i="1"/>
  <c r="O2235" i="1"/>
  <c r="P2235" i="1" s="1"/>
  <c r="N2235" i="1"/>
  <c r="O2233" i="1"/>
  <c r="P2233" i="1" s="1"/>
  <c r="N2233" i="1"/>
  <c r="O2231" i="1"/>
  <c r="P2231" i="1" s="1"/>
  <c r="N2231" i="1"/>
  <c r="O2229" i="1"/>
  <c r="P2229" i="1" s="1"/>
  <c r="N2229" i="1"/>
  <c r="O2218" i="1"/>
  <c r="P2218" i="1" s="1"/>
  <c r="N2218" i="1"/>
  <c r="O2216" i="1"/>
  <c r="P2216" i="1" s="1"/>
  <c r="N2216" i="1"/>
  <c r="O2214" i="1"/>
  <c r="P2214" i="1" s="1"/>
  <c r="N2214" i="1"/>
  <c r="O2211" i="1"/>
  <c r="P2211" i="1" s="1"/>
  <c r="N2211" i="1"/>
  <c r="O2209" i="1"/>
  <c r="P2209" i="1" s="1"/>
  <c r="N2209" i="1"/>
  <c r="O2207" i="1"/>
  <c r="P2207" i="1" s="1"/>
  <c r="N2207" i="1"/>
  <c r="O2205" i="1"/>
  <c r="P2205" i="1" s="1"/>
  <c r="N2205" i="1"/>
  <c r="O2203" i="1"/>
  <c r="P2203" i="1" s="1"/>
  <c r="N2203" i="1"/>
  <c r="O2200" i="1"/>
  <c r="P2200" i="1" s="1"/>
  <c r="N2200" i="1"/>
  <c r="O2198" i="1"/>
  <c r="P2198" i="1" s="1"/>
  <c r="N2198" i="1"/>
  <c r="O2196" i="1"/>
  <c r="P2196" i="1" s="1"/>
  <c r="N2196" i="1"/>
  <c r="O2194" i="1"/>
  <c r="P2194" i="1" s="1"/>
  <c r="N2194" i="1"/>
  <c r="O2192" i="1"/>
  <c r="P2192" i="1" s="1"/>
  <c r="N2192" i="1"/>
  <c r="O2190" i="1"/>
  <c r="P2190" i="1" s="1"/>
  <c r="N2190" i="1"/>
  <c r="O2188" i="1"/>
  <c r="P2188" i="1" s="1"/>
  <c r="N2188" i="1"/>
  <c r="O2186" i="1"/>
  <c r="P2186" i="1" s="1"/>
  <c r="N2186" i="1"/>
  <c r="O2183" i="1"/>
  <c r="P2183" i="1" s="1"/>
  <c r="N2183" i="1"/>
  <c r="O2181" i="1"/>
  <c r="P2181" i="1" s="1"/>
  <c r="N2181" i="1"/>
  <c r="O2176" i="1"/>
  <c r="P2176" i="1" s="1"/>
  <c r="N2176" i="1"/>
  <c r="O2174" i="1"/>
  <c r="P2174" i="1" s="1"/>
  <c r="N2174" i="1"/>
  <c r="O2172" i="1"/>
  <c r="P2172" i="1" s="1"/>
  <c r="N2172" i="1"/>
  <c r="O2170" i="1"/>
  <c r="P2170" i="1" s="1"/>
  <c r="N2170" i="1"/>
  <c r="O2168" i="1"/>
  <c r="P2168" i="1" s="1"/>
  <c r="N2168" i="1"/>
  <c r="O2166" i="1"/>
  <c r="P2166" i="1" s="1"/>
  <c r="N2166" i="1"/>
  <c r="O2164" i="1"/>
  <c r="P2164" i="1" s="1"/>
  <c r="N2164" i="1"/>
  <c r="O2160" i="1"/>
  <c r="P2160" i="1" s="1"/>
  <c r="N2160" i="1"/>
  <c r="O2157" i="1"/>
  <c r="P2157" i="1" s="1"/>
  <c r="N2157" i="1"/>
  <c r="O2154" i="1"/>
  <c r="P2154" i="1" s="1"/>
  <c r="N2154" i="1"/>
  <c r="O2152" i="1"/>
  <c r="P2152" i="1" s="1"/>
  <c r="N2152" i="1"/>
  <c r="O2148" i="1"/>
  <c r="P2148" i="1" s="1"/>
  <c r="N2148" i="1"/>
  <c r="O2145" i="1"/>
  <c r="P2145" i="1" s="1"/>
  <c r="N2145" i="1"/>
  <c r="O2143" i="1"/>
  <c r="P2143" i="1" s="1"/>
  <c r="N2143" i="1"/>
  <c r="O2141" i="1"/>
  <c r="P2141" i="1" s="1"/>
  <c r="N2141" i="1"/>
  <c r="O2136" i="1"/>
  <c r="P2136" i="1" s="1"/>
  <c r="N2136" i="1"/>
  <c r="O2134" i="1"/>
  <c r="P2134" i="1" s="1"/>
  <c r="N2134" i="1"/>
  <c r="O2130" i="1"/>
  <c r="P2130" i="1" s="1"/>
  <c r="N2130" i="1"/>
  <c r="O2128" i="1"/>
  <c r="P2128" i="1" s="1"/>
  <c r="N2128" i="1"/>
  <c r="O2125" i="1"/>
  <c r="P2125" i="1" s="1"/>
  <c r="N2125" i="1"/>
  <c r="O2123" i="1"/>
  <c r="P2123" i="1" s="1"/>
  <c r="N2123" i="1"/>
  <c r="O2121" i="1"/>
  <c r="P2121" i="1" s="1"/>
  <c r="N2121" i="1"/>
  <c r="O2119" i="1"/>
  <c r="P2119" i="1" s="1"/>
  <c r="N2119" i="1"/>
  <c r="O2117" i="1"/>
  <c r="P2117" i="1" s="1"/>
  <c r="N2117" i="1"/>
  <c r="O2115" i="1"/>
  <c r="P2115" i="1" s="1"/>
  <c r="N2115" i="1"/>
  <c r="O2112" i="1"/>
  <c r="P2112" i="1" s="1"/>
  <c r="N2112" i="1"/>
  <c r="O2110" i="1"/>
  <c r="P2110" i="1" s="1"/>
  <c r="N2110" i="1"/>
  <c r="O2108" i="1"/>
  <c r="P2108" i="1" s="1"/>
  <c r="N2108" i="1"/>
  <c r="O2106" i="1"/>
  <c r="P2106" i="1" s="1"/>
  <c r="N2106" i="1"/>
  <c r="O2103" i="1"/>
  <c r="P2103" i="1" s="1"/>
  <c r="N2103" i="1"/>
  <c r="O2101" i="1"/>
  <c r="P2101" i="1" s="1"/>
  <c r="N2101" i="1"/>
  <c r="O2099" i="1"/>
  <c r="P2099" i="1" s="1"/>
  <c r="N2099" i="1"/>
  <c r="O2096" i="1"/>
  <c r="P2096" i="1" s="1"/>
  <c r="N2096" i="1"/>
  <c r="O2094" i="1"/>
  <c r="P2094" i="1" s="1"/>
  <c r="N2094" i="1"/>
  <c r="O2091" i="1"/>
  <c r="P2091" i="1" s="1"/>
  <c r="N2091" i="1"/>
  <c r="O2089" i="1"/>
  <c r="P2089" i="1" s="1"/>
  <c r="N2089" i="1"/>
  <c r="O2087" i="1"/>
  <c r="P2087" i="1" s="1"/>
  <c r="N2087" i="1"/>
  <c r="O2085" i="1"/>
  <c r="P2085" i="1" s="1"/>
  <c r="N2085" i="1"/>
  <c r="O2083" i="1"/>
  <c r="P2083" i="1" s="1"/>
  <c r="N2083" i="1"/>
  <c r="O2080" i="1"/>
  <c r="P2080" i="1" s="1"/>
  <c r="N2080" i="1"/>
  <c r="O2074" i="1"/>
  <c r="P2074" i="1" s="1"/>
  <c r="N2074" i="1"/>
  <c r="O2071" i="1"/>
  <c r="P2071" i="1" s="1"/>
  <c r="N2071" i="1"/>
  <c r="O2069" i="1"/>
  <c r="P2069" i="1" s="1"/>
  <c r="N2069" i="1"/>
  <c r="O2066" i="1"/>
  <c r="P2066" i="1" s="1"/>
  <c r="N2066" i="1"/>
  <c r="O2064" i="1"/>
  <c r="P2064" i="1" s="1"/>
  <c r="N2064" i="1"/>
  <c r="O2061" i="1"/>
  <c r="P2061" i="1" s="1"/>
  <c r="N2061" i="1"/>
  <c r="O2059" i="1"/>
  <c r="P2059" i="1" s="1"/>
  <c r="N2059" i="1"/>
  <c r="O2055" i="1"/>
  <c r="P2055" i="1" s="1"/>
  <c r="N2055" i="1"/>
  <c r="O2053" i="1"/>
  <c r="P2053" i="1" s="1"/>
  <c r="N2053" i="1"/>
  <c r="O2051" i="1"/>
  <c r="P2051" i="1" s="1"/>
  <c r="N2051" i="1"/>
  <c r="O2048" i="1"/>
  <c r="P2048" i="1" s="1"/>
  <c r="N2048" i="1"/>
  <c r="O2046" i="1"/>
  <c r="P2046" i="1" s="1"/>
  <c r="N2046" i="1"/>
  <c r="O2044" i="1"/>
  <c r="P2044" i="1" s="1"/>
  <c r="N2044" i="1"/>
  <c r="O2040" i="1"/>
  <c r="P2040" i="1" s="1"/>
  <c r="N2040" i="1"/>
  <c r="O2038" i="1"/>
  <c r="P2038" i="1" s="1"/>
  <c r="N2038" i="1"/>
  <c r="O2036" i="1"/>
  <c r="P2036" i="1" s="1"/>
  <c r="N2036" i="1"/>
  <c r="O2034" i="1"/>
  <c r="P2034" i="1" s="1"/>
  <c r="N2034" i="1"/>
  <c r="O2032" i="1"/>
  <c r="P2032" i="1" s="1"/>
  <c r="N2032" i="1"/>
  <c r="O2030" i="1"/>
  <c r="P2030" i="1" s="1"/>
  <c r="N2030" i="1"/>
  <c r="O2027" i="1"/>
  <c r="P2027" i="1" s="1"/>
  <c r="N2027" i="1"/>
  <c r="O2023" i="1"/>
  <c r="P2023" i="1" s="1"/>
  <c r="N2023" i="1"/>
  <c r="O2021" i="1"/>
  <c r="P2021" i="1" s="1"/>
  <c r="N2021" i="1"/>
  <c r="O2019" i="1"/>
  <c r="P2019" i="1" s="1"/>
  <c r="N2019" i="1"/>
  <c r="O2017" i="1"/>
  <c r="P2017" i="1" s="1"/>
  <c r="N2017" i="1"/>
  <c r="O2015" i="1"/>
  <c r="P2015" i="1" s="1"/>
  <c r="N2015" i="1"/>
  <c r="O2013" i="1"/>
  <c r="P2013" i="1" s="1"/>
  <c r="N2013" i="1"/>
  <c r="O2010" i="1"/>
  <c r="P2010" i="1" s="1"/>
  <c r="N2010" i="1"/>
  <c r="O2008" i="1"/>
  <c r="P2008" i="1" s="1"/>
  <c r="N2008" i="1"/>
  <c r="O2005" i="1"/>
  <c r="P2005" i="1" s="1"/>
  <c r="N2005" i="1"/>
  <c r="O2003" i="1"/>
  <c r="P2003" i="1" s="1"/>
  <c r="N2003" i="1"/>
  <c r="O2001" i="1"/>
  <c r="P2001" i="1" s="1"/>
  <c r="N2001" i="1"/>
  <c r="O1999" i="1"/>
  <c r="P1999" i="1" s="1"/>
  <c r="N1999" i="1"/>
  <c r="O1997" i="1"/>
  <c r="P1997" i="1" s="1"/>
  <c r="N1997" i="1"/>
  <c r="O1992" i="1"/>
  <c r="P1992" i="1" s="1"/>
  <c r="N1992" i="1"/>
  <c r="O1990" i="1"/>
  <c r="P1990" i="1" s="1"/>
  <c r="N1990" i="1"/>
  <c r="O1988" i="1"/>
  <c r="P1988" i="1" s="1"/>
  <c r="N1988" i="1"/>
  <c r="O1986" i="1"/>
  <c r="P1986" i="1" s="1"/>
  <c r="N1986" i="1"/>
  <c r="O1984" i="1"/>
  <c r="P1984" i="1" s="1"/>
  <c r="N1984" i="1"/>
  <c r="O1982" i="1"/>
  <c r="P1982" i="1" s="1"/>
  <c r="N1982" i="1"/>
  <c r="O1980" i="1"/>
  <c r="P1980" i="1" s="1"/>
  <c r="N1980" i="1"/>
  <c r="O1962" i="1"/>
  <c r="P1962" i="1" s="1"/>
  <c r="N1962" i="1"/>
  <c r="O1959" i="1"/>
  <c r="P1959" i="1" s="1"/>
  <c r="N1959" i="1"/>
  <c r="O1955" i="1"/>
  <c r="P1955" i="1" s="1"/>
  <c r="N1955" i="1"/>
  <c r="O1951" i="1"/>
  <c r="P1951" i="1" s="1"/>
  <c r="N1951" i="1"/>
  <c r="O1949" i="1"/>
  <c r="P1949" i="1" s="1"/>
  <c r="N1949" i="1"/>
  <c r="O1947" i="1"/>
  <c r="P1947" i="1" s="1"/>
  <c r="N1947" i="1"/>
  <c r="O1936" i="1"/>
  <c r="P1936" i="1" s="1"/>
  <c r="N1936" i="1"/>
  <c r="O1931" i="1"/>
  <c r="P1931" i="1" s="1"/>
  <c r="N1931" i="1"/>
  <c r="O1928" i="1"/>
  <c r="P1928" i="1" s="1"/>
  <c r="N1928" i="1"/>
  <c r="O1925" i="1"/>
  <c r="P1925" i="1" s="1"/>
  <c r="N1925" i="1"/>
  <c r="O1923" i="1"/>
  <c r="P1923" i="1" s="1"/>
  <c r="N1923" i="1"/>
  <c r="O1921" i="1"/>
  <c r="P1921" i="1" s="1"/>
  <c r="N1921" i="1"/>
  <c r="O1918" i="1"/>
  <c r="P1918" i="1" s="1"/>
  <c r="N1918" i="1"/>
  <c r="O1915" i="1"/>
  <c r="P1915" i="1" s="1"/>
  <c r="N1915" i="1"/>
  <c r="O1913" i="1"/>
  <c r="P1913" i="1" s="1"/>
  <c r="N1913" i="1"/>
  <c r="O1911" i="1"/>
  <c r="P1911" i="1" s="1"/>
  <c r="N1911" i="1"/>
  <c r="O1909" i="1"/>
  <c r="P1909" i="1" s="1"/>
  <c r="N1909" i="1"/>
  <c r="O1907" i="1"/>
  <c r="P1907" i="1" s="1"/>
  <c r="N1907" i="1"/>
  <c r="O1905" i="1"/>
  <c r="P1905" i="1" s="1"/>
  <c r="N1905" i="1"/>
  <c r="O1902" i="1"/>
  <c r="P1902" i="1" s="1"/>
  <c r="N1902" i="1"/>
  <c r="O1899" i="1"/>
  <c r="P1899" i="1" s="1"/>
  <c r="N1899" i="1"/>
  <c r="O1897" i="1"/>
  <c r="P1897" i="1" s="1"/>
  <c r="N1897" i="1"/>
  <c r="O1895" i="1"/>
  <c r="P1895" i="1" s="1"/>
  <c r="N1895" i="1"/>
  <c r="O1893" i="1"/>
  <c r="P1893" i="1" s="1"/>
  <c r="N1893" i="1"/>
  <c r="O1891" i="1"/>
  <c r="P1891" i="1" s="1"/>
  <c r="N1891" i="1"/>
  <c r="O1889" i="1"/>
  <c r="P1889" i="1" s="1"/>
  <c r="N1889" i="1"/>
  <c r="O1887" i="1"/>
  <c r="P1887" i="1" s="1"/>
  <c r="N1887" i="1"/>
  <c r="O1885" i="1"/>
  <c r="P1885" i="1" s="1"/>
  <c r="N1885" i="1"/>
  <c r="O1883" i="1"/>
  <c r="P1883" i="1" s="1"/>
  <c r="N1883" i="1"/>
  <c r="O1881" i="1"/>
  <c r="P1881" i="1" s="1"/>
  <c r="N1881" i="1"/>
  <c r="O1879" i="1"/>
  <c r="P1879" i="1" s="1"/>
  <c r="N1879" i="1"/>
  <c r="O1877" i="1"/>
  <c r="P1877" i="1" s="1"/>
  <c r="N1877" i="1"/>
  <c r="O1874" i="1"/>
  <c r="P1874" i="1" s="1"/>
  <c r="N1874" i="1"/>
  <c r="O1872" i="1"/>
  <c r="P1872" i="1" s="1"/>
  <c r="N1872" i="1"/>
  <c r="O1867" i="1"/>
  <c r="P1867" i="1" s="1"/>
  <c r="N1867" i="1"/>
  <c r="O1864" i="1"/>
  <c r="P1864" i="1" s="1"/>
  <c r="N1864" i="1"/>
  <c r="O1862" i="1"/>
  <c r="P1862" i="1" s="1"/>
  <c r="N1862" i="1"/>
  <c r="O1860" i="1"/>
  <c r="P1860" i="1" s="1"/>
  <c r="N1860" i="1"/>
  <c r="O1858" i="1"/>
  <c r="P1858" i="1" s="1"/>
  <c r="N1858" i="1"/>
  <c r="O1854" i="1"/>
  <c r="P1854" i="1" s="1"/>
  <c r="N1854" i="1"/>
  <c r="O1851" i="1"/>
  <c r="P1851" i="1" s="1"/>
  <c r="N1851" i="1"/>
  <c r="O1849" i="1"/>
  <c r="P1849" i="1" s="1"/>
  <c r="N1849" i="1"/>
  <c r="O1847" i="1"/>
  <c r="P1847" i="1" s="1"/>
  <c r="N1847" i="1"/>
  <c r="O1845" i="1"/>
  <c r="P1845" i="1" s="1"/>
  <c r="N1845" i="1"/>
  <c r="O1843" i="1"/>
  <c r="P1843" i="1" s="1"/>
  <c r="N1843" i="1"/>
  <c r="O1840" i="1"/>
  <c r="P1840" i="1" s="1"/>
  <c r="N1840" i="1"/>
  <c r="O1838" i="1"/>
  <c r="P1838" i="1" s="1"/>
  <c r="N1838" i="1"/>
  <c r="O1836" i="1"/>
  <c r="P1836" i="1" s="1"/>
  <c r="N1836" i="1"/>
  <c r="O1834" i="1"/>
  <c r="P1834" i="1" s="1"/>
  <c r="N1834" i="1"/>
  <c r="O1830" i="1"/>
  <c r="P1830" i="1" s="1"/>
  <c r="N1830" i="1"/>
  <c r="O1828" i="1"/>
  <c r="P1828" i="1" s="1"/>
  <c r="N1828" i="1"/>
  <c r="O1825" i="1"/>
  <c r="P1825" i="1" s="1"/>
  <c r="N1825" i="1"/>
  <c r="O1823" i="1"/>
  <c r="P1823" i="1" s="1"/>
  <c r="N1823" i="1"/>
  <c r="O1821" i="1"/>
  <c r="P1821" i="1" s="1"/>
  <c r="N1821" i="1"/>
  <c r="O1811" i="1"/>
  <c r="P1811" i="1" s="1"/>
  <c r="N1811" i="1"/>
  <c r="O1807" i="1"/>
  <c r="P1807" i="1" s="1"/>
  <c r="N1807" i="1"/>
  <c r="O1805" i="1"/>
  <c r="P1805" i="1" s="1"/>
  <c r="N1805" i="1"/>
  <c r="O1802" i="1"/>
  <c r="P1802" i="1" s="1"/>
  <c r="N1802" i="1"/>
  <c r="O1800" i="1"/>
  <c r="P1800" i="1" s="1"/>
  <c r="N1800" i="1"/>
  <c r="O1798" i="1"/>
  <c r="P1798" i="1" s="1"/>
  <c r="N1798" i="1"/>
  <c r="O1796" i="1"/>
  <c r="P1796" i="1" s="1"/>
  <c r="N1796" i="1"/>
  <c r="O1794" i="1"/>
  <c r="P1794" i="1" s="1"/>
  <c r="N1794" i="1"/>
  <c r="O1792" i="1"/>
  <c r="P1792" i="1" s="1"/>
  <c r="N1792" i="1"/>
  <c r="O1788" i="1"/>
  <c r="P1788" i="1" s="1"/>
  <c r="N1788" i="1"/>
  <c r="O1785" i="1"/>
  <c r="P1785" i="1" s="1"/>
  <c r="N1785" i="1"/>
  <c r="O1783" i="1"/>
  <c r="P1783" i="1" s="1"/>
  <c r="N1783" i="1"/>
  <c r="O1781" i="1"/>
  <c r="P1781" i="1" s="1"/>
  <c r="N1781" i="1"/>
  <c r="O1779" i="1"/>
  <c r="P1779" i="1" s="1"/>
  <c r="N1779" i="1"/>
  <c r="O1777" i="1"/>
  <c r="P1777" i="1" s="1"/>
  <c r="N1777" i="1"/>
  <c r="O1773" i="1"/>
  <c r="P1773" i="1" s="1"/>
  <c r="N1773" i="1"/>
  <c r="O1771" i="1"/>
  <c r="P1771" i="1" s="1"/>
  <c r="N1771" i="1"/>
  <c r="O1768" i="1"/>
  <c r="P1768" i="1" s="1"/>
  <c r="N1768" i="1"/>
  <c r="O1766" i="1"/>
  <c r="P1766" i="1" s="1"/>
  <c r="N1766" i="1"/>
  <c r="O1763" i="1"/>
  <c r="P1763" i="1" s="1"/>
  <c r="N1763" i="1"/>
  <c r="O1761" i="1"/>
  <c r="P1761" i="1" s="1"/>
  <c r="N1761" i="1"/>
  <c r="O1759" i="1"/>
  <c r="P1759" i="1" s="1"/>
  <c r="N1759" i="1"/>
  <c r="O1757" i="1"/>
  <c r="P1757" i="1" s="1"/>
  <c r="N1757" i="1"/>
  <c r="O1754" i="1"/>
  <c r="P1754" i="1" s="1"/>
  <c r="N1754" i="1"/>
  <c r="O1751" i="1"/>
  <c r="P1751" i="1" s="1"/>
  <c r="N1751" i="1"/>
  <c r="O1741" i="1"/>
  <c r="P1741" i="1" s="1"/>
  <c r="N1741" i="1"/>
  <c r="O1738" i="1"/>
  <c r="P1738" i="1" s="1"/>
  <c r="N1738" i="1"/>
  <c r="O1736" i="1"/>
  <c r="P1736" i="1" s="1"/>
  <c r="N1736" i="1"/>
  <c r="O1734" i="1"/>
  <c r="P1734" i="1" s="1"/>
  <c r="N1734" i="1"/>
  <c r="O1727" i="1"/>
  <c r="P1727" i="1" s="1"/>
  <c r="N1727" i="1"/>
  <c r="O1725" i="1"/>
  <c r="P1725" i="1" s="1"/>
  <c r="N1725" i="1"/>
  <c r="O1723" i="1"/>
  <c r="P1723" i="1" s="1"/>
  <c r="N1723" i="1"/>
  <c r="O1721" i="1"/>
  <c r="P1721" i="1" s="1"/>
  <c r="N1721" i="1"/>
  <c r="O1719" i="1"/>
  <c r="P1719" i="1" s="1"/>
  <c r="N1719" i="1"/>
  <c r="O1717" i="1"/>
  <c r="P1717" i="1" s="1"/>
  <c r="N1717" i="1"/>
  <c r="O1715" i="1"/>
  <c r="P1715" i="1" s="1"/>
  <c r="N1715" i="1"/>
  <c r="O1713" i="1"/>
  <c r="P1713" i="1" s="1"/>
  <c r="N1713" i="1"/>
  <c r="O1711" i="1"/>
  <c r="P1711" i="1" s="1"/>
  <c r="N1711" i="1"/>
  <c r="O1708" i="1"/>
  <c r="P1708" i="1" s="1"/>
  <c r="N1708" i="1"/>
  <c r="O1706" i="1"/>
  <c r="P1706" i="1" s="1"/>
  <c r="N1706" i="1"/>
  <c r="O1703" i="1"/>
  <c r="P1703" i="1" s="1"/>
  <c r="N1703" i="1"/>
  <c r="O1701" i="1"/>
  <c r="P1701" i="1" s="1"/>
  <c r="N1701" i="1"/>
  <c r="O1699" i="1"/>
  <c r="P1699" i="1" s="1"/>
  <c r="N1699" i="1"/>
  <c r="O1697" i="1"/>
  <c r="P1697" i="1" s="1"/>
  <c r="N1697" i="1"/>
  <c r="O1694" i="1"/>
  <c r="P1694" i="1" s="1"/>
  <c r="N1694" i="1"/>
  <c r="O1692" i="1"/>
  <c r="P1692" i="1" s="1"/>
  <c r="N1692" i="1"/>
  <c r="O1690" i="1"/>
  <c r="P1690" i="1" s="1"/>
  <c r="N1690" i="1"/>
  <c r="O1688" i="1"/>
  <c r="P1688" i="1" s="1"/>
  <c r="N1688" i="1"/>
  <c r="O1685" i="1"/>
  <c r="P1685" i="1" s="1"/>
  <c r="N1685" i="1"/>
  <c r="O1682" i="1"/>
  <c r="P1682" i="1" s="1"/>
  <c r="N1682" i="1"/>
  <c r="O1680" i="1"/>
  <c r="P1680" i="1" s="1"/>
  <c r="N1680" i="1"/>
  <c r="O1678" i="1"/>
  <c r="P1678" i="1" s="1"/>
  <c r="N1678" i="1"/>
  <c r="O1675" i="1"/>
  <c r="P1675" i="1" s="1"/>
  <c r="N1675" i="1"/>
  <c r="O1673" i="1"/>
  <c r="P1673" i="1" s="1"/>
  <c r="N1673" i="1"/>
  <c r="O1671" i="1"/>
  <c r="P1671" i="1" s="1"/>
  <c r="N1671" i="1"/>
  <c r="O1669" i="1"/>
  <c r="P1669" i="1" s="1"/>
  <c r="N1669" i="1"/>
  <c r="O1667" i="1"/>
  <c r="P1667" i="1" s="1"/>
  <c r="N1667" i="1"/>
  <c r="O1665" i="1"/>
  <c r="N1665" i="1"/>
  <c r="O1663" i="1"/>
  <c r="N1663" i="1"/>
  <c r="O1661" i="1"/>
  <c r="N1661" i="1"/>
  <c r="O1659" i="1"/>
  <c r="N1659" i="1"/>
  <c r="O1656" i="1"/>
  <c r="N1656" i="1"/>
  <c r="O1654" i="1"/>
  <c r="N1654" i="1"/>
  <c r="O1652" i="1"/>
  <c r="N1652" i="1"/>
  <c r="O1649" i="1"/>
  <c r="N1649" i="1"/>
  <c r="O1646" i="1"/>
  <c r="N1646" i="1"/>
  <c r="O1644" i="1"/>
  <c r="N1644" i="1"/>
  <c r="O1642" i="1"/>
  <c r="N1642" i="1"/>
  <c r="O1639" i="1"/>
  <c r="N1639" i="1"/>
  <c r="O1636" i="1"/>
  <c r="N1636" i="1"/>
  <c r="O1634" i="1"/>
  <c r="N1634" i="1"/>
  <c r="O1632" i="1"/>
  <c r="N1632" i="1"/>
  <c r="O1630" i="1"/>
  <c r="N1630" i="1"/>
  <c r="O1628" i="1"/>
  <c r="N1628" i="1"/>
  <c r="O1626" i="1"/>
  <c r="N1626" i="1"/>
  <c r="O1624" i="1"/>
  <c r="N1624" i="1"/>
  <c r="O1622" i="1"/>
  <c r="N1622" i="1"/>
  <c r="O1620" i="1"/>
  <c r="N1620" i="1"/>
  <c r="O1618" i="1"/>
  <c r="N1618" i="1"/>
  <c r="O1615" i="1"/>
  <c r="N1615" i="1"/>
  <c r="O1613" i="1"/>
  <c r="N1613" i="1"/>
  <c r="O1610" i="1"/>
  <c r="N1610" i="1"/>
  <c r="O1608" i="1"/>
  <c r="N1608" i="1"/>
  <c r="O1603" i="1"/>
  <c r="N1603" i="1"/>
  <c r="O1601" i="1"/>
  <c r="N1601" i="1"/>
  <c r="O1599" i="1"/>
  <c r="N1599" i="1"/>
  <c r="O1597" i="1"/>
  <c r="N1597" i="1"/>
  <c r="O1593" i="1"/>
  <c r="N1593" i="1"/>
  <c r="O1591" i="1"/>
  <c r="N1591" i="1"/>
  <c r="O1586" i="1"/>
  <c r="N1586" i="1"/>
  <c r="O1584" i="1"/>
  <c r="N1584" i="1"/>
  <c r="O1582" i="1"/>
  <c r="N1582" i="1"/>
  <c r="O1580" i="1"/>
  <c r="N1580" i="1"/>
  <c r="O1578" i="1"/>
  <c r="N1578" i="1"/>
  <c r="O1576" i="1"/>
  <c r="N1576" i="1"/>
  <c r="O1574" i="1"/>
  <c r="N1574" i="1"/>
  <c r="O1572" i="1"/>
  <c r="N1572" i="1"/>
  <c r="O1570" i="1"/>
  <c r="N1570" i="1"/>
  <c r="O1568" i="1"/>
  <c r="N1568" i="1"/>
  <c r="O1566" i="1"/>
  <c r="N1566" i="1"/>
  <c r="O1564" i="1"/>
  <c r="N1564" i="1"/>
  <c r="O1562" i="1"/>
  <c r="N1562" i="1"/>
  <c r="O1560" i="1"/>
  <c r="N1560" i="1"/>
  <c r="O1558" i="1"/>
  <c r="N1558" i="1"/>
  <c r="O1556" i="1"/>
  <c r="N1556" i="1"/>
  <c r="O1554" i="1"/>
  <c r="N1554" i="1"/>
  <c r="O1551" i="1"/>
  <c r="N1551" i="1"/>
  <c r="O1547" i="1"/>
  <c r="N1547" i="1"/>
  <c r="O1545" i="1"/>
  <c r="N1545" i="1"/>
  <c r="O1542" i="1"/>
  <c r="N1542" i="1"/>
  <c r="O1536" i="1"/>
  <c r="N1536" i="1"/>
  <c r="O1534" i="1"/>
  <c r="N1534" i="1"/>
  <c r="O1532" i="1"/>
  <c r="N1532" i="1"/>
  <c r="O1529" i="1"/>
  <c r="N1529" i="1"/>
  <c r="O1526" i="1"/>
  <c r="N1526" i="1"/>
  <c r="O1524" i="1"/>
  <c r="N1524" i="1"/>
  <c r="O1521" i="1"/>
  <c r="N1521" i="1"/>
  <c r="O1518" i="1"/>
  <c r="N1518" i="1"/>
  <c r="O1516" i="1"/>
  <c r="N1516" i="1"/>
  <c r="O1514" i="1"/>
  <c r="N1514" i="1"/>
  <c r="O1508" i="1"/>
  <c r="N1508" i="1"/>
  <c r="O1506" i="1"/>
  <c r="N1506" i="1"/>
  <c r="O1504" i="1"/>
  <c r="N1504" i="1"/>
  <c r="O1502" i="1"/>
  <c r="N1502" i="1"/>
  <c r="O1499" i="1"/>
  <c r="N1499" i="1"/>
  <c r="O1497" i="1"/>
  <c r="N1497" i="1"/>
  <c r="O1495" i="1"/>
  <c r="N1495" i="1"/>
  <c r="O1492" i="1"/>
  <c r="N1492" i="1"/>
  <c r="O1490" i="1"/>
  <c r="N1490" i="1"/>
  <c r="O1488" i="1"/>
  <c r="N1488" i="1"/>
  <c r="O1486" i="1"/>
  <c r="N1486" i="1"/>
  <c r="O1484" i="1"/>
  <c r="N1484" i="1"/>
  <c r="O1481" i="1"/>
  <c r="N1481" i="1"/>
  <c r="O1479" i="1"/>
  <c r="N1479" i="1"/>
  <c r="O1477" i="1"/>
  <c r="N1477" i="1"/>
  <c r="O1475" i="1"/>
  <c r="N1475" i="1"/>
  <c r="O1473" i="1"/>
  <c r="N1473" i="1"/>
  <c r="O1471" i="1"/>
  <c r="N1471" i="1"/>
  <c r="O1469" i="1"/>
  <c r="N1469" i="1"/>
  <c r="O1466" i="1"/>
  <c r="N1466" i="1"/>
  <c r="O1464" i="1"/>
  <c r="N1464" i="1"/>
  <c r="O1460" i="1"/>
  <c r="N1460" i="1"/>
  <c r="O1457" i="1"/>
  <c r="N1457" i="1"/>
  <c r="O1455" i="1"/>
  <c r="N1455" i="1"/>
  <c r="O1451" i="1"/>
  <c r="N1451" i="1"/>
  <c r="O1448" i="1"/>
  <c r="N1448" i="1"/>
  <c r="O1441" i="1"/>
  <c r="N1441" i="1"/>
  <c r="O1439" i="1"/>
  <c r="N1439" i="1"/>
  <c r="O1436" i="1"/>
  <c r="N1436" i="1"/>
  <c r="O1434" i="1"/>
  <c r="N1434" i="1"/>
  <c r="O1432" i="1"/>
  <c r="N1432" i="1"/>
  <c r="O1430" i="1"/>
  <c r="N1430" i="1"/>
  <c r="O1428" i="1"/>
  <c r="N1428" i="1"/>
  <c r="O1426" i="1"/>
  <c r="N1426" i="1"/>
  <c r="O1424" i="1"/>
  <c r="N1424" i="1"/>
  <c r="O1422" i="1"/>
  <c r="N1422" i="1"/>
  <c r="O1420" i="1"/>
  <c r="N1420" i="1"/>
  <c r="O1418" i="1"/>
  <c r="N1418" i="1"/>
  <c r="O1416" i="1"/>
  <c r="N1416" i="1"/>
  <c r="O1413" i="1"/>
  <c r="N1413" i="1"/>
  <c r="O1410" i="1"/>
  <c r="N1410" i="1"/>
  <c r="O1408" i="1"/>
  <c r="N1408" i="1"/>
  <c r="O1406" i="1"/>
  <c r="N1406" i="1"/>
  <c r="O1404" i="1"/>
  <c r="N1404" i="1"/>
  <c r="O1402" i="1"/>
  <c r="N1402" i="1"/>
  <c r="O1400" i="1"/>
  <c r="N1400" i="1"/>
  <c r="O1398" i="1"/>
  <c r="N1398" i="1"/>
  <c r="O1395" i="1"/>
  <c r="N1395" i="1"/>
  <c r="O1393" i="1"/>
  <c r="N1393" i="1"/>
  <c r="O1391" i="1"/>
  <c r="N1391" i="1"/>
  <c r="O1389" i="1"/>
  <c r="N1389" i="1"/>
  <c r="O1387" i="1"/>
  <c r="N1387" i="1"/>
  <c r="O1382" i="1"/>
  <c r="N1382" i="1"/>
  <c r="O1378" i="1"/>
  <c r="N1378" i="1"/>
  <c r="O1374" i="1"/>
  <c r="N1374" i="1"/>
  <c r="O1370" i="1"/>
  <c r="N1370" i="1"/>
  <c r="O1368" i="1"/>
  <c r="N1368" i="1"/>
  <c r="O1366" i="1"/>
  <c r="N1366" i="1"/>
  <c r="O1363" i="1"/>
  <c r="N1363" i="1"/>
  <c r="O1361" i="1"/>
  <c r="N1361" i="1"/>
  <c r="O1359" i="1"/>
  <c r="N1359" i="1"/>
  <c r="O1356" i="1"/>
  <c r="N1356" i="1"/>
  <c r="O1354" i="1"/>
  <c r="N1354" i="1"/>
  <c r="O1352" i="1"/>
  <c r="N1352" i="1"/>
  <c r="O1350" i="1"/>
  <c r="N1350" i="1"/>
  <c r="O1347" i="1"/>
  <c r="N1347" i="1"/>
  <c r="O1345" i="1"/>
  <c r="N1345" i="1"/>
  <c r="O1343" i="1"/>
  <c r="N1343" i="1"/>
  <c r="O1341" i="1"/>
  <c r="N1341" i="1"/>
  <c r="O1338" i="1"/>
  <c r="N1338" i="1"/>
  <c r="O1334" i="1"/>
  <c r="N1334" i="1"/>
  <c r="O1332" i="1"/>
  <c r="N1332" i="1"/>
  <c r="O1329" i="1"/>
  <c r="N1329" i="1"/>
  <c r="O1327" i="1"/>
  <c r="N1327" i="1"/>
  <c r="O1322" i="1"/>
  <c r="N1322" i="1"/>
  <c r="O1320" i="1"/>
  <c r="N1320" i="1"/>
  <c r="O1318" i="1"/>
  <c r="N1318" i="1"/>
  <c r="O1316" i="1"/>
  <c r="N1316" i="1"/>
  <c r="O1311" i="1"/>
  <c r="N1311" i="1"/>
  <c r="O1309" i="1"/>
  <c r="N1309" i="1"/>
  <c r="O1307" i="1"/>
  <c r="N1307" i="1"/>
  <c r="O1305" i="1"/>
  <c r="N1305" i="1"/>
  <c r="O1303" i="1"/>
  <c r="N1303" i="1"/>
  <c r="O1300" i="1"/>
  <c r="N1300" i="1"/>
  <c r="O1297" i="1"/>
  <c r="N1297" i="1"/>
  <c r="O1295" i="1"/>
  <c r="N1295" i="1"/>
  <c r="O1293" i="1"/>
  <c r="N1293" i="1"/>
  <c r="O1290" i="1"/>
  <c r="N1290" i="1"/>
  <c r="O1288" i="1"/>
  <c r="N1288" i="1"/>
  <c r="O1286" i="1"/>
  <c r="N1286" i="1"/>
  <c r="O1283" i="1"/>
  <c r="N1283" i="1"/>
  <c r="O1281" i="1"/>
  <c r="N1281" i="1"/>
  <c r="O1279" i="1"/>
  <c r="N1279" i="1"/>
  <c r="O1277" i="1"/>
  <c r="N1277" i="1"/>
  <c r="O1275" i="1"/>
  <c r="N1275" i="1"/>
  <c r="O1273" i="1"/>
  <c r="N1273" i="1"/>
  <c r="O1271" i="1"/>
  <c r="N1271" i="1"/>
  <c r="O1269" i="1"/>
  <c r="N1269" i="1"/>
  <c r="O1267" i="1"/>
  <c r="N1267" i="1"/>
  <c r="O1265" i="1"/>
  <c r="N1265" i="1"/>
  <c r="O1263" i="1"/>
  <c r="N1263" i="1"/>
  <c r="O1261" i="1"/>
  <c r="N1261" i="1"/>
  <c r="O1259" i="1"/>
  <c r="N1259" i="1"/>
  <c r="O1257" i="1"/>
  <c r="N1257" i="1"/>
  <c r="O1253" i="1"/>
  <c r="N1253" i="1"/>
  <c r="O1248" i="1"/>
  <c r="N1248" i="1"/>
  <c r="O1246" i="1"/>
  <c r="N1246" i="1"/>
  <c r="O1242" i="1"/>
  <c r="N1242" i="1"/>
  <c r="O1240" i="1"/>
  <c r="N1240" i="1"/>
  <c r="O1238" i="1"/>
  <c r="N1238" i="1"/>
  <c r="O1236" i="1"/>
  <c r="N1236" i="1"/>
  <c r="O1234" i="1"/>
  <c r="N1234" i="1"/>
  <c r="O1232" i="1"/>
  <c r="N1232" i="1"/>
  <c r="O1229" i="1"/>
  <c r="N1229" i="1"/>
  <c r="O1227" i="1"/>
  <c r="N1227" i="1"/>
  <c r="O1224" i="1"/>
  <c r="N1224" i="1"/>
  <c r="O1221" i="1"/>
  <c r="N1221" i="1"/>
  <c r="O1218" i="1"/>
  <c r="N1218" i="1"/>
  <c r="O1216" i="1"/>
  <c r="N1216" i="1"/>
  <c r="O1214" i="1"/>
  <c r="N1214" i="1"/>
  <c r="O1212" i="1"/>
  <c r="N1212" i="1"/>
  <c r="O1210" i="1"/>
  <c r="N1210" i="1"/>
  <c r="O1208" i="1"/>
  <c r="N1208" i="1"/>
  <c r="O1206" i="1"/>
  <c r="N1206" i="1"/>
  <c r="O1204" i="1"/>
  <c r="N1204" i="1"/>
  <c r="O1202" i="1"/>
  <c r="N1202" i="1"/>
  <c r="O1200" i="1"/>
  <c r="N1200" i="1"/>
  <c r="O1195" i="1"/>
  <c r="N1195" i="1"/>
  <c r="O1192" i="1"/>
  <c r="N1192" i="1"/>
  <c r="O1190" i="1"/>
  <c r="N1190" i="1"/>
  <c r="O1188" i="1"/>
  <c r="N1188" i="1"/>
  <c r="O1186" i="1"/>
  <c r="N1186" i="1"/>
  <c r="O1184" i="1"/>
  <c r="N1184" i="1"/>
  <c r="O1182" i="1"/>
  <c r="N1182" i="1"/>
  <c r="O1180" i="1"/>
  <c r="N1180" i="1"/>
  <c r="O1178" i="1"/>
  <c r="N1178" i="1"/>
  <c r="O1176" i="1"/>
  <c r="N1176" i="1"/>
  <c r="O1174" i="1"/>
  <c r="N1174" i="1"/>
  <c r="O1172" i="1"/>
  <c r="N1172" i="1"/>
  <c r="O1169" i="1"/>
  <c r="N1169" i="1"/>
  <c r="O1167" i="1"/>
  <c r="N1167" i="1"/>
  <c r="O1165" i="1"/>
  <c r="N1165" i="1"/>
  <c r="O1163" i="1"/>
  <c r="N1163" i="1"/>
  <c r="O1161" i="1"/>
  <c r="N1161" i="1"/>
  <c r="O1159" i="1"/>
  <c r="N1159" i="1"/>
  <c r="O1156" i="1"/>
  <c r="N1156" i="1"/>
  <c r="O1154" i="1"/>
  <c r="N1154" i="1"/>
  <c r="O1152" i="1"/>
  <c r="N1152" i="1"/>
  <c r="O1150" i="1"/>
  <c r="N1150" i="1"/>
  <c r="O1147" i="1"/>
  <c r="N1147" i="1"/>
  <c r="O1145" i="1"/>
  <c r="N1145" i="1"/>
  <c r="O1143" i="1"/>
  <c r="N1143" i="1"/>
  <c r="O1141" i="1"/>
  <c r="N1141" i="1"/>
  <c r="O1139" i="1"/>
  <c r="N1139" i="1"/>
  <c r="O1137" i="1"/>
  <c r="N1137" i="1"/>
  <c r="O1135" i="1"/>
  <c r="N1135" i="1"/>
  <c r="O1133" i="1"/>
  <c r="N1133" i="1"/>
  <c r="O1131" i="1"/>
  <c r="N1131" i="1"/>
  <c r="O1128" i="1"/>
  <c r="N1128" i="1"/>
  <c r="O1124" i="1"/>
  <c r="N1124" i="1"/>
  <c r="O1115" i="1"/>
  <c r="N1115" i="1"/>
  <c r="O1113" i="1"/>
  <c r="N1113" i="1"/>
  <c r="O1111" i="1"/>
  <c r="N1111" i="1"/>
  <c r="O1108" i="1"/>
  <c r="N1108" i="1"/>
  <c r="O1106" i="1"/>
  <c r="N1106" i="1"/>
  <c r="O1104" i="1"/>
  <c r="N1104" i="1"/>
  <c r="O1102" i="1"/>
  <c r="N1102" i="1"/>
  <c r="O1100" i="1"/>
  <c r="N1100" i="1"/>
  <c r="O1098" i="1"/>
  <c r="N1098" i="1"/>
  <c r="O1094" i="1"/>
  <c r="N1094" i="1"/>
  <c r="O1091" i="1"/>
  <c r="N1091" i="1"/>
  <c r="O1085" i="1"/>
  <c r="N1085" i="1"/>
  <c r="O1083" i="1"/>
  <c r="N1083" i="1"/>
  <c r="O1081" i="1"/>
  <c r="N1081" i="1"/>
  <c r="O1079" i="1"/>
  <c r="N1079" i="1"/>
  <c r="O1077" i="1"/>
  <c r="N1077" i="1"/>
  <c r="O1075" i="1"/>
  <c r="N1075" i="1"/>
  <c r="O1073" i="1"/>
  <c r="N1073" i="1"/>
  <c r="O1071" i="1"/>
  <c r="N1071" i="1"/>
  <c r="O1068" i="1"/>
  <c r="N1068" i="1"/>
  <c r="O1065" i="1"/>
  <c r="N1065" i="1"/>
  <c r="O1062" i="1"/>
  <c r="N1062" i="1"/>
  <c r="O1059" i="1"/>
  <c r="N1059" i="1"/>
  <c r="O1057" i="1"/>
  <c r="N1057" i="1"/>
  <c r="O1055" i="1"/>
  <c r="N1055" i="1"/>
  <c r="O1053" i="1"/>
  <c r="N1053" i="1"/>
  <c r="O1051" i="1"/>
  <c r="N1051" i="1"/>
  <c r="O1048" i="1"/>
  <c r="N1048" i="1"/>
  <c r="O1036" i="1"/>
  <c r="N1036" i="1"/>
  <c r="O1033" i="1"/>
  <c r="N1033" i="1"/>
  <c r="O1031" i="1"/>
  <c r="N1031" i="1"/>
  <c r="O1028" i="1"/>
  <c r="N1028" i="1"/>
  <c r="O1026" i="1"/>
  <c r="N1026" i="1"/>
  <c r="O1023" i="1"/>
  <c r="N1023" i="1"/>
  <c r="O1021" i="1"/>
  <c r="N1021" i="1"/>
  <c r="O1019" i="1"/>
  <c r="N1019" i="1"/>
  <c r="O1017" i="1"/>
  <c r="N1017" i="1"/>
  <c r="O1015" i="1"/>
  <c r="N1015" i="1"/>
  <c r="O1013" i="1"/>
  <c r="N1013" i="1"/>
  <c r="O1009" i="1"/>
  <c r="N1009" i="1"/>
  <c r="O1006" i="1"/>
  <c r="N1006" i="1"/>
  <c r="O1004" i="1"/>
  <c r="N1004" i="1"/>
  <c r="O1001" i="1"/>
  <c r="N1001" i="1"/>
  <c r="O999" i="1"/>
  <c r="N999" i="1"/>
  <c r="O994" i="1"/>
  <c r="N994" i="1"/>
  <c r="O991" i="1"/>
  <c r="N991" i="1"/>
  <c r="O987" i="1"/>
  <c r="N987" i="1"/>
  <c r="O983" i="1"/>
  <c r="N983" i="1"/>
  <c r="O981" i="1"/>
  <c r="N981" i="1"/>
  <c r="O978" i="1"/>
  <c r="N978" i="1"/>
  <c r="O976" i="1"/>
  <c r="N976" i="1"/>
  <c r="O974" i="1"/>
  <c r="N974" i="1"/>
  <c r="O972" i="1"/>
  <c r="N972" i="1"/>
  <c r="O969" i="1"/>
  <c r="N969" i="1"/>
  <c r="O967" i="1"/>
  <c r="N967" i="1"/>
  <c r="O965" i="1"/>
  <c r="N965" i="1"/>
  <c r="O963" i="1"/>
  <c r="N963" i="1"/>
  <c r="O961" i="1"/>
  <c r="N961" i="1"/>
  <c r="O959" i="1"/>
  <c r="N959" i="1"/>
  <c r="O957" i="1"/>
  <c r="N957" i="1"/>
  <c r="O955" i="1"/>
  <c r="N955" i="1"/>
  <c r="O953" i="1"/>
  <c r="N953" i="1"/>
  <c r="O951" i="1"/>
  <c r="N951" i="1"/>
  <c r="O949" i="1"/>
  <c r="N949" i="1"/>
  <c r="O947" i="1"/>
  <c r="N947" i="1"/>
  <c r="O945" i="1"/>
  <c r="N945" i="1"/>
  <c r="O943" i="1"/>
  <c r="N943" i="1"/>
  <c r="O941" i="1"/>
  <c r="N941" i="1"/>
  <c r="O939" i="1"/>
  <c r="N939" i="1"/>
  <c r="O937" i="1"/>
  <c r="N937" i="1"/>
  <c r="O935" i="1"/>
  <c r="N935" i="1"/>
  <c r="O933" i="1"/>
  <c r="N933" i="1"/>
  <c r="O931" i="1"/>
  <c r="N931" i="1"/>
  <c r="O928" i="1"/>
  <c r="N928" i="1"/>
  <c r="O926" i="1"/>
  <c r="N926" i="1"/>
  <c r="O923" i="1"/>
  <c r="N923" i="1"/>
  <c r="O921" i="1"/>
  <c r="N921" i="1"/>
  <c r="O919" i="1"/>
  <c r="N919" i="1"/>
  <c r="O917" i="1"/>
  <c r="N917" i="1"/>
  <c r="O915" i="1"/>
  <c r="N915" i="1"/>
  <c r="O912" i="1"/>
  <c r="N912" i="1"/>
  <c r="O910" i="1"/>
  <c r="N910" i="1"/>
  <c r="O908" i="1"/>
  <c r="N908" i="1"/>
  <c r="O906" i="1"/>
  <c r="N906" i="1"/>
  <c r="O904" i="1"/>
  <c r="N904" i="1"/>
  <c r="O902" i="1"/>
  <c r="N902" i="1"/>
  <c r="O899" i="1"/>
  <c r="N899" i="1"/>
  <c r="O897" i="1"/>
  <c r="N897" i="1"/>
  <c r="O893" i="1"/>
  <c r="N893" i="1"/>
  <c r="O886" i="1"/>
  <c r="N886" i="1"/>
  <c r="O884" i="1"/>
  <c r="N884" i="1"/>
  <c r="O880" i="1"/>
  <c r="N880" i="1"/>
  <c r="O878" i="1"/>
  <c r="N878" i="1"/>
  <c r="O876" i="1"/>
  <c r="N876" i="1"/>
  <c r="O874" i="1"/>
  <c r="N874" i="1"/>
  <c r="O872" i="1"/>
  <c r="N872" i="1"/>
  <c r="O870" i="1"/>
  <c r="N870" i="1"/>
  <c r="O868" i="1"/>
  <c r="N868" i="1"/>
  <c r="O864" i="1"/>
  <c r="N864" i="1"/>
  <c r="O861" i="1"/>
  <c r="N861" i="1"/>
  <c r="O859" i="1"/>
  <c r="N859" i="1"/>
  <c r="O857" i="1"/>
  <c r="N857" i="1"/>
  <c r="O855" i="1"/>
  <c r="N855" i="1"/>
  <c r="O850" i="1"/>
  <c r="N850" i="1"/>
  <c r="O848" i="1"/>
  <c r="N848" i="1"/>
  <c r="O846" i="1"/>
  <c r="N846" i="1"/>
  <c r="O842" i="1"/>
  <c r="N842" i="1"/>
  <c r="O838" i="1"/>
  <c r="N838" i="1"/>
  <c r="O836" i="1"/>
  <c r="N836" i="1"/>
  <c r="O834" i="1"/>
  <c r="N834" i="1"/>
  <c r="O832" i="1"/>
  <c r="N832" i="1"/>
  <c r="O830" i="1"/>
  <c r="N830" i="1"/>
  <c r="O828" i="1"/>
  <c r="N828" i="1"/>
  <c r="O825" i="1"/>
  <c r="N825" i="1"/>
  <c r="O823" i="1"/>
  <c r="N823" i="1"/>
  <c r="O821" i="1"/>
  <c r="N821" i="1"/>
  <c r="O811" i="1"/>
  <c r="N811" i="1"/>
  <c r="O809" i="1"/>
  <c r="N809" i="1"/>
  <c r="O807" i="1"/>
  <c r="N807" i="1"/>
  <c r="O805" i="1"/>
  <c r="N805" i="1"/>
  <c r="O803" i="1"/>
  <c r="N803" i="1"/>
  <c r="O801" i="1"/>
  <c r="N801" i="1"/>
  <c r="O799" i="1"/>
  <c r="N799" i="1"/>
  <c r="O795" i="1"/>
  <c r="N795" i="1"/>
  <c r="O793" i="1"/>
  <c r="N793" i="1"/>
  <c r="O790" i="1"/>
  <c r="N790" i="1"/>
  <c r="O788" i="1"/>
  <c r="N788" i="1"/>
  <c r="O786" i="1"/>
  <c r="N786" i="1"/>
  <c r="O784" i="1"/>
  <c r="N784" i="1"/>
  <c r="O782" i="1"/>
  <c r="N782" i="1"/>
  <c r="O780" i="1"/>
  <c r="N780" i="1"/>
  <c r="O778" i="1"/>
  <c r="N778" i="1"/>
  <c r="O776" i="1"/>
  <c r="N776" i="1"/>
  <c r="O774" i="1"/>
  <c r="N774" i="1"/>
  <c r="O772" i="1"/>
  <c r="N772" i="1"/>
  <c r="O770" i="1"/>
  <c r="N770" i="1"/>
  <c r="O768" i="1"/>
  <c r="N768" i="1"/>
  <c r="O766" i="1"/>
  <c r="N766" i="1"/>
  <c r="O764" i="1"/>
  <c r="N764" i="1"/>
  <c r="O761" i="1"/>
  <c r="N761" i="1"/>
  <c r="O759" i="1"/>
  <c r="N759" i="1"/>
  <c r="O757" i="1"/>
  <c r="N757" i="1"/>
  <c r="O755" i="1"/>
  <c r="N755" i="1"/>
  <c r="O753" i="1"/>
  <c r="N753" i="1"/>
  <c r="O750" i="1"/>
  <c r="N750" i="1"/>
  <c r="O747" i="1"/>
  <c r="N747" i="1"/>
  <c r="O745" i="1"/>
  <c r="N745" i="1"/>
  <c r="O743" i="1"/>
  <c r="N743" i="1"/>
  <c r="O741" i="1"/>
  <c r="N741" i="1"/>
  <c r="O738" i="1"/>
  <c r="N738" i="1"/>
  <c r="O736" i="1"/>
  <c r="N736" i="1"/>
  <c r="O734" i="1"/>
  <c r="N734" i="1"/>
  <c r="O732" i="1"/>
  <c r="N732" i="1"/>
  <c r="O729" i="1"/>
  <c r="N729" i="1"/>
  <c r="O727" i="1"/>
  <c r="N727" i="1"/>
  <c r="O725" i="1"/>
  <c r="N725" i="1"/>
  <c r="O722" i="1"/>
  <c r="N722" i="1"/>
  <c r="O719" i="1"/>
  <c r="N719" i="1"/>
  <c r="O717" i="1"/>
  <c r="N717" i="1"/>
  <c r="O715" i="1"/>
  <c r="N715" i="1"/>
  <c r="O713" i="1"/>
  <c r="N713" i="1"/>
  <c r="O711" i="1"/>
  <c r="N711" i="1"/>
  <c r="O709" i="1"/>
  <c r="N709" i="1"/>
  <c r="O707" i="1"/>
  <c r="N707" i="1"/>
  <c r="O705" i="1"/>
  <c r="N705" i="1"/>
  <c r="O703" i="1"/>
  <c r="N703" i="1"/>
  <c r="O700" i="1"/>
  <c r="N700" i="1"/>
  <c r="O698" i="1"/>
  <c r="N698" i="1"/>
  <c r="O696" i="1"/>
  <c r="N696" i="1"/>
  <c r="O694" i="1"/>
  <c r="N694" i="1"/>
  <c r="O691" i="1"/>
  <c r="N691" i="1"/>
  <c r="O689" i="1"/>
  <c r="N689" i="1"/>
  <c r="O685" i="1"/>
  <c r="N685" i="1"/>
  <c r="O683" i="1"/>
  <c r="N683" i="1"/>
  <c r="O680" i="1"/>
  <c r="N680" i="1"/>
  <c r="O678" i="1"/>
  <c r="N678" i="1"/>
  <c r="O676" i="1"/>
  <c r="N676" i="1"/>
  <c r="O674" i="1"/>
  <c r="N674" i="1"/>
  <c r="O672" i="1"/>
  <c r="N672" i="1"/>
  <c r="O670" i="1"/>
  <c r="N670" i="1"/>
  <c r="O667" i="1"/>
  <c r="N667" i="1"/>
  <c r="O663" i="1"/>
  <c r="N663" i="1"/>
  <c r="O658" i="1"/>
  <c r="N658" i="1"/>
  <c r="O654" i="1"/>
  <c r="N654" i="1"/>
  <c r="O651" i="1"/>
  <c r="N651" i="1"/>
  <c r="O648" i="1"/>
  <c r="N648" i="1"/>
  <c r="O646" i="1"/>
  <c r="N646" i="1"/>
  <c r="O644" i="1"/>
  <c r="N644" i="1"/>
  <c r="O640" i="1"/>
  <c r="N640" i="1"/>
  <c r="O638" i="1"/>
  <c r="N638" i="1"/>
  <c r="O636" i="1"/>
  <c r="N636" i="1"/>
  <c r="O634" i="1"/>
  <c r="N634" i="1"/>
  <c r="O632" i="1"/>
  <c r="N632" i="1"/>
  <c r="O630" i="1"/>
  <c r="N630" i="1"/>
  <c r="O628" i="1"/>
  <c r="N628" i="1"/>
  <c r="O624" i="1"/>
  <c r="N624" i="1"/>
  <c r="O621" i="1"/>
  <c r="N621" i="1"/>
  <c r="O619" i="1"/>
  <c r="N619" i="1"/>
  <c r="O617" i="1"/>
  <c r="N617" i="1"/>
  <c r="O613" i="1"/>
  <c r="N613" i="1"/>
  <c r="O611" i="1"/>
  <c r="N611" i="1"/>
  <c r="O609" i="1"/>
  <c r="N609" i="1"/>
  <c r="O607" i="1"/>
  <c r="N607" i="1"/>
  <c r="O603" i="1"/>
  <c r="N603" i="1"/>
  <c r="O601" i="1"/>
  <c r="N601" i="1"/>
  <c r="O599" i="1"/>
  <c r="N599" i="1"/>
  <c r="O597" i="1"/>
  <c r="N597" i="1"/>
  <c r="O594" i="1"/>
  <c r="N594" i="1"/>
  <c r="O590" i="1"/>
  <c r="N590" i="1"/>
  <c r="O587" i="1"/>
  <c r="N587" i="1"/>
  <c r="O585" i="1"/>
  <c r="N585" i="1"/>
  <c r="O583" i="1"/>
  <c r="N583" i="1"/>
  <c r="O581" i="1"/>
  <c r="N581" i="1"/>
  <c r="O579" i="1"/>
  <c r="N579" i="1"/>
  <c r="O577" i="1"/>
  <c r="N577" i="1"/>
  <c r="O575" i="1"/>
  <c r="N575" i="1"/>
  <c r="O569" i="1"/>
  <c r="N569" i="1"/>
  <c r="O567" i="1"/>
  <c r="N567" i="1"/>
  <c r="O565" i="1"/>
  <c r="N565" i="1"/>
  <c r="O560" i="1"/>
  <c r="N560" i="1"/>
  <c r="O556" i="1"/>
  <c r="N556" i="1"/>
  <c r="O554" i="1"/>
  <c r="N554" i="1"/>
  <c r="O549" i="1"/>
  <c r="N549" i="1"/>
  <c r="O547" i="1"/>
  <c r="N547" i="1"/>
  <c r="O545" i="1"/>
  <c r="N545" i="1"/>
  <c r="O542" i="1"/>
  <c r="N542" i="1"/>
  <c r="O540" i="1"/>
  <c r="N540" i="1"/>
  <c r="O538" i="1"/>
  <c r="N538" i="1"/>
  <c r="O535" i="1"/>
  <c r="N535" i="1"/>
  <c r="O533" i="1"/>
  <c r="N533" i="1"/>
  <c r="O531" i="1"/>
  <c r="N531" i="1"/>
  <c r="O529" i="1"/>
  <c r="N529" i="1"/>
  <c r="O527" i="1"/>
  <c r="N527" i="1"/>
  <c r="O525" i="1"/>
  <c r="N525" i="1"/>
  <c r="O522" i="1"/>
  <c r="N522" i="1"/>
  <c r="O520" i="1"/>
  <c r="N520" i="1"/>
  <c r="O518" i="1"/>
  <c r="N518" i="1"/>
  <c r="O514" i="1"/>
  <c r="N514" i="1"/>
  <c r="O512" i="1"/>
  <c r="N512" i="1"/>
  <c r="O510" i="1"/>
  <c r="N510" i="1"/>
  <c r="O508" i="1"/>
  <c r="N508" i="1"/>
  <c r="O506" i="1"/>
  <c r="N506" i="1"/>
  <c r="O503" i="1"/>
  <c r="N503" i="1"/>
  <c r="O500" i="1"/>
  <c r="N500" i="1"/>
  <c r="O498" i="1"/>
  <c r="N498" i="1"/>
  <c r="O496" i="1"/>
  <c r="N496" i="1"/>
  <c r="O494" i="1"/>
  <c r="N494" i="1"/>
  <c r="O492" i="1"/>
  <c r="N492" i="1"/>
  <c r="O490" i="1"/>
  <c r="N490" i="1"/>
  <c r="O488" i="1"/>
  <c r="N488" i="1"/>
  <c r="O486" i="1"/>
  <c r="N486" i="1"/>
  <c r="O481" i="1"/>
  <c r="N481" i="1"/>
  <c r="O479" i="1"/>
  <c r="N479" i="1"/>
  <c r="O477" i="1"/>
  <c r="N477" i="1"/>
  <c r="O474" i="1"/>
  <c r="N474" i="1"/>
  <c r="O469" i="1"/>
  <c r="N469" i="1"/>
  <c r="O466" i="1"/>
  <c r="N466" i="1"/>
  <c r="O464" i="1"/>
  <c r="N464" i="1"/>
  <c r="O462" i="1"/>
  <c r="N462" i="1"/>
  <c r="O460" i="1"/>
  <c r="N460" i="1"/>
  <c r="O457" i="1"/>
  <c r="N457" i="1"/>
  <c r="O455" i="1"/>
  <c r="N455" i="1"/>
  <c r="O453" i="1"/>
  <c r="N453" i="1"/>
  <c r="O450" i="1"/>
  <c r="N450" i="1"/>
  <c r="O447" i="1"/>
  <c r="N447" i="1"/>
  <c r="O445" i="1"/>
  <c r="N445" i="1"/>
  <c r="O442" i="1"/>
  <c r="N442" i="1"/>
  <c r="O440" i="1"/>
  <c r="N440" i="1"/>
  <c r="O438" i="1"/>
  <c r="N438" i="1"/>
  <c r="O436" i="1"/>
  <c r="N436" i="1"/>
  <c r="O434" i="1"/>
  <c r="N434" i="1"/>
  <c r="O432" i="1"/>
  <c r="N432" i="1"/>
  <c r="O430" i="1"/>
  <c r="N430" i="1"/>
  <c r="O428" i="1"/>
  <c r="N428" i="1"/>
  <c r="O426" i="1"/>
  <c r="N426" i="1"/>
  <c r="O424" i="1"/>
  <c r="N424" i="1"/>
  <c r="O422" i="1"/>
  <c r="N422" i="1"/>
  <c r="O420" i="1"/>
  <c r="N420" i="1"/>
  <c r="O418" i="1"/>
  <c r="N418" i="1"/>
  <c r="O416" i="1"/>
  <c r="N416" i="1"/>
  <c r="O414" i="1"/>
  <c r="N414" i="1"/>
  <c r="O412" i="1"/>
  <c r="N412" i="1"/>
  <c r="O409" i="1"/>
  <c r="N409" i="1"/>
  <c r="O406" i="1"/>
  <c r="N406" i="1"/>
  <c r="O399" i="1"/>
  <c r="N399" i="1"/>
  <c r="O395" i="1"/>
  <c r="N395" i="1"/>
  <c r="O392" i="1"/>
  <c r="N392" i="1"/>
  <c r="O390" i="1"/>
  <c r="N390" i="1"/>
  <c r="O388" i="1"/>
  <c r="N388" i="1"/>
  <c r="O386" i="1"/>
  <c r="N386" i="1"/>
  <c r="O384" i="1"/>
  <c r="N384" i="1"/>
  <c r="O380" i="1"/>
  <c r="N380" i="1"/>
  <c r="O377" i="1"/>
  <c r="N377" i="1"/>
  <c r="O375" i="1"/>
  <c r="N375" i="1"/>
  <c r="O373" i="1"/>
  <c r="N373" i="1"/>
  <c r="O371" i="1"/>
  <c r="N371" i="1"/>
  <c r="O367" i="1"/>
  <c r="N367" i="1"/>
  <c r="O365" i="1"/>
  <c r="N365" i="1"/>
  <c r="O363" i="1"/>
  <c r="N363" i="1"/>
  <c r="O360" i="1"/>
  <c r="N360" i="1"/>
  <c r="O358" i="1"/>
  <c r="N358" i="1"/>
  <c r="O356" i="1"/>
  <c r="N356" i="1"/>
  <c r="O354" i="1"/>
  <c r="N354" i="1"/>
  <c r="O350" i="1"/>
  <c r="N350" i="1"/>
  <c r="O345" i="1"/>
  <c r="N345" i="1"/>
  <c r="O343" i="1"/>
  <c r="N343" i="1"/>
  <c r="O341" i="1"/>
  <c r="N341" i="1"/>
  <c r="O339" i="1"/>
  <c r="N339" i="1"/>
  <c r="O337" i="1"/>
  <c r="N337" i="1"/>
  <c r="O334" i="1"/>
  <c r="N334" i="1"/>
  <c r="O332" i="1"/>
  <c r="N332" i="1"/>
  <c r="O329" i="1"/>
  <c r="N329" i="1"/>
  <c r="O326" i="1"/>
  <c r="N326" i="1"/>
  <c r="O324" i="1"/>
  <c r="N324" i="1"/>
  <c r="O322" i="1"/>
  <c r="N322" i="1"/>
  <c r="O320" i="1"/>
  <c r="N320" i="1"/>
  <c r="O316" i="1"/>
  <c r="N316" i="1"/>
  <c r="O314" i="1"/>
  <c r="N314" i="1"/>
  <c r="O312" i="1"/>
  <c r="N312" i="1"/>
  <c r="O308" i="1"/>
  <c r="N308" i="1"/>
  <c r="O306" i="1"/>
  <c r="N306" i="1"/>
  <c r="O298" i="1"/>
  <c r="N298" i="1"/>
  <c r="O296" i="1"/>
  <c r="N296" i="1"/>
  <c r="O294" i="1"/>
  <c r="N294" i="1"/>
  <c r="O292" i="1"/>
  <c r="N292" i="1"/>
  <c r="O290" i="1"/>
  <c r="N290" i="1"/>
  <c r="O287" i="1"/>
  <c r="N287" i="1"/>
  <c r="O285" i="1"/>
  <c r="N285" i="1"/>
  <c r="O283" i="1"/>
  <c r="N283" i="1"/>
  <c r="O280" i="1"/>
  <c r="N280" i="1"/>
  <c r="O276" i="1"/>
  <c r="N276" i="1"/>
  <c r="O269" i="1"/>
  <c r="N269" i="1"/>
  <c r="O267" i="1"/>
  <c r="N267" i="1"/>
  <c r="O264" i="1"/>
  <c r="N264" i="1"/>
  <c r="O262" i="1"/>
  <c r="N262" i="1"/>
  <c r="O259" i="1"/>
  <c r="N259" i="1"/>
  <c r="O256" i="1"/>
  <c r="N256" i="1"/>
  <c r="O253" i="1"/>
  <c r="N253" i="1"/>
  <c r="O251" i="1"/>
  <c r="N251" i="1"/>
  <c r="O249" i="1"/>
  <c r="N249" i="1"/>
  <c r="O247" i="1"/>
  <c r="N247" i="1"/>
  <c r="O245" i="1"/>
  <c r="N245" i="1"/>
  <c r="O243" i="1"/>
  <c r="N243" i="1"/>
  <c r="O239" i="1"/>
  <c r="N239" i="1"/>
  <c r="O237" i="1"/>
  <c r="N237" i="1"/>
  <c r="O217" i="1"/>
  <c r="N217" i="1"/>
  <c r="O213" i="1"/>
  <c r="N213" i="1"/>
  <c r="O207" i="1"/>
  <c r="N207" i="1"/>
  <c r="O205" i="1"/>
  <c r="N205" i="1"/>
  <c r="O194" i="1"/>
  <c r="N194" i="1"/>
  <c r="O187" i="1"/>
  <c r="N187" i="1"/>
  <c r="O185" i="1"/>
  <c r="N185" i="1"/>
  <c r="O182" i="1"/>
  <c r="N182" i="1"/>
  <c r="O179" i="1"/>
  <c r="N179" i="1"/>
  <c r="O177" i="1"/>
  <c r="N177" i="1"/>
  <c r="O175" i="1"/>
  <c r="N175" i="1"/>
  <c r="O173" i="1"/>
  <c r="N173" i="1"/>
  <c r="O145" i="1"/>
  <c r="N145" i="1"/>
  <c r="O142" i="1"/>
  <c r="N142" i="1"/>
  <c r="O124" i="1"/>
  <c r="N124" i="1"/>
  <c r="O120" i="1"/>
  <c r="N120" i="1"/>
  <c r="O118" i="1"/>
  <c r="N118" i="1"/>
  <c r="O116" i="1"/>
  <c r="N116" i="1"/>
  <c r="O114" i="1"/>
  <c r="N114" i="1"/>
  <c r="O112" i="1"/>
  <c r="N112" i="1"/>
  <c r="O110" i="1"/>
  <c r="N110" i="1"/>
  <c r="O107" i="1"/>
  <c r="N107" i="1"/>
  <c r="O100" i="1"/>
  <c r="N100" i="1"/>
  <c r="O98" i="1"/>
  <c r="N98" i="1"/>
  <c r="O95" i="1"/>
  <c r="N95" i="1"/>
  <c r="O87" i="1"/>
  <c r="N87" i="1"/>
  <c r="O83" i="1"/>
  <c r="N83" i="1"/>
  <c r="O79" i="1"/>
  <c r="N79" i="1"/>
  <c r="O77" i="1"/>
  <c r="N77" i="1"/>
  <c r="O72" i="1"/>
  <c r="N72" i="1"/>
  <c r="O65" i="1"/>
  <c r="N65" i="1"/>
  <c r="O62" i="1"/>
  <c r="N62" i="1"/>
  <c r="O56" i="1"/>
  <c r="N56" i="1"/>
  <c r="O54" i="1"/>
  <c r="N54" i="1"/>
  <c r="O49" i="1"/>
  <c r="N49" i="1"/>
  <c r="O37" i="1"/>
  <c r="N37" i="1"/>
  <c r="O32" i="1"/>
  <c r="N32" i="1"/>
  <c r="O28" i="1"/>
  <c r="N28" i="1"/>
  <c r="O10" i="1"/>
  <c r="N10" i="1"/>
  <c r="O8" i="1"/>
  <c r="O5611" i="1" s="1"/>
  <c r="N8" i="1"/>
  <c r="N5611" i="1" s="1"/>
</calcChain>
</file>

<file path=xl/sharedStrings.xml><?xml version="1.0" encoding="utf-8"?>
<sst xmlns="http://schemas.openxmlformats.org/spreadsheetml/2006/main" count="30245" uniqueCount="813">
  <si>
    <t>2026.08.26 12:40:27 SUCU:   2 CAJA: 1</t>
  </si>
  <si>
    <t xml:space="preserve">PUTRUELE HNOS. S.A.A.I.C.  </t>
  </si>
  <si>
    <t>LS040-VENTAS PERIODO:01/01/26-26/08/26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</si>
  <si>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</si>
  <si>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</si>
  <si>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</si>
  <si>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</si>
  <si>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</si>
  <si>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</si>
  <si>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</si>
  <si>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</si>
  <si>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</si>
  <si>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</si>
  <si>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</si>
  <si>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</si>
  <si>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</si>
  <si>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</si>
  <si>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</si>
  <si>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</si>
  <si>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ESPARRAGO </t>
  </si>
  <si>
    <t xml:space="preserve">VERDE     </t>
  </si>
  <si>
    <t xml:space="preserve">PERU      </t>
  </si>
  <si>
    <t xml:space="preserve">ELG       </t>
  </si>
  <si>
    <t xml:space="preserve">          </t>
  </si>
  <si>
    <t xml:space="preserve">C/C       </t>
  </si>
  <si>
    <t xml:space="preserve">GREEN PATA     </t>
  </si>
  <si>
    <t xml:space="preserve">LIMON     </t>
  </si>
  <si>
    <t xml:space="preserve">BLS       </t>
  </si>
  <si>
    <t xml:space="preserve">ENOVA COME     </t>
  </si>
  <si>
    <t xml:space="preserve">DURAZNO   </t>
  </si>
  <si>
    <t xml:space="preserve">ROJO      </t>
  </si>
  <si>
    <t xml:space="preserve">R.N.      </t>
  </si>
  <si>
    <t xml:space="preserve">LINDA MARI     </t>
  </si>
  <si>
    <t xml:space="preserve">GRANADA   </t>
  </si>
  <si>
    <t>WONDERFULL</t>
  </si>
  <si>
    <t xml:space="preserve">CBA       </t>
  </si>
  <si>
    <t xml:space="preserve">8         </t>
  </si>
  <si>
    <t xml:space="preserve">ESTANCIA L     </t>
  </si>
  <si>
    <t xml:space="preserve">PALTA     </t>
  </si>
  <si>
    <t xml:space="preserve">HASS      </t>
  </si>
  <si>
    <t xml:space="preserve">BRASIL    </t>
  </si>
  <si>
    <t xml:space="preserve">CAT I     </t>
  </si>
  <si>
    <t xml:space="preserve">32        </t>
  </si>
  <si>
    <t xml:space="preserve">C/PL      </t>
  </si>
  <si>
    <t xml:space="preserve">JAGUACY BR     </t>
  </si>
  <si>
    <t xml:space="preserve">TOMATE    </t>
  </si>
  <si>
    <t xml:space="preserve">PERITA    </t>
  </si>
  <si>
    <t xml:space="preserve">BS.AS.    </t>
  </si>
  <si>
    <t xml:space="preserve">C/M       </t>
  </si>
  <si>
    <t xml:space="preserve">PRODUCTOS      </t>
  </si>
  <si>
    <t>LIMON NUEV</t>
  </si>
  <si>
    <t xml:space="preserve">EUREKA    </t>
  </si>
  <si>
    <t xml:space="preserve">TMAN      </t>
  </si>
  <si>
    <t xml:space="preserve">OL FRUIT S     </t>
  </si>
  <si>
    <t xml:space="preserve">MORRON    </t>
  </si>
  <si>
    <t xml:space="preserve">PILAR     </t>
  </si>
  <si>
    <t xml:space="preserve">FINCA LA J     </t>
  </si>
  <si>
    <t xml:space="preserve">MANZANA   </t>
  </si>
  <si>
    <t xml:space="preserve">RED DELI. </t>
  </si>
  <si>
    <t xml:space="preserve">CELESTINO      </t>
  </si>
  <si>
    <t xml:space="preserve">PERA      </t>
  </si>
  <si>
    <t xml:space="preserve">DUHIN RODO     </t>
  </si>
  <si>
    <t>PALTA EXP-</t>
  </si>
  <si>
    <t xml:space="preserve">CHILE     </t>
  </si>
  <si>
    <t xml:space="preserve">T.60      </t>
  </si>
  <si>
    <t xml:space="preserve">EXPORT FRU     </t>
  </si>
  <si>
    <t xml:space="preserve">MONTEVER S     </t>
  </si>
  <si>
    <t xml:space="preserve">NARANJA   </t>
  </si>
  <si>
    <t xml:space="preserve">JUGO      </t>
  </si>
  <si>
    <t xml:space="preserve">EL PARUCO      </t>
  </si>
  <si>
    <t xml:space="preserve">ARANDANO  </t>
  </si>
  <si>
    <t>SNOWCHASER</t>
  </si>
  <si>
    <t xml:space="preserve">E.R.      </t>
  </si>
  <si>
    <t xml:space="preserve">C/CUB     </t>
  </si>
  <si>
    <t xml:space="preserve">GRAMM AGRO     </t>
  </si>
  <si>
    <t xml:space="preserve">PI¥A      </t>
  </si>
  <si>
    <t xml:space="preserve">PI¥AS RICA     </t>
  </si>
  <si>
    <t xml:space="preserve">CHIRIMOYA </t>
  </si>
  <si>
    <t xml:space="preserve">BRONCEADA </t>
  </si>
  <si>
    <t xml:space="preserve">T.12      </t>
  </si>
  <si>
    <t xml:space="preserve">CHILE TERR     </t>
  </si>
  <si>
    <t>AGUA DE CO</t>
  </si>
  <si>
    <t xml:space="preserve">ENLU-COMER     </t>
  </si>
  <si>
    <t xml:space="preserve">CIRUELA   </t>
  </si>
  <si>
    <t xml:space="preserve">ANGELENO  </t>
  </si>
  <si>
    <t xml:space="preserve">ESPA¥A    </t>
  </si>
  <si>
    <t xml:space="preserve">50-55     </t>
  </si>
  <si>
    <t xml:space="preserve">LARFRUT SA     </t>
  </si>
  <si>
    <t xml:space="preserve">CEREZA    </t>
  </si>
  <si>
    <t xml:space="preserve">LAPINS    </t>
  </si>
  <si>
    <t xml:space="preserve">26-28     </t>
  </si>
  <si>
    <t xml:space="preserve">GUIZZO FRU     </t>
  </si>
  <si>
    <t xml:space="preserve">COCO      </t>
  </si>
  <si>
    <t xml:space="preserve">BAHIA     </t>
  </si>
  <si>
    <t xml:space="preserve">SEREMY SRL     </t>
  </si>
  <si>
    <t xml:space="preserve">FAMOSA DE      </t>
  </si>
  <si>
    <t xml:space="preserve">COMEX          </t>
  </si>
  <si>
    <t xml:space="preserve">PROD SAN J     </t>
  </si>
  <si>
    <t xml:space="preserve">LOS HEREDE     </t>
  </si>
  <si>
    <t xml:space="preserve">HAWAYANO  </t>
  </si>
  <si>
    <t xml:space="preserve">N§6       </t>
  </si>
  <si>
    <t xml:space="preserve">N§8       </t>
  </si>
  <si>
    <t xml:space="preserve">JENGIBRE  </t>
  </si>
  <si>
    <t xml:space="preserve">AGROCORIBE     </t>
  </si>
  <si>
    <t xml:space="preserve">FRESCO    </t>
  </si>
  <si>
    <t xml:space="preserve">TIBONI         </t>
  </si>
  <si>
    <t xml:space="preserve">BING      </t>
  </si>
  <si>
    <t xml:space="preserve">PELON     </t>
  </si>
  <si>
    <t xml:space="preserve">ECUADOR   </t>
  </si>
  <si>
    <t xml:space="preserve">N§7       </t>
  </si>
  <si>
    <t xml:space="preserve">BERENJENA </t>
  </si>
  <si>
    <t xml:space="preserve">NEGRA     </t>
  </si>
  <si>
    <t xml:space="preserve">G CASTILLO     </t>
  </si>
  <si>
    <t xml:space="preserve">22        </t>
  </si>
  <si>
    <t xml:space="preserve">JOSE ALCID     </t>
  </si>
  <si>
    <t>PALTA SCHM</t>
  </si>
  <si>
    <t xml:space="preserve">60        </t>
  </si>
  <si>
    <t xml:space="preserve">JORGE SCHM     </t>
  </si>
  <si>
    <t xml:space="preserve">COMERCIAL      </t>
  </si>
  <si>
    <t xml:space="preserve">KIWI      </t>
  </si>
  <si>
    <t xml:space="preserve">HAYWARD   </t>
  </si>
  <si>
    <t xml:space="preserve">ITALIA    </t>
  </si>
  <si>
    <t xml:space="preserve">27        </t>
  </si>
  <si>
    <t xml:space="preserve">QUARAN5TA      </t>
  </si>
  <si>
    <t xml:space="preserve">30        </t>
  </si>
  <si>
    <t xml:space="preserve">REDONDO   </t>
  </si>
  <si>
    <t xml:space="preserve">THOME ALFO     </t>
  </si>
  <si>
    <t xml:space="preserve">F. Y M. MA     </t>
  </si>
  <si>
    <t>PORTOBELLO</t>
  </si>
  <si>
    <t xml:space="preserve">BAND      </t>
  </si>
  <si>
    <t xml:space="preserve">HONGOS DEL     </t>
  </si>
  <si>
    <t xml:space="preserve">MAMON     </t>
  </si>
  <si>
    <t xml:space="preserve">FORMOSA   </t>
  </si>
  <si>
    <t xml:space="preserve">84        </t>
  </si>
  <si>
    <t xml:space="preserve">EXPOR PROP     </t>
  </si>
  <si>
    <t xml:space="preserve">70        </t>
  </si>
  <si>
    <t>PALTA EL P</t>
  </si>
  <si>
    <t xml:space="preserve">EXPORT. Y      </t>
  </si>
  <si>
    <t xml:space="preserve">LOS MANOLO     </t>
  </si>
  <si>
    <t xml:space="preserve">PYRUS S.R.     </t>
  </si>
  <si>
    <t xml:space="preserve">BANANA    </t>
  </si>
  <si>
    <t>SABRO STAR</t>
  </si>
  <si>
    <t xml:space="preserve">FRUTICOLA      </t>
  </si>
  <si>
    <t xml:space="preserve">HIGO      </t>
  </si>
  <si>
    <t xml:space="preserve">JUJUY     </t>
  </si>
  <si>
    <t xml:space="preserve">RAICES         </t>
  </si>
  <si>
    <t xml:space="preserve">JUMBO     </t>
  </si>
  <si>
    <t xml:space="preserve">C/C UNID  </t>
  </si>
  <si>
    <t xml:space="preserve">MR BERRY S     </t>
  </si>
  <si>
    <t>MANGO NO T</t>
  </si>
  <si>
    <t xml:space="preserve">MELON     </t>
  </si>
  <si>
    <t xml:space="preserve">AMARILLO  </t>
  </si>
  <si>
    <t xml:space="preserve">N§9       </t>
  </si>
  <si>
    <t xml:space="preserve">NORFFRUIT      </t>
  </si>
  <si>
    <t xml:space="preserve">T.10      </t>
  </si>
  <si>
    <t xml:space="preserve">PLAFON    </t>
  </si>
  <si>
    <t xml:space="preserve">SAMA S.R.L     </t>
  </si>
  <si>
    <t xml:space="preserve">YUCHAN    </t>
  </si>
  <si>
    <t xml:space="preserve">LEDESMA S.     </t>
  </si>
  <si>
    <t xml:space="preserve">PLAFORM   </t>
  </si>
  <si>
    <t xml:space="preserve">LIMA      </t>
  </si>
  <si>
    <t xml:space="preserve">CITRICOLA      </t>
  </si>
  <si>
    <t xml:space="preserve">115       </t>
  </si>
  <si>
    <t xml:space="preserve">SOC AGRIC      </t>
  </si>
  <si>
    <t xml:space="preserve">RODRIGUEZ      </t>
  </si>
  <si>
    <t xml:space="preserve">AJI       </t>
  </si>
  <si>
    <t xml:space="preserve">PALERMO   </t>
  </si>
  <si>
    <t xml:space="preserve">TERRASOL S     </t>
  </si>
  <si>
    <t xml:space="preserve">24-26     </t>
  </si>
  <si>
    <t xml:space="preserve">28-30     </t>
  </si>
  <si>
    <t xml:space="preserve">L         </t>
  </si>
  <si>
    <t xml:space="preserve">PRIME TIME     </t>
  </si>
  <si>
    <t xml:space="preserve">PAQUETES  </t>
  </si>
  <si>
    <t xml:space="preserve">EL NUEVO P     </t>
  </si>
  <si>
    <t xml:space="preserve">COOP DE TR     </t>
  </si>
  <si>
    <t xml:space="preserve">PAPIN     </t>
  </si>
  <si>
    <t>BLANCO COM</t>
  </si>
  <si>
    <t xml:space="preserve">COLORADO  </t>
  </si>
  <si>
    <t xml:space="preserve">PITAHAYA  </t>
  </si>
  <si>
    <t xml:space="preserve">ROJA      </t>
  </si>
  <si>
    <t xml:space="preserve">10        </t>
  </si>
  <si>
    <t xml:space="preserve">CALDERON N     </t>
  </si>
  <si>
    <t xml:space="preserve">14        </t>
  </si>
  <si>
    <t xml:space="preserve">C/CBTAS X </t>
  </si>
  <si>
    <t xml:space="preserve">16        </t>
  </si>
  <si>
    <t xml:space="preserve">20-18     </t>
  </si>
  <si>
    <t xml:space="preserve">POMELO    </t>
  </si>
  <si>
    <t xml:space="preserve">EGIPTO    </t>
  </si>
  <si>
    <t xml:space="preserve">28-36     </t>
  </si>
  <si>
    <t xml:space="preserve">ROYAL FOR      </t>
  </si>
  <si>
    <t xml:space="preserve">42-48     </t>
  </si>
  <si>
    <t xml:space="preserve">56-72     </t>
  </si>
  <si>
    <t xml:space="preserve">CT II     </t>
  </si>
  <si>
    <t xml:space="preserve">36        </t>
  </si>
  <si>
    <t xml:space="preserve">48        </t>
  </si>
  <si>
    <t xml:space="preserve">GRECIA    </t>
  </si>
  <si>
    <t xml:space="preserve">NOVAFRUIT      </t>
  </si>
  <si>
    <t xml:space="preserve">UVA       </t>
  </si>
  <si>
    <t xml:space="preserve">SUPERIOR  </t>
  </si>
  <si>
    <t xml:space="preserve">SJN       </t>
  </si>
  <si>
    <t xml:space="preserve">AYRMARE        </t>
  </si>
  <si>
    <t xml:space="preserve">TUCUMAN   </t>
  </si>
  <si>
    <t xml:space="preserve">PREMIUN   </t>
  </si>
  <si>
    <t xml:space="preserve">ZAPALLITO </t>
  </si>
  <si>
    <t xml:space="preserve">MO¥O AZUL      </t>
  </si>
  <si>
    <t xml:space="preserve">MARACUYA  </t>
  </si>
  <si>
    <t xml:space="preserve">PATAGONIA      </t>
  </si>
  <si>
    <t>CHAMPIG¥ON</t>
  </si>
  <si>
    <t xml:space="preserve">C-AZUL    </t>
  </si>
  <si>
    <t xml:space="preserve">C/VERDE   </t>
  </si>
  <si>
    <t xml:space="preserve">SEG.      </t>
  </si>
  <si>
    <t xml:space="preserve">+30       </t>
  </si>
  <si>
    <t xml:space="preserve">1/2 CAJA  </t>
  </si>
  <si>
    <t xml:space="preserve">EXTRABERRI     </t>
  </si>
  <si>
    <t xml:space="preserve">22-24     </t>
  </si>
  <si>
    <t xml:space="preserve">PEPINO    </t>
  </si>
  <si>
    <t xml:space="preserve">MAR DEL VE     </t>
  </si>
  <si>
    <t xml:space="preserve">T.14      </t>
  </si>
  <si>
    <t xml:space="preserve">EXPORT PRI     </t>
  </si>
  <si>
    <t xml:space="preserve">+16       </t>
  </si>
  <si>
    <t xml:space="preserve">T.16      </t>
  </si>
  <si>
    <t>LIMA MALLA</t>
  </si>
  <si>
    <t xml:space="preserve">TAHITI    </t>
  </si>
  <si>
    <t>MAMON MALL</t>
  </si>
  <si>
    <t xml:space="preserve">BLANCO    </t>
  </si>
  <si>
    <t xml:space="preserve">NI¥A BONIT     </t>
  </si>
  <si>
    <t xml:space="preserve">CHERRY    </t>
  </si>
  <si>
    <t xml:space="preserve">RACIMO    </t>
  </si>
  <si>
    <t xml:space="preserve">RAF       </t>
  </si>
  <si>
    <t xml:space="preserve">MANGO     </t>
  </si>
  <si>
    <t xml:space="preserve">TOMMY     </t>
  </si>
  <si>
    <t xml:space="preserve">SALTA     </t>
  </si>
  <si>
    <t xml:space="preserve">RIO DE LAS     </t>
  </si>
  <si>
    <t xml:space="preserve">NORDIA    </t>
  </si>
  <si>
    <t xml:space="preserve">MIX       </t>
  </si>
  <si>
    <t xml:space="preserve">REGINA    </t>
  </si>
  <si>
    <t xml:space="preserve">BABIEZ RUB     </t>
  </si>
  <si>
    <t xml:space="preserve">               </t>
  </si>
  <si>
    <t xml:space="preserve">LARGO     </t>
  </si>
  <si>
    <t xml:space="preserve">ZERPA WALT     </t>
  </si>
  <si>
    <t xml:space="preserve">R FRUIT        </t>
  </si>
  <si>
    <t xml:space="preserve">COMPAGNUCC     </t>
  </si>
  <si>
    <t xml:space="preserve">SANTORO JA     </t>
  </si>
  <si>
    <t xml:space="preserve">50        </t>
  </si>
  <si>
    <t xml:space="preserve">BLANCA    </t>
  </si>
  <si>
    <t xml:space="preserve">S.JUAN    </t>
  </si>
  <si>
    <t xml:space="preserve">OSCURO    </t>
  </si>
  <si>
    <t xml:space="preserve">ABRAG CHIC     </t>
  </si>
  <si>
    <t xml:space="preserve">DIOSA     </t>
  </si>
  <si>
    <t>SWEET CHER</t>
  </si>
  <si>
    <t>BLACK AMBA</t>
  </si>
  <si>
    <t xml:space="preserve">FRIAR     </t>
  </si>
  <si>
    <t xml:space="preserve">MZA       </t>
  </si>
  <si>
    <t>BEURRE GIF</t>
  </si>
  <si>
    <t xml:space="preserve">FANTASIA  </t>
  </si>
  <si>
    <t xml:space="preserve">PLATO     </t>
  </si>
  <si>
    <t>MARIA BIAN</t>
  </si>
  <si>
    <t xml:space="preserve">JAULA     </t>
  </si>
  <si>
    <t xml:space="preserve">INTER GO S     </t>
  </si>
  <si>
    <t>GRANNY SMI</t>
  </si>
  <si>
    <t xml:space="preserve">PARALELO3/     </t>
  </si>
  <si>
    <t xml:space="preserve">BORPAG S.R     </t>
  </si>
  <si>
    <t xml:space="preserve">VALLE VERD     </t>
  </si>
  <si>
    <t xml:space="preserve">EMMALU  SR     </t>
  </si>
  <si>
    <t xml:space="preserve">OSTEEN    </t>
  </si>
  <si>
    <t xml:space="preserve">PUTRUELE H     </t>
  </si>
  <si>
    <t xml:space="preserve">PETROVER       </t>
  </si>
  <si>
    <t xml:space="preserve">FRUTIHORTI     </t>
  </si>
  <si>
    <t xml:space="preserve">BULCA          </t>
  </si>
  <si>
    <t xml:space="preserve">BOTARELLI      </t>
  </si>
  <si>
    <t xml:space="preserve">POTE      </t>
  </si>
  <si>
    <t>PAPIN FRAC</t>
  </si>
  <si>
    <t xml:space="preserve">VETEADO   </t>
  </si>
  <si>
    <t xml:space="preserve">7         </t>
  </si>
  <si>
    <t xml:space="preserve">REINA VICT     </t>
  </si>
  <si>
    <t>SWEET HEAR</t>
  </si>
  <si>
    <t xml:space="preserve">COMUN     </t>
  </si>
  <si>
    <t xml:space="preserve">ZEE LADY  </t>
  </si>
  <si>
    <t xml:space="preserve">LA TOMA        </t>
  </si>
  <si>
    <t xml:space="preserve">EL NOGALIT     </t>
  </si>
  <si>
    <t xml:space="preserve">SGO       </t>
  </si>
  <si>
    <t xml:space="preserve">MEDIO CAMP     </t>
  </si>
  <si>
    <t xml:space="preserve">VICTORIA  </t>
  </si>
  <si>
    <t xml:space="preserve">VI¥A LAGO      </t>
  </si>
  <si>
    <t xml:space="preserve">RED GLOBE </t>
  </si>
  <si>
    <t>LIMON YUCH</t>
  </si>
  <si>
    <t xml:space="preserve">VI¥AS DEL      </t>
  </si>
  <si>
    <t xml:space="preserve">+14       </t>
  </si>
  <si>
    <t xml:space="preserve">+18       </t>
  </si>
  <si>
    <t xml:space="preserve">CTES.     </t>
  </si>
  <si>
    <t xml:space="preserve">MEXICO    </t>
  </si>
  <si>
    <t xml:space="preserve">COMERCIAL </t>
  </si>
  <si>
    <t xml:space="preserve">COMERCIALI     </t>
  </si>
  <si>
    <t xml:space="preserve">EDUARDO DI     </t>
  </si>
  <si>
    <t>PARRILLERO</t>
  </si>
  <si>
    <t xml:space="preserve">RAMA      </t>
  </si>
  <si>
    <t xml:space="preserve">KORDIA    </t>
  </si>
  <si>
    <t xml:space="preserve">CRESPA    </t>
  </si>
  <si>
    <t>HIDROPONIA</t>
  </si>
  <si>
    <t xml:space="preserve">MANTECA   </t>
  </si>
  <si>
    <t xml:space="preserve">MORADA    </t>
  </si>
  <si>
    <t>SALANOVA H</t>
  </si>
  <si>
    <t xml:space="preserve">CRISPY    </t>
  </si>
  <si>
    <t xml:space="preserve">ALBAHACA  </t>
  </si>
  <si>
    <t xml:space="preserve">BERRO     </t>
  </si>
  <si>
    <t>HIDROPONIC</t>
  </si>
  <si>
    <t>CIRUELA PI</t>
  </si>
  <si>
    <t xml:space="preserve">BE FRUIT       </t>
  </si>
  <si>
    <t xml:space="preserve">GALA      </t>
  </si>
  <si>
    <t xml:space="preserve">125       </t>
  </si>
  <si>
    <t>FRACCIONAD</t>
  </si>
  <si>
    <t xml:space="preserve">NAVEL     </t>
  </si>
  <si>
    <t xml:space="preserve">42        </t>
  </si>
  <si>
    <t xml:space="preserve">40        </t>
  </si>
  <si>
    <t xml:space="preserve">VENUS     </t>
  </si>
  <si>
    <t xml:space="preserve">66-72     </t>
  </si>
  <si>
    <t>YUKON KING</t>
  </si>
  <si>
    <t xml:space="preserve">FORTUNE   </t>
  </si>
  <si>
    <t xml:space="preserve">+12       </t>
  </si>
  <si>
    <t xml:space="preserve">ORANGE    </t>
  </si>
  <si>
    <t xml:space="preserve">5         </t>
  </si>
  <si>
    <t>CANTALOUPE</t>
  </si>
  <si>
    <t xml:space="preserve">O'HENRY   </t>
  </si>
  <si>
    <t>HIPODROPON</t>
  </si>
  <si>
    <t>CRESPA -MO</t>
  </si>
  <si>
    <t xml:space="preserve">RADICHETA </t>
  </si>
  <si>
    <t xml:space="preserve">RUCULA    </t>
  </si>
  <si>
    <t xml:space="preserve">DISAGRO        </t>
  </si>
  <si>
    <t xml:space="preserve">PRODUCOM S     </t>
  </si>
  <si>
    <t xml:space="preserve">JD        </t>
  </si>
  <si>
    <t xml:space="preserve">3 JD      </t>
  </si>
  <si>
    <t xml:space="preserve">AGRO LA PL     </t>
  </si>
  <si>
    <t xml:space="preserve">56        </t>
  </si>
  <si>
    <t xml:space="preserve">33        </t>
  </si>
  <si>
    <t xml:space="preserve">28        </t>
  </si>
  <si>
    <t>DURAZNO PI</t>
  </si>
  <si>
    <t>CIRUELA EM</t>
  </si>
  <si>
    <t xml:space="preserve">GRANEL    </t>
  </si>
  <si>
    <t xml:space="preserve">SANDIA    </t>
  </si>
  <si>
    <t xml:space="preserve">LECHUGA   </t>
  </si>
  <si>
    <t xml:space="preserve">EMBALADO  </t>
  </si>
  <si>
    <t xml:space="preserve">CECCETO        </t>
  </si>
  <si>
    <t xml:space="preserve">CAVENDISH </t>
  </si>
  <si>
    <t xml:space="preserve">SALVITA   </t>
  </si>
  <si>
    <t xml:space="preserve">COFRUSUD S     </t>
  </si>
  <si>
    <t xml:space="preserve">138       </t>
  </si>
  <si>
    <t xml:space="preserve">WILLIAM'S </t>
  </si>
  <si>
    <t xml:space="preserve">PRIMERA CO     </t>
  </si>
  <si>
    <t xml:space="preserve">LARRY ANN </t>
  </si>
  <si>
    <t xml:space="preserve">COMCIAL   </t>
  </si>
  <si>
    <t xml:space="preserve">GIFFAR    </t>
  </si>
  <si>
    <t xml:space="preserve">FEM            </t>
  </si>
  <si>
    <t>LIMON LIMA</t>
  </si>
  <si>
    <t xml:space="preserve">UVA PILAR </t>
  </si>
  <si>
    <t xml:space="preserve">ACCO      </t>
  </si>
  <si>
    <t xml:space="preserve">12        </t>
  </si>
  <si>
    <t xml:space="preserve">SPECIAL FR     </t>
  </si>
  <si>
    <t>MANGO CAJA</t>
  </si>
  <si>
    <t>MI CRESPA-</t>
  </si>
  <si>
    <t>SALANOVA M</t>
  </si>
  <si>
    <t xml:space="preserve">SEG       </t>
  </si>
  <si>
    <t>CHAMPIGNON</t>
  </si>
  <si>
    <t>BANANA PIL</t>
  </si>
  <si>
    <t>ARTIC SNOW</t>
  </si>
  <si>
    <t>RED BARTLE</t>
  </si>
  <si>
    <t xml:space="preserve">BELFRUT S.     </t>
  </si>
  <si>
    <t>PALTA EXPE</t>
  </si>
  <si>
    <t>PELON EMBA</t>
  </si>
  <si>
    <t>AUGUST RED</t>
  </si>
  <si>
    <t>CIRUELA GR</t>
  </si>
  <si>
    <t xml:space="preserve">SUN GOLD  </t>
  </si>
  <si>
    <t xml:space="preserve">35        </t>
  </si>
  <si>
    <t>PELON GRAN</t>
  </si>
  <si>
    <t xml:space="preserve">AGUST RED </t>
  </si>
  <si>
    <t xml:space="preserve">LEGACY    </t>
  </si>
  <si>
    <t xml:space="preserve">DIMIMAX S.     </t>
  </si>
  <si>
    <t xml:space="preserve">SANCHEZ Y      </t>
  </si>
  <si>
    <t xml:space="preserve">OMBLIGO   </t>
  </si>
  <si>
    <t xml:space="preserve">BORMAR S.A     </t>
  </si>
  <si>
    <t xml:space="preserve">VILLA MAR      </t>
  </si>
  <si>
    <t>UVA LIRIOS</t>
  </si>
  <si>
    <t xml:space="preserve">LOS LIRIOS     </t>
  </si>
  <si>
    <t xml:space="preserve">SUN DEW   </t>
  </si>
  <si>
    <t xml:space="preserve">SERRA          </t>
  </si>
  <si>
    <t>MOSCATEL R</t>
  </si>
  <si>
    <t xml:space="preserve">DON TOMAS      </t>
  </si>
  <si>
    <t xml:space="preserve">GESTIONES      </t>
  </si>
  <si>
    <t xml:space="preserve">PACKHAM'S </t>
  </si>
  <si>
    <t>SALANOVA V</t>
  </si>
  <si>
    <t xml:space="preserve">L.VIDA    </t>
  </si>
  <si>
    <t xml:space="preserve">LINDA S.R.     </t>
  </si>
  <si>
    <t xml:space="preserve">MDR CORONA     </t>
  </si>
  <si>
    <t xml:space="preserve">KILOS     </t>
  </si>
  <si>
    <t xml:space="preserve">CATII     </t>
  </si>
  <si>
    <t xml:space="preserve">20        </t>
  </si>
  <si>
    <t xml:space="preserve">34        </t>
  </si>
  <si>
    <t>SWEET SEPT</t>
  </si>
  <si>
    <t xml:space="preserve">CRESPY    </t>
  </si>
  <si>
    <t xml:space="preserve">MANTECOSA </t>
  </si>
  <si>
    <t xml:space="preserve">THOMPSON  </t>
  </si>
  <si>
    <t xml:space="preserve">EXPORTADOR     </t>
  </si>
  <si>
    <t xml:space="preserve">XL        </t>
  </si>
  <si>
    <t>LATE DWARF</t>
  </si>
  <si>
    <t xml:space="preserve">PLATEAU   </t>
  </si>
  <si>
    <t xml:space="preserve">FRUTILLA  </t>
  </si>
  <si>
    <t xml:space="preserve">S.FE      </t>
  </si>
  <si>
    <t>TOMATE PIL</t>
  </si>
  <si>
    <t xml:space="preserve">CAT 2     </t>
  </si>
  <si>
    <t xml:space="preserve">64        </t>
  </si>
  <si>
    <t xml:space="preserve">VALENCIA  </t>
  </si>
  <si>
    <t xml:space="preserve">26        </t>
  </si>
  <si>
    <t xml:space="preserve">ALBAMAR de     </t>
  </si>
  <si>
    <t xml:space="preserve">DULCE     </t>
  </si>
  <si>
    <t>UVA ANTERI</t>
  </si>
  <si>
    <t xml:space="preserve">COM Y EMP      </t>
  </si>
  <si>
    <t xml:space="preserve">RUGIERI E      </t>
  </si>
  <si>
    <t xml:space="preserve">MORA      </t>
  </si>
  <si>
    <t xml:space="preserve">GUILLERMO      </t>
  </si>
  <si>
    <t xml:space="preserve">FRUGLOBE S     </t>
  </si>
  <si>
    <t xml:space="preserve">ZAMORA, DI     </t>
  </si>
  <si>
    <t xml:space="preserve">PAVIA     </t>
  </si>
  <si>
    <t xml:space="preserve">28-35     </t>
  </si>
  <si>
    <t xml:space="preserve">AUTUMN G. </t>
  </si>
  <si>
    <t xml:space="preserve">40-44     </t>
  </si>
  <si>
    <t xml:space="preserve">35-40     </t>
  </si>
  <si>
    <t>CAJA C/PAQ</t>
  </si>
  <si>
    <t xml:space="preserve">RIBETTI MI     </t>
  </si>
  <si>
    <t xml:space="preserve">FRASCO    </t>
  </si>
  <si>
    <t xml:space="preserve">DINEVIS S.     </t>
  </si>
  <si>
    <t xml:space="preserve">96        </t>
  </si>
  <si>
    <t xml:space="preserve">CANASTO   </t>
  </si>
  <si>
    <t>ABATE FETE</t>
  </si>
  <si>
    <t xml:space="preserve">FAIRLANE  </t>
  </si>
  <si>
    <t>DOS ARCADA</t>
  </si>
  <si>
    <t xml:space="preserve">MEMBRILLO </t>
  </si>
  <si>
    <t xml:space="preserve">SMYRNA    </t>
  </si>
  <si>
    <t xml:space="preserve">ISFRAN         </t>
  </si>
  <si>
    <t xml:space="preserve">POLAR FRUI     </t>
  </si>
  <si>
    <t xml:space="preserve">CAJA      </t>
  </si>
  <si>
    <t xml:space="preserve">PALMER    </t>
  </si>
  <si>
    <t xml:space="preserve">CAMPO DORA     </t>
  </si>
  <si>
    <t xml:space="preserve">C/BJA     </t>
  </si>
  <si>
    <t>BLACK FANT</t>
  </si>
  <si>
    <t xml:space="preserve">TOP RED   </t>
  </si>
  <si>
    <t>PALTA AZUL</t>
  </si>
  <si>
    <t xml:space="preserve">24        </t>
  </si>
  <si>
    <t xml:space="preserve">28-34     </t>
  </si>
  <si>
    <t xml:space="preserve">WESTFALIA </t>
  </si>
  <si>
    <t xml:space="preserve">PATAGONIAN     </t>
  </si>
  <si>
    <t xml:space="preserve">CIA INDUST     </t>
  </si>
  <si>
    <t xml:space="preserve">EMBALADA  </t>
  </si>
  <si>
    <t xml:space="preserve">KAKY      </t>
  </si>
  <si>
    <t xml:space="preserve">RULLO HNOS     </t>
  </si>
  <si>
    <t xml:space="preserve">MAGRABI AG     </t>
  </si>
  <si>
    <t>NARANJA  C</t>
  </si>
  <si>
    <t xml:space="preserve">6         </t>
  </si>
  <si>
    <t xml:space="preserve">N 7       </t>
  </si>
  <si>
    <t xml:space="preserve">NAIRDA S.A     </t>
  </si>
  <si>
    <t xml:space="preserve">UVA COMUN </t>
  </si>
  <si>
    <t xml:space="preserve">GENOVA    </t>
  </si>
  <si>
    <t xml:space="preserve">STAR RUBY </t>
  </si>
  <si>
    <t>POMELO PIL</t>
  </si>
  <si>
    <t xml:space="preserve">IFCO      </t>
  </si>
  <si>
    <t>SUPER CHIE</t>
  </si>
  <si>
    <t xml:space="preserve">AGRO ALIAN     </t>
  </si>
  <si>
    <t xml:space="preserve">CRUNCH    </t>
  </si>
  <si>
    <t xml:space="preserve">T.5       </t>
  </si>
  <si>
    <t xml:space="preserve">APEK S.R.L     </t>
  </si>
  <si>
    <t xml:space="preserve">SANTA ROSA     </t>
  </si>
  <si>
    <t xml:space="preserve">AGATA     </t>
  </si>
  <si>
    <t xml:space="preserve">MORAS     </t>
  </si>
  <si>
    <t xml:space="preserve">CECHETO        </t>
  </si>
  <si>
    <t xml:space="preserve">GUSTAVO AL     </t>
  </si>
  <si>
    <t xml:space="preserve">VISION JUJ     </t>
  </si>
  <si>
    <t xml:space="preserve">REPOLLITO </t>
  </si>
  <si>
    <t xml:space="preserve">BRUSELA   </t>
  </si>
  <si>
    <t>FRASCO CHI</t>
  </si>
  <si>
    <t>FRASCO GRA</t>
  </si>
  <si>
    <t xml:space="preserve">CUBETA    </t>
  </si>
  <si>
    <t xml:space="preserve">PACK      </t>
  </si>
  <si>
    <t>NARANJA MA</t>
  </si>
  <si>
    <t xml:space="preserve">GABRI NELI     </t>
  </si>
  <si>
    <t xml:space="preserve">9         </t>
  </si>
  <si>
    <t>CALIFORNIA</t>
  </si>
  <si>
    <t xml:space="preserve">100       </t>
  </si>
  <si>
    <t xml:space="preserve">COPEFRUT S     </t>
  </si>
  <si>
    <t xml:space="preserve">A.ROCKY S.     </t>
  </si>
  <si>
    <t xml:space="preserve">GUAYABA   </t>
  </si>
  <si>
    <t xml:space="preserve">EL CURUPYd     </t>
  </si>
  <si>
    <t>NARANJA PI</t>
  </si>
  <si>
    <t xml:space="preserve">CARLINO AL     </t>
  </si>
  <si>
    <t xml:space="preserve">ER        </t>
  </si>
  <si>
    <t>MORRON PIL</t>
  </si>
  <si>
    <t xml:space="preserve">RED TOP   </t>
  </si>
  <si>
    <t xml:space="preserve">UVA CAJA  </t>
  </si>
  <si>
    <t xml:space="preserve">CRUNCHY   </t>
  </si>
  <si>
    <t xml:space="preserve">LG        </t>
  </si>
  <si>
    <t>BLANCO FRA</t>
  </si>
  <si>
    <t>ROJA SIN S</t>
  </si>
  <si>
    <t xml:space="preserve">NEGRA SIN </t>
  </si>
  <si>
    <t>UVA SIN SE</t>
  </si>
  <si>
    <t xml:space="preserve">25        </t>
  </si>
  <si>
    <t xml:space="preserve">EXPOR FRUG     </t>
  </si>
  <si>
    <t xml:space="preserve">ORIGEN NAT     </t>
  </si>
  <si>
    <t>MANZANA PI</t>
  </si>
  <si>
    <t xml:space="preserve">CELESTINO </t>
  </si>
  <si>
    <t xml:space="preserve">GARCIA Y G     </t>
  </si>
  <si>
    <t xml:space="preserve">T.24      </t>
  </si>
  <si>
    <t xml:space="preserve">CONSTANZA </t>
  </si>
  <si>
    <t xml:space="preserve">TUNICHE FR     </t>
  </si>
  <si>
    <t xml:space="preserve">80        </t>
  </si>
  <si>
    <t xml:space="preserve">LIMA CAJA </t>
  </si>
  <si>
    <t xml:space="preserve">23        </t>
  </si>
  <si>
    <t xml:space="preserve">T.30      </t>
  </si>
  <si>
    <t xml:space="preserve">ETTINGER  </t>
  </si>
  <si>
    <t xml:space="preserve">26-24     </t>
  </si>
  <si>
    <t xml:space="preserve">GUAYAL S.A     </t>
  </si>
  <si>
    <t>PALTA BRAS</t>
  </si>
  <si>
    <t>CHERRY NEG</t>
  </si>
  <si>
    <t xml:space="preserve">KUMATO    </t>
  </si>
  <si>
    <t xml:space="preserve">EL KAISER      </t>
  </si>
  <si>
    <t xml:space="preserve">CCIAL     </t>
  </si>
  <si>
    <t xml:space="preserve">ESPINACA  </t>
  </si>
  <si>
    <t xml:space="preserve">FUYU      </t>
  </si>
  <si>
    <t xml:space="preserve">MANDARINA </t>
  </si>
  <si>
    <t>HAYWARD NA</t>
  </si>
  <si>
    <t xml:space="preserve">EL PANQUEQ     </t>
  </si>
  <si>
    <t xml:space="preserve">SEGUNDA   </t>
  </si>
  <si>
    <t>GRANNY PIL</t>
  </si>
  <si>
    <t>RAF COLORA</t>
  </si>
  <si>
    <t xml:space="preserve">NEGRO     </t>
  </si>
  <si>
    <t xml:space="preserve">LIMONTUC S     </t>
  </si>
  <si>
    <t xml:space="preserve">90        </t>
  </si>
  <si>
    <t xml:space="preserve">ARRA 15   </t>
  </si>
  <si>
    <t xml:space="preserve">SERRA BRAN     </t>
  </si>
  <si>
    <t xml:space="preserve">JUBILEE   </t>
  </si>
  <si>
    <t xml:space="preserve">SUGAR     </t>
  </si>
  <si>
    <t xml:space="preserve">CC/CUB    </t>
  </si>
  <si>
    <t>SUGAR CRIS</t>
  </si>
  <si>
    <t>UVA CUBETA</t>
  </si>
  <si>
    <t xml:space="preserve">T 7       </t>
  </si>
  <si>
    <t xml:space="preserve">BERRIES        </t>
  </si>
  <si>
    <t xml:space="preserve">BERRIES ME     </t>
  </si>
  <si>
    <t xml:space="preserve">T 12      </t>
  </si>
  <si>
    <t>RACIMO PER</t>
  </si>
  <si>
    <t>LIMON PILA</t>
  </si>
  <si>
    <t xml:space="preserve">SIMONELLI      </t>
  </si>
  <si>
    <t>PERITA PIL</t>
  </si>
  <si>
    <t xml:space="preserve">BEAUTY    </t>
  </si>
  <si>
    <t xml:space="preserve">RAF PILAR </t>
  </si>
  <si>
    <t xml:space="preserve">HUERTA SAN     </t>
  </si>
  <si>
    <t xml:space="preserve">BAIA      </t>
  </si>
  <si>
    <t>MANZANA SU</t>
  </si>
  <si>
    <t>RED DELICI</t>
  </si>
  <si>
    <t xml:space="preserve">ROSMI          </t>
  </si>
  <si>
    <t xml:space="preserve">T.7       </t>
  </si>
  <si>
    <t>CAJA BLANC</t>
  </si>
  <si>
    <t xml:space="preserve">BJA       </t>
  </si>
  <si>
    <t>RAF VIOLET</t>
  </si>
  <si>
    <t xml:space="preserve">RAF COMUN </t>
  </si>
  <si>
    <t>PALTA PILA</t>
  </si>
  <si>
    <t xml:space="preserve">T.22      </t>
  </si>
  <si>
    <t>HASS MEDIA</t>
  </si>
  <si>
    <t xml:space="preserve">RED CHILE </t>
  </si>
  <si>
    <t xml:space="preserve">T.80      </t>
  </si>
  <si>
    <t xml:space="preserve">SOUTH FARM     </t>
  </si>
  <si>
    <t>REDONDO PI</t>
  </si>
  <si>
    <t>RAFF VIOLE</t>
  </si>
  <si>
    <t>RACIMO NEG</t>
  </si>
  <si>
    <t xml:space="preserve">LISBOA    </t>
  </si>
  <si>
    <t>HASS CANAS</t>
  </si>
  <si>
    <t xml:space="preserve">EL PAMPERO     </t>
  </si>
  <si>
    <t xml:space="preserve">T.27      </t>
  </si>
  <si>
    <t xml:space="preserve">INVERSIONE     </t>
  </si>
  <si>
    <t xml:space="preserve">T.50      </t>
  </si>
  <si>
    <t xml:space="preserve">HIJOS DE S     </t>
  </si>
  <si>
    <t>PORTOBELO/</t>
  </si>
  <si>
    <t>BANDEJA AZ</t>
  </si>
  <si>
    <t>BENDEJA VE</t>
  </si>
  <si>
    <t xml:space="preserve">BRUSELLA  </t>
  </si>
  <si>
    <t xml:space="preserve">T.18      </t>
  </si>
  <si>
    <t>RACIMO ROJ</t>
  </si>
  <si>
    <t xml:space="preserve">SCARLOTA  </t>
  </si>
  <si>
    <t xml:space="preserve">PROCONFRUT     </t>
  </si>
  <si>
    <t>AUTUN CRIS</t>
  </si>
  <si>
    <t>COMUN ROJO</t>
  </si>
  <si>
    <t>COMUN NEGR</t>
  </si>
  <si>
    <t>HASS PROPA</t>
  </si>
  <si>
    <t xml:space="preserve">NACIONAL  </t>
  </si>
  <si>
    <t xml:space="preserve">PINTO     </t>
  </si>
  <si>
    <t xml:space="preserve">RAMA ROJO </t>
  </si>
  <si>
    <t>RAMA NEGRO</t>
  </si>
  <si>
    <t xml:space="preserve">RAF ROSA  </t>
  </si>
  <si>
    <t xml:space="preserve">"XL"      </t>
  </si>
  <si>
    <t xml:space="preserve">ELEG      </t>
  </si>
  <si>
    <t xml:space="preserve">T23       </t>
  </si>
  <si>
    <t>CRIMSON CU</t>
  </si>
  <si>
    <t xml:space="preserve">WESTFALIA      </t>
  </si>
  <si>
    <t xml:space="preserve">RAF NEGRO </t>
  </si>
  <si>
    <t>VERDE PERU</t>
  </si>
  <si>
    <t xml:space="preserve">AGRO APAZA     </t>
  </si>
  <si>
    <t xml:space="preserve">PAPINES   </t>
  </si>
  <si>
    <t>PERA MEDIA</t>
  </si>
  <si>
    <t xml:space="preserve">DON JAIME      </t>
  </si>
  <si>
    <t>RAF AMARIL</t>
  </si>
  <si>
    <t xml:space="preserve">JB        </t>
  </si>
  <si>
    <t>AMARILLO S</t>
  </si>
  <si>
    <t xml:space="preserve">DINA INDUS     </t>
  </si>
  <si>
    <t>AMARILLO C</t>
  </si>
  <si>
    <t xml:space="preserve">100-120   </t>
  </si>
  <si>
    <t xml:space="preserve">SALVITA        </t>
  </si>
  <si>
    <t xml:space="preserve">PAQUETE   </t>
  </si>
  <si>
    <t xml:space="preserve">XIMA S.H       </t>
  </si>
  <si>
    <t xml:space="preserve">ROSADO    </t>
  </si>
  <si>
    <t xml:space="preserve">18        </t>
  </si>
  <si>
    <t xml:space="preserve">BABY      </t>
  </si>
  <si>
    <t xml:space="preserve">PROCOM         </t>
  </si>
  <si>
    <t xml:space="preserve">BONELLA        </t>
  </si>
  <si>
    <t xml:space="preserve">PAPA      </t>
  </si>
  <si>
    <t>AGATA FRAC</t>
  </si>
  <si>
    <t xml:space="preserve">YUPAFOOD L     </t>
  </si>
  <si>
    <t xml:space="preserve">11        </t>
  </si>
  <si>
    <t xml:space="preserve">AMARILLA  </t>
  </si>
  <si>
    <t xml:space="preserve">" L "     </t>
  </si>
  <si>
    <t xml:space="preserve">AGROPECUAR     </t>
  </si>
  <si>
    <t>RED SUP CH</t>
  </si>
  <si>
    <t xml:space="preserve">PUTRUELE C     </t>
  </si>
  <si>
    <t>NUEVA ZELA</t>
  </si>
  <si>
    <t xml:space="preserve">ZESPRI INT     </t>
  </si>
  <si>
    <t xml:space="preserve">LA MISION      </t>
  </si>
  <si>
    <t>MELON COMU</t>
  </si>
  <si>
    <t>AMARILLA S</t>
  </si>
  <si>
    <t xml:space="preserve">RABANITO  </t>
  </si>
  <si>
    <t>BLACK SPLE</t>
  </si>
  <si>
    <t xml:space="preserve">45        </t>
  </si>
  <si>
    <t xml:space="preserve">FRUTINA IM     </t>
  </si>
  <si>
    <t xml:space="preserve">55-60     </t>
  </si>
  <si>
    <t xml:space="preserve">PALTA CAT </t>
  </si>
  <si>
    <t xml:space="preserve">SU HUERTA      </t>
  </si>
  <si>
    <t xml:space="preserve">CAJA AZUL </t>
  </si>
  <si>
    <t>NEGRO COMU</t>
  </si>
  <si>
    <t xml:space="preserve">CORPAG         </t>
  </si>
  <si>
    <t xml:space="preserve">GLOBAL SRL     </t>
  </si>
  <si>
    <t xml:space="preserve">T.20      </t>
  </si>
  <si>
    <t xml:space="preserve">CAMINO FER     </t>
  </si>
  <si>
    <t xml:space="preserve">GAJO`S DE      </t>
  </si>
  <si>
    <t xml:space="preserve">C/CUB 8   </t>
  </si>
  <si>
    <t xml:space="preserve">55        </t>
  </si>
  <si>
    <t xml:space="preserve">GRUPO CAST     </t>
  </si>
  <si>
    <t xml:space="preserve">RUBY RUSH </t>
  </si>
  <si>
    <t>RACIMO PIN</t>
  </si>
  <si>
    <t>RACIMO RED</t>
  </si>
  <si>
    <t xml:space="preserve">T.33      </t>
  </si>
  <si>
    <t xml:space="preserve">OTAVIO RES     </t>
  </si>
  <si>
    <t xml:space="preserve">CAT II    </t>
  </si>
  <si>
    <t>RACIMO VIO</t>
  </si>
  <si>
    <t xml:space="preserve">REDIGO &amp; C     </t>
  </si>
  <si>
    <t xml:space="preserve">LAVADA    </t>
  </si>
  <si>
    <t xml:space="preserve">16-18-20  </t>
  </si>
  <si>
    <t xml:space="preserve">10-12-14  </t>
  </si>
  <si>
    <t xml:space="preserve">10-14     </t>
  </si>
  <si>
    <t xml:space="preserve">16-20     </t>
  </si>
  <si>
    <t xml:space="preserve">22-26     </t>
  </si>
  <si>
    <t xml:space="preserve">28-32     </t>
  </si>
  <si>
    <t>CHERRY RAC</t>
  </si>
  <si>
    <t xml:space="preserve">FRUTILLAR      </t>
  </si>
  <si>
    <t xml:space="preserve">4         </t>
  </si>
  <si>
    <t>BANANA BOL</t>
  </si>
  <si>
    <t xml:space="preserve">BOLSONELLA     </t>
  </si>
  <si>
    <t xml:space="preserve">PACKHAM S </t>
  </si>
  <si>
    <t xml:space="preserve">SHOPPING  </t>
  </si>
  <si>
    <t>ROJO COMUN</t>
  </si>
  <si>
    <t xml:space="preserve">FINCA EL R     </t>
  </si>
  <si>
    <t>BLACK GOLD</t>
  </si>
  <si>
    <t xml:space="preserve">60-65     </t>
  </si>
  <si>
    <t>CRIMSON GL</t>
  </si>
  <si>
    <t>PRIME TIME</t>
  </si>
  <si>
    <t xml:space="preserve">INKA SELEC     </t>
  </si>
  <si>
    <t xml:space="preserve">POTIS SRL      </t>
  </si>
  <si>
    <t>PALTA NUEV</t>
  </si>
  <si>
    <t xml:space="preserve">VIOLETA   </t>
  </si>
  <si>
    <t>REDONDO RO</t>
  </si>
  <si>
    <t xml:space="preserve">MARIA MARI     </t>
  </si>
  <si>
    <t xml:space="preserve">ARRA      </t>
  </si>
  <si>
    <t xml:space="preserve">T.25      </t>
  </si>
  <si>
    <t xml:space="preserve">CIRUELE   </t>
  </si>
  <si>
    <t xml:space="preserve">CEBOLLA   </t>
  </si>
  <si>
    <t>SUGRA ROJA</t>
  </si>
  <si>
    <t xml:space="preserve">SEMENTE   </t>
  </si>
  <si>
    <t xml:space="preserve">CAMPOSOL S     </t>
  </si>
  <si>
    <t xml:space="preserve">GOLDEN    </t>
  </si>
  <si>
    <t xml:space="preserve">TIFANI    </t>
  </si>
  <si>
    <t xml:space="preserve">RAF VERDE </t>
  </si>
  <si>
    <t>Total AGUA DE CO</t>
  </si>
  <si>
    <t xml:space="preserve">Total AJI       </t>
  </si>
  <si>
    <t xml:space="preserve">Total ARANDANO  </t>
  </si>
  <si>
    <t xml:space="preserve">Total BANANA    </t>
  </si>
  <si>
    <t xml:space="preserve">Total BERENJENA </t>
  </si>
  <si>
    <t xml:space="preserve">Total CEREZA    </t>
  </si>
  <si>
    <t>Total CHAMPIG¥ON</t>
  </si>
  <si>
    <t xml:space="preserve">Total CHIRIMOYA </t>
  </si>
  <si>
    <t xml:space="preserve">Total CIRUELA   </t>
  </si>
  <si>
    <t xml:space="preserve">Total COCO      </t>
  </si>
  <si>
    <t xml:space="preserve">Total DURAZNO   </t>
  </si>
  <si>
    <t xml:space="preserve">Total ESPARRAGO </t>
  </si>
  <si>
    <t xml:space="preserve">Total GRANADA   </t>
  </si>
  <si>
    <t xml:space="preserve">Total HIGO      </t>
  </si>
  <si>
    <t xml:space="preserve">Total JENGIBRE  </t>
  </si>
  <si>
    <t xml:space="preserve">Total KIWI      </t>
  </si>
  <si>
    <t xml:space="preserve">Total LIMA      </t>
  </si>
  <si>
    <t>Total LIMA MALLA</t>
  </si>
  <si>
    <t xml:space="preserve">Total LIMON     </t>
  </si>
  <si>
    <t>Total LIMON NUEV</t>
  </si>
  <si>
    <t xml:space="preserve">Total MAMON     </t>
  </si>
  <si>
    <t>Total MAMON MALL</t>
  </si>
  <si>
    <t>Total MANGO NO T</t>
  </si>
  <si>
    <t xml:space="preserve">Total MANZANA   </t>
  </si>
  <si>
    <t xml:space="preserve">Total MARACUYA  </t>
  </si>
  <si>
    <t xml:space="preserve">Total MELON     </t>
  </si>
  <si>
    <t xml:space="preserve">Total MORRON    </t>
  </si>
  <si>
    <t xml:space="preserve">Total NARANJA   </t>
  </si>
  <si>
    <t xml:space="preserve">Total PALTA     </t>
  </si>
  <si>
    <t>Total PALTA EL P</t>
  </si>
  <si>
    <t>Total PALTA EXP-</t>
  </si>
  <si>
    <t>Total PALTA SCHM</t>
  </si>
  <si>
    <t xml:space="preserve">Total PAPIN     </t>
  </si>
  <si>
    <t xml:space="preserve">Total PELON     </t>
  </si>
  <si>
    <t xml:space="preserve">Total PEPINO    </t>
  </si>
  <si>
    <t xml:space="preserve">Total PERA      </t>
  </si>
  <si>
    <t xml:space="preserve">Total PI¥A      </t>
  </si>
  <si>
    <t xml:space="preserve">Total PITAHAYA  </t>
  </si>
  <si>
    <t xml:space="preserve">Total POMELO    </t>
  </si>
  <si>
    <t>Total PORTOBELLO</t>
  </si>
  <si>
    <t xml:space="preserve">Total TOMATE    </t>
  </si>
  <si>
    <t xml:space="preserve">Total UVA       </t>
  </si>
  <si>
    <t xml:space="preserve">Total ZAPALLITO </t>
  </si>
  <si>
    <t xml:space="preserve">Total CHERRY    </t>
  </si>
  <si>
    <t xml:space="preserve">Total MANGO     </t>
  </si>
  <si>
    <t>Total PAPIN FRAC</t>
  </si>
  <si>
    <t>Total LIMON YUCH</t>
  </si>
  <si>
    <t>Total PARRILLERO</t>
  </si>
  <si>
    <t xml:space="preserve">Total CRESPA    </t>
  </si>
  <si>
    <t xml:space="preserve">Total MANTECA   </t>
  </si>
  <si>
    <t xml:space="preserve">Total MORADA    </t>
  </si>
  <si>
    <t>Total SALANOVA H</t>
  </si>
  <si>
    <t xml:space="preserve">Total CRISPY    </t>
  </si>
  <si>
    <t xml:space="preserve">Total ALBAHACA  </t>
  </si>
  <si>
    <t xml:space="preserve">Total BERRO     </t>
  </si>
  <si>
    <t>Total CIRUELA PI</t>
  </si>
  <si>
    <t>Total CRESPA -MO</t>
  </si>
  <si>
    <t xml:space="preserve">Total RADICHETA </t>
  </si>
  <si>
    <t xml:space="preserve">Total RUCULA    </t>
  </si>
  <si>
    <t>Total DURAZNO PI</t>
  </si>
  <si>
    <t>Total CIRUELA EM</t>
  </si>
  <si>
    <t xml:space="preserve">Total SANDIA    </t>
  </si>
  <si>
    <t xml:space="preserve">Total LECHUGA   </t>
  </si>
  <si>
    <t>Total LIMON LIMA</t>
  </si>
  <si>
    <t xml:space="preserve">Total UVA PILAR </t>
  </si>
  <si>
    <t>Total MANGO CAJA</t>
  </si>
  <si>
    <t>Total MI CRESPA-</t>
  </si>
  <si>
    <t>Total SALANOVA M</t>
  </si>
  <si>
    <t>Total CHAMPIGNON</t>
  </si>
  <si>
    <t>Total BANANA PIL</t>
  </si>
  <si>
    <t>Total PALTA EXPE</t>
  </si>
  <si>
    <t>Total PELON EMBA</t>
  </si>
  <si>
    <t>Total CIRUELA GR</t>
  </si>
  <si>
    <t>Total PELON GRAN</t>
  </si>
  <si>
    <t>Total UVA LIRIOS</t>
  </si>
  <si>
    <t>Total SALANOVA V</t>
  </si>
  <si>
    <t xml:space="preserve">Total FRUTILLA  </t>
  </si>
  <si>
    <t>Total TOMATE PIL</t>
  </si>
  <si>
    <t>Total UVA ANTERI</t>
  </si>
  <si>
    <t xml:space="preserve">Total MORA      </t>
  </si>
  <si>
    <t xml:space="preserve">Total MEMBRILLO </t>
  </si>
  <si>
    <t>Total PALTA AZUL</t>
  </si>
  <si>
    <t xml:space="preserve">Total KAKY      </t>
  </si>
  <si>
    <t>Total NARANJA  C</t>
  </si>
  <si>
    <t xml:space="preserve">Total UVA COMUN </t>
  </si>
  <si>
    <t>Total POMELO PIL</t>
  </si>
  <si>
    <t xml:space="preserve">Total MORAS     </t>
  </si>
  <si>
    <t xml:space="preserve">Total REPOLLITO </t>
  </si>
  <si>
    <t>Total FRASCO CHI</t>
  </si>
  <si>
    <t>Total FRASCO GRA</t>
  </si>
  <si>
    <t>Total NARANJA MA</t>
  </si>
  <si>
    <t xml:space="preserve">Total GUAYABA   </t>
  </si>
  <si>
    <t>Total NARANJA PI</t>
  </si>
  <si>
    <t>Total MORRON PIL</t>
  </si>
  <si>
    <t xml:space="preserve">Total UVA CAJA  </t>
  </si>
  <si>
    <t>Total UVA SIN SE</t>
  </si>
  <si>
    <t>Total MANZANA PI</t>
  </si>
  <si>
    <t xml:space="preserve">Total LIMA CAJA </t>
  </si>
  <si>
    <t>Total PALTA BRAS</t>
  </si>
  <si>
    <t>Total CHERRY NEG</t>
  </si>
  <si>
    <t xml:space="preserve">Total ESPINACA  </t>
  </si>
  <si>
    <t xml:space="preserve">Total MANDARINA </t>
  </si>
  <si>
    <t>Total UVA CUBETA</t>
  </si>
  <si>
    <t>Total LIMON PILA</t>
  </si>
  <si>
    <t>Total MANZANA SU</t>
  </si>
  <si>
    <t>Total PALTA PILA</t>
  </si>
  <si>
    <t>Total PORTOBELO/</t>
  </si>
  <si>
    <t xml:space="preserve">Total BRUSELLA  </t>
  </si>
  <si>
    <t xml:space="preserve">Total BRUSELA   </t>
  </si>
  <si>
    <t xml:space="preserve">Total PAPINES   </t>
  </si>
  <si>
    <t>Total PERA MEDIA</t>
  </si>
  <si>
    <t xml:space="preserve">Total PAPA      </t>
  </si>
  <si>
    <t>Total MELON COMU</t>
  </si>
  <si>
    <t xml:space="preserve">Total RABANITO  </t>
  </si>
  <si>
    <t xml:space="preserve">Total PALTA CAT </t>
  </si>
  <si>
    <t>Total CHERRY RAC</t>
  </si>
  <si>
    <t>Total BANANA BOL</t>
  </si>
  <si>
    <t>Total PALTA NUEV</t>
  </si>
  <si>
    <t xml:space="preserve">Total CEBOLLA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</si>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</sst>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11"/>
  <sheetViews>
    <sheetView tabSelected="1" workbookViewId="0">
      <selection activeCell="O5611" sqref="O5611"/>
    </sheetView>
  </sheetViews>
  <sheetFormatPr baseColWidth="10" defaultRowHeight="11.25" outlineLevelRow="2" x14ac:dyDescent="0.2"/>
  <cols>
    <col min="1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</row>
    <row r="5" spans="1:16" outlineLevel="2" x14ac:dyDescent="0.2">
      <c r="A5" s="5">
        <v>46006</v>
      </c>
      <c r="B5" s="2">
        <v>155083</v>
      </c>
      <c r="C5" s="2">
        <v>1</v>
      </c>
      <c r="D5" s="2" t="s">
        <v>81</v>
      </c>
      <c r="E5" s="2" t="s">
        <v>23</v>
      </c>
      <c r="F5" s="2" t="s">
        <v>40</v>
      </c>
      <c r="G5" s="2" t="s">
        <v>22</v>
      </c>
      <c r="H5" s="2" t="s">
        <v>23</v>
      </c>
      <c r="I5" s="2" t="s">
        <v>23</v>
      </c>
      <c r="J5" s="2">
        <v>1</v>
      </c>
      <c r="K5" s="2" t="s">
        <v>24</v>
      </c>
      <c r="L5" s="2">
        <v>2521</v>
      </c>
      <c r="M5" s="2" t="s">
        <v>82</v>
      </c>
      <c r="N5" s="2">
        <v>29</v>
      </c>
      <c r="O5" s="2">
        <v>933076.43</v>
      </c>
      <c r="P5" s="2">
        <v>32175.05</v>
      </c>
    </row>
    <row r="6" spans="1:16" outlineLevel="2" x14ac:dyDescent="0.2">
      <c r="A6" s="5">
        <v>46017</v>
      </c>
      <c r="B6" s="2">
        <v>155526</v>
      </c>
      <c r="C6" s="2">
        <v>1</v>
      </c>
      <c r="D6" s="2" t="s">
        <v>81</v>
      </c>
      <c r="E6" s="2" t="s">
        <v>23</v>
      </c>
      <c r="F6" s="2" t="s">
        <v>40</v>
      </c>
      <c r="G6" s="2" t="s">
        <v>22</v>
      </c>
      <c r="H6" s="2" t="s">
        <v>23</v>
      </c>
      <c r="I6" s="2" t="s">
        <v>23</v>
      </c>
      <c r="J6" s="2">
        <v>1</v>
      </c>
      <c r="K6" s="2" t="s">
        <v>24</v>
      </c>
      <c r="L6" s="2">
        <v>2521</v>
      </c>
      <c r="M6" s="2" t="s">
        <v>82</v>
      </c>
      <c r="N6" s="2">
        <v>130</v>
      </c>
      <c r="O6" s="2">
        <v>4105164.71</v>
      </c>
      <c r="P6" s="2">
        <v>31578.19</v>
      </c>
    </row>
    <row r="7" spans="1:16" outlineLevel="2" x14ac:dyDescent="0.2">
      <c r="A7" s="5">
        <v>46059</v>
      </c>
      <c r="B7" s="2">
        <v>155615</v>
      </c>
      <c r="C7" s="2">
        <v>2</v>
      </c>
      <c r="D7" s="2" t="s">
        <v>81</v>
      </c>
      <c r="E7" s="2" t="s">
        <v>23</v>
      </c>
      <c r="F7" s="2" t="s">
        <v>40</v>
      </c>
      <c r="G7" s="2" t="s">
        <v>22</v>
      </c>
      <c r="H7" s="2" t="s">
        <v>23</v>
      </c>
      <c r="I7" s="2" t="s">
        <v>23</v>
      </c>
      <c r="J7" s="2">
        <v>1</v>
      </c>
      <c r="K7" s="2" t="s">
        <v>24</v>
      </c>
      <c r="L7" s="2">
        <v>2521</v>
      </c>
      <c r="M7" s="2" t="s">
        <v>82</v>
      </c>
      <c r="N7" s="2">
        <v>1</v>
      </c>
      <c r="O7" s="2">
        <v>37041.760000000002</v>
      </c>
      <c r="P7" s="2">
        <v>37041.760000000002</v>
      </c>
    </row>
    <row r="8" spans="1:16" outlineLevel="1" x14ac:dyDescent="0.2">
      <c r="A8" s="5"/>
      <c r="D8" s="3" t="s">
        <v>693</v>
      </c>
      <c r="N8" s="2">
        <f>SUBTOTAL(9,N5:N7)</f>
        <v>160</v>
      </c>
      <c r="O8" s="2">
        <f>SUBTOTAL(9,O5:O7)</f>
        <v>5075282.8999999994</v>
      </c>
    </row>
    <row r="9" spans="1:16" outlineLevel="2" x14ac:dyDescent="0.2">
      <c r="A9" s="5">
        <v>46043</v>
      </c>
      <c r="B9" s="2">
        <v>155627</v>
      </c>
      <c r="C9" s="2">
        <v>308</v>
      </c>
      <c r="D9" s="2" t="s">
        <v>165</v>
      </c>
      <c r="E9" s="2" t="s">
        <v>166</v>
      </c>
      <c r="F9" s="2" t="s">
        <v>55</v>
      </c>
      <c r="G9" s="2" t="s">
        <v>23</v>
      </c>
      <c r="H9" s="2" t="s">
        <v>23</v>
      </c>
      <c r="I9" s="2" t="s">
        <v>23</v>
      </c>
      <c r="J9" s="2">
        <v>2</v>
      </c>
      <c r="K9" s="2" t="s">
        <v>48</v>
      </c>
      <c r="L9" s="2">
        <v>1491</v>
      </c>
      <c r="M9" s="2" t="s">
        <v>167</v>
      </c>
      <c r="N9" s="2">
        <v>8</v>
      </c>
      <c r="O9" s="2">
        <v>57420.08</v>
      </c>
      <c r="P9" s="2">
        <v>7177.51</v>
      </c>
    </row>
    <row r="10" spans="1:16" outlineLevel="1" x14ac:dyDescent="0.2">
      <c r="A10" s="5"/>
      <c r="D10" s="3" t="s">
        <v>694</v>
      </c>
      <c r="N10" s="2">
        <f>SUBTOTAL(9,N9:N9)</f>
        <v>8</v>
      </c>
      <c r="O10" s="2">
        <f>SUBTOTAL(9,O9:O9)</f>
        <v>57420.08</v>
      </c>
    </row>
    <row r="11" spans="1:16" outlineLevel="2" x14ac:dyDescent="0.2">
      <c r="A11" s="5">
        <v>46027</v>
      </c>
      <c r="B11" s="2">
        <v>154702</v>
      </c>
      <c r="C11" s="2">
        <v>1</v>
      </c>
      <c r="D11" s="2" t="s">
        <v>70</v>
      </c>
      <c r="E11" s="2" t="s">
        <v>23</v>
      </c>
      <c r="F11" s="2" t="s">
        <v>72</v>
      </c>
      <c r="G11" s="2" t="s">
        <v>22</v>
      </c>
      <c r="H11" s="2" t="s">
        <v>23</v>
      </c>
      <c r="I11" s="2" t="s">
        <v>23</v>
      </c>
      <c r="J11" s="2">
        <v>86</v>
      </c>
      <c r="K11" s="2" t="s">
        <v>73</v>
      </c>
      <c r="L11" s="2">
        <v>896</v>
      </c>
      <c r="M11" s="2" t="s">
        <v>74</v>
      </c>
      <c r="N11" s="2">
        <v>57</v>
      </c>
      <c r="O11" s="2">
        <v>302728.31</v>
      </c>
      <c r="P11" s="2">
        <v>5311.02</v>
      </c>
    </row>
    <row r="12" spans="1:16" outlineLevel="2" x14ac:dyDescent="0.2">
      <c r="A12" s="5">
        <v>46027</v>
      </c>
      <c r="B12" s="2">
        <v>154946</v>
      </c>
      <c r="C12" s="2">
        <v>1</v>
      </c>
      <c r="D12" s="2" t="s">
        <v>70</v>
      </c>
      <c r="E12" s="2" t="s">
        <v>23</v>
      </c>
      <c r="F12" s="2" t="s">
        <v>72</v>
      </c>
      <c r="G12" s="2" t="s">
        <v>22</v>
      </c>
      <c r="H12" s="2" t="s">
        <v>23</v>
      </c>
      <c r="I12" s="2" t="s">
        <v>23</v>
      </c>
      <c r="J12" s="2">
        <v>86</v>
      </c>
      <c r="K12" s="2" t="s">
        <v>73</v>
      </c>
      <c r="L12" s="2">
        <v>896</v>
      </c>
      <c r="M12" s="2" t="s">
        <v>74</v>
      </c>
      <c r="N12" s="2">
        <v>23</v>
      </c>
      <c r="O12" s="2">
        <v>78749.61</v>
      </c>
      <c r="P12" s="2">
        <v>3423.9</v>
      </c>
    </row>
    <row r="13" spans="1:16" outlineLevel="2" x14ac:dyDescent="0.2">
      <c r="A13" s="5">
        <v>46027</v>
      </c>
      <c r="B13" s="2">
        <v>155043</v>
      </c>
      <c r="C13" s="2">
        <v>1</v>
      </c>
      <c r="D13" s="2" t="s">
        <v>70</v>
      </c>
      <c r="E13" s="2" t="s">
        <v>23</v>
      </c>
      <c r="F13" s="2" t="s">
        <v>72</v>
      </c>
      <c r="G13" s="2" t="s">
        <v>22</v>
      </c>
      <c r="H13" s="2" t="s">
        <v>23</v>
      </c>
      <c r="I13" s="2" t="s">
        <v>23</v>
      </c>
      <c r="J13" s="2">
        <v>86</v>
      </c>
      <c r="K13" s="2" t="s">
        <v>73</v>
      </c>
      <c r="L13" s="2">
        <v>896</v>
      </c>
      <c r="M13" s="2" t="s">
        <v>74</v>
      </c>
      <c r="N13" s="2">
        <v>9</v>
      </c>
      <c r="O13" s="2">
        <v>43130.71</v>
      </c>
      <c r="P13" s="2">
        <v>4792.3</v>
      </c>
    </row>
    <row r="14" spans="1:16" outlineLevel="2" x14ac:dyDescent="0.2">
      <c r="A14" s="5">
        <v>46027</v>
      </c>
      <c r="B14" s="2">
        <v>155246</v>
      </c>
      <c r="C14" s="2">
        <v>2</v>
      </c>
      <c r="D14" s="2" t="s">
        <v>70</v>
      </c>
      <c r="E14" s="2" t="s">
        <v>23</v>
      </c>
      <c r="F14" s="2" t="s">
        <v>72</v>
      </c>
      <c r="G14" s="2" t="s">
        <v>22</v>
      </c>
      <c r="H14" s="2" t="s">
        <v>23</v>
      </c>
      <c r="I14" s="2" t="s">
        <v>23</v>
      </c>
      <c r="J14" s="2">
        <v>86</v>
      </c>
      <c r="K14" s="2" t="s">
        <v>73</v>
      </c>
      <c r="L14" s="2">
        <v>25092</v>
      </c>
      <c r="M14" s="2" t="s">
        <v>96</v>
      </c>
      <c r="N14" s="2">
        <v>90</v>
      </c>
      <c r="O14" s="2">
        <v>446219.94</v>
      </c>
      <c r="P14" s="2">
        <v>4958</v>
      </c>
    </row>
    <row r="15" spans="1:16" outlineLevel="2" x14ac:dyDescent="0.2">
      <c r="A15" s="5">
        <v>46006</v>
      </c>
      <c r="B15" s="2">
        <v>155376</v>
      </c>
      <c r="C15" s="2">
        <v>1</v>
      </c>
      <c r="D15" s="2" t="s">
        <v>70</v>
      </c>
      <c r="E15" s="2" t="s">
        <v>23</v>
      </c>
      <c r="F15" s="2" t="s">
        <v>72</v>
      </c>
      <c r="G15" s="2" t="s">
        <v>22</v>
      </c>
      <c r="H15" s="2" t="s">
        <v>23</v>
      </c>
      <c r="I15" s="2" t="s">
        <v>23</v>
      </c>
      <c r="J15" s="2">
        <v>86</v>
      </c>
      <c r="K15" s="2" t="s">
        <v>73</v>
      </c>
      <c r="L15" s="2">
        <v>896</v>
      </c>
      <c r="M15" s="2" t="s">
        <v>74</v>
      </c>
      <c r="N15" s="2">
        <v>138</v>
      </c>
      <c r="O15" s="2">
        <v>540578.68999999994</v>
      </c>
      <c r="P15" s="2">
        <v>3917.24</v>
      </c>
    </row>
    <row r="16" spans="1:16" outlineLevel="2" x14ac:dyDescent="0.2">
      <c r="A16" s="5">
        <v>46010</v>
      </c>
      <c r="B16" s="2">
        <v>155473</v>
      </c>
      <c r="C16" s="2">
        <v>2</v>
      </c>
      <c r="D16" s="2" t="s">
        <v>70</v>
      </c>
      <c r="E16" s="2" t="s">
        <v>23</v>
      </c>
      <c r="F16" s="2" t="s">
        <v>63</v>
      </c>
      <c r="G16" s="2" t="s">
        <v>22</v>
      </c>
      <c r="H16" s="2" t="s">
        <v>23</v>
      </c>
      <c r="I16" s="2" t="s">
        <v>23</v>
      </c>
      <c r="J16" s="2">
        <v>86</v>
      </c>
      <c r="K16" s="2" t="s">
        <v>73</v>
      </c>
      <c r="L16" s="2">
        <v>2104</v>
      </c>
      <c r="M16" s="2" t="s">
        <v>118</v>
      </c>
      <c r="N16" s="2">
        <v>35</v>
      </c>
      <c r="O16" s="2">
        <v>26254.15</v>
      </c>
      <c r="P16" s="2">
        <v>750.12</v>
      </c>
    </row>
    <row r="17" spans="1:16" outlineLevel="2" x14ac:dyDescent="0.2">
      <c r="A17" s="5">
        <v>46012</v>
      </c>
      <c r="B17" s="2">
        <v>155560</v>
      </c>
      <c r="C17" s="2">
        <v>1</v>
      </c>
      <c r="D17" s="2" t="s">
        <v>70</v>
      </c>
      <c r="E17" s="2" t="s">
        <v>23</v>
      </c>
      <c r="F17" s="2" t="s">
        <v>72</v>
      </c>
      <c r="G17" s="2" t="s">
        <v>146</v>
      </c>
      <c r="H17" s="2" t="s">
        <v>23</v>
      </c>
      <c r="I17" s="2" t="s">
        <v>23</v>
      </c>
      <c r="J17" s="2">
        <v>94</v>
      </c>
      <c r="K17" s="2" t="s">
        <v>147</v>
      </c>
      <c r="L17" s="2">
        <v>25073</v>
      </c>
      <c r="M17" s="2" t="s">
        <v>148</v>
      </c>
      <c r="N17" s="2">
        <v>76</v>
      </c>
      <c r="O17" s="2">
        <v>797847.16</v>
      </c>
      <c r="P17" s="2">
        <v>10497.99</v>
      </c>
    </row>
    <row r="18" spans="1:16" outlineLevel="2" x14ac:dyDescent="0.2">
      <c r="A18" s="5">
        <v>46012</v>
      </c>
      <c r="B18" s="2">
        <v>155560</v>
      </c>
      <c r="C18" s="2">
        <v>3</v>
      </c>
      <c r="D18" s="2" t="s">
        <v>70</v>
      </c>
      <c r="E18" s="2" t="s">
        <v>23</v>
      </c>
      <c r="F18" s="2" t="s">
        <v>72</v>
      </c>
      <c r="G18" s="2" t="s">
        <v>22</v>
      </c>
      <c r="H18" s="2" t="s">
        <v>23</v>
      </c>
      <c r="I18" s="2" t="s">
        <v>23</v>
      </c>
      <c r="J18" s="2">
        <v>94</v>
      </c>
      <c r="K18" s="2" t="s">
        <v>147</v>
      </c>
      <c r="L18" s="2">
        <v>25073</v>
      </c>
      <c r="M18" s="2" t="s">
        <v>148</v>
      </c>
      <c r="N18" s="2">
        <v>6</v>
      </c>
      <c r="O18" s="2">
        <v>27899.46</v>
      </c>
      <c r="P18" s="2">
        <v>4649.91</v>
      </c>
    </row>
    <row r="19" spans="1:16" outlineLevel="2" x14ac:dyDescent="0.2">
      <c r="A19" s="5">
        <v>46024</v>
      </c>
      <c r="B19" s="2">
        <v>155755</v>
      </c>
      <c r="C19" s="2">
        <v>1</v>
      </c>
      <c r="D19" s="2" t="s">
        <v>70</v>
      </c>
      <c r="E19" s="2" t="s">
        <v>23</v>
      </c>
      <c r="F19" s="2" t="s">
        <v>63</v>
      </c>
      <c r="G19" s="2" t="s">
        <v>22</v>
      </c>
      <c r="H19" s="2" t="s">
        <v>23</v>
      </c>
      <c r="I19" s="2" t="s">
        <v>182</v>
      </c>
      <c r="J19" s="2">
        <v>93</v>
      </c>
      <c r="K19" s="2" t="s">
        <v>183</v>
      </c>
      <c r="L19" s="2">
        <v>2089</v>
      </c>
      <c r="M19" s="2" t="s">
        <v>87</v>
      </c>
      <c r="N19" s="2">
        <v>1125</v>
      </c>
      <c r="O19" s="2">
        <v>21275424.07</v>
      </c>
      <c r="P19" s="2">
        <v>18911.490000000002</v>
      </c>
    </row>
    <row r="20" spans="1:16" outlineLevel="2" x14ac:dyDescent="0.2">
      <c r="A20" s="5">
        <v>46038</v>
      </c>
      <c r="B20" s="2">
        <v>155755</v>
      </c>
      <c r="C20" s="2">
        <v>2</v>
      </c>
      <c r="D20" s="2" t="s">
        <v>70</v>
      </c>
      <c r="E20" s="2" t="s">
        <v>23</v>
      </c>
      <c r="F20" s="2" t="s">
        <v>63</v>
      </c>
      <c r="G20" s="2" t="s">
        <v>22</v>
      </c>
      <c r="H20" s="2" t="s">
        <v>23</v>
      </c>
      <c r="I20" s="2" t="s">
        <v>184</v>
      </c>
      <c r="J20" s="2">
        <v>86</v>
      </c>
      <c r="K20" s="2" t="s">
        <v>73</v>
      </c>
      <c r="L20" s="2">
        <v>2089</v>
      </c>
      <c r="M20" s="2" t="s">
        <v>87</v>
      </c>
      <c r="N20" s="2">
        <v>390</v>
      </c>
      <c r="O20" s="2">
        <v>7653531.4199999999</v>
      </c>
      <c r="P20" s="2">
        <v>19624.439999999999</v>
      </c>
    </row>
    <row r="21" spans="1:16" outlineLevel="2" x14ac:dyDescent="0.2">
      <c r="A21" s="5">
        <v>46027</v>
      </c>
      <c r="B21" s="2">
        <v>155755</v>
      </c>
      <c r="C21" s="2">
        <v>3</v>
      </c>
      <c r="D21" s="2" t="s">
        <v>70</v>
      </c>
      <c r="E21" s="2" t="s">
        <v>23</v>
      </c>
      <c r="F21" s="2" t="s">
        <v>63</v>
      </c>
      <c r="G21" s="2" t="s">
        <v>22</v>
      </c>
      <c r="H21" s="2" t="s">
        <v>23</v>
      </c>
      <c r="I21" s="2" t="s">
        <v>185</v>
      </c>
      <c r="J21" s="2">
        <v>86</v>
      </c>
      <c r="K21" s="2" t="s">
        <v>73</v>
      </c>
      <c r="L21" s="2">
        <v>2089</v>
      </c>
      <c r="M21" s="2" t="s">
        <v>87</v>
      </c>
      <c r="N21" s="2">
        <v>826</v>
      </c>
      <c r="O21" s="2">
        <v>18065931.039999999</v>
      </c>
      <c r="P21" s="2">
        <v>21871.59</v>
      </c>
    </row>
    <row r="22" spans="1:16" outlineLevel="2" x14ac:dyDescent="0.2">
      <c r="A22" s="5">
        <v>46020</v>
      </c>
      <c r="B22" s="2">
        <v>155755</v>
      </c>
      <c r="C22" s="2">
        <v>4</v>
      </c>
      <c r="D22" s="2" t="s">
        <v>70</v>
      </c>
      <c r="E22" s="2" t="s">
        <v>23</v>
      </c>
      <c r="F22" s="2" t="s">
        <v>63</v>
      </c>
      <c r="G22" s="2" t="s">
        <v>22</v>
      </c>
      <c r="H22" s="2" t="s">
        <v>23</v>
      </c>
      <c r="I22" s="2" t="s">
        <v>23</v>
      </c>
      <c r="J22" s="2">
        <v>86</v>
      </c>
      <c r="K22" s="2" t="s">
        <v>73</v>
      </c>
      <c r="L22" s="2">
        <v>2089</v>
      </c>
      <c r="M22" s="2" t="s">
        <v>87</v>
      </c>
      <c r="N22" s="2">
        <v>126</v>
      </c>
      <c r="O22" s="2">
        <v>2687625.6</v>
      </c>
      <c r="P22" s="2">
        <v>21330.36</v>
      </c>
    </row>
    <row r="23" spans="1:16" outlineLevel="2" x14ac:dyDescent="0.2">
      <c r="A23" s="5">
        <v>46020</v>
      </c>
      <c r="B23" s="2">
        <v>155781</v>
      </c>
      <c r="C23" s="2">
        <v>2</v>
      </c>
      <c r="D23" s="2" t="s">
        <v>70</v>
      </c>
      <c r="E23" s="2" t="s">
        <v>23</v>
      </c>
      <c r="F23" s="2" t="s">
        <v>72</v>
      </c>
      <c r="G23" s="2" t="s">
        <v>202</v>
      </c>
      <c r="H23" s="2" t="s">
        <v>23</v>
      </c>
      <c r="I23" s="2" t="s">
        <v>23</v>
      </c>
      <c r="J23" s="2">
        <v>86</v>
      </c>
      <c r="K23" s="2" t="s">
        <v>73</v>
      </c>
      <c r="L23" s="2">
        <v>25073</v>
      </c>
      <c r="M23" s="2" t="s">
        <v>148</v>
      </c>
      <c r="N23" s="2">
        <v>330</v>
      </c>
      <c r="O23" s="2">
        <v>2595226.59</v>
      </c>
      <c r="P23" s="2">
        <v>7864.32</v>
      </c>
    </row>
    <row r="24" spans="1:16" outlineLevel="2" x14ac:dyDescent="0.2">
      <c r="A24" s="5">
        <v>46043</v>
      </c>
      <c r="B24" s="2">
        <v>155815</v>
      </c>
      <c r="C24" s="2">
        <v>1</v>
      </c>
      <c r="D24" s="2" t="s">
        <v>70</v>
      </c>
      <c r="E24" s="2" t="s">
        <v>23</v>
      </c>
      <c r="F24" s="2" t="s">
        <v>63</v>
      </c>
      <c r="G24" s="2" t="s">
        <v>22</v>
      </c>
      <c r="H24" s="2" t="s">
        <v>23</v>
      </c>
      <c r="I24" s="2" t="s">
        <v>217</v>
      </c>
      <c r="J24" s="2">
        <v>86</v>
      </c>
      <c r="K24" s="2" t="s">
        <v>73</v>
      </c>
      <c r="L24" s="2">
        <v>25172</v>
      </c>
      <c r="M24" s="2" t="s">
        <v>218</v>
      </c>
      <c r="N24" s="2">
        <v>330</v>
      </c>
      <c r="O24" s="2">
        <v>6093106.7000000002</v>
      </c>
      <c r="P24" s="2">
        <v>18463.96</v>
      </c>
    </row>
    <row r="25" spans="1:16" outlineLevel="2" x14ac:dyDescent="0.2">
      <c r="A25" s="5">
        <v>46050</v>
      </c>
      <c r="B25" s="2">
        <v>155815</v>
      </c>
      <c r="C25" s="2">
        <v>2</v>
      </c>
      <c r="D25" s="2" t="s">
        <v>70</v>
      </c>
      <c r="E25" s="2" t="s">
        <v>23</v>
      </c>
      <c r="F25" s="2" t="s">
        <v>63</v>
      </c>
      <c r="G25" s="2" t="s">
        <v>22</v>
      </c>
      <c r="H25" s="2" t="s">
        <v>23</v>
      </c>
      <c r="I25" s="2" t="s">
        <v>219</v>
      </c>
      <c r="J25" s="2">
        <v>86</v>
      </c>
      <c r="K25" s="2" t="s">
        <v>73</v>
      </c>
      <c r="L25" s="2">
        <v>25172</v>
      </c>
      <c r="M25" s="2" t="s">
        <v>218</v>
      </c>
      <c r="N25" s="2">
        <v>99</v>
      </c>
      <c r="O25" s="2">
        <v>1717214.55</v>
      </c>
      <c r="P25" s="2">
        <v>17345.599999999999</v>
      </c>
    </row>
    <row r="26" spans="1:16" outlineLevel="2" x14ac:dyDescent="0.2">
      <c r="A26" s="5">
        <v>46043</v>
      </c>
      <c r="B26" s="2">
        <v>155815</v>
      </c>
      <c r="C26" s="2">
        <v>6</v>
      </c>
      <c r="D26" s="2" t="s">
        <v>70</v>
      </c>
      <c r="E26" s="2" t="s">
        <v>23</v>
      </c>
      <c r="F26" s="2" t="s">
        <v>63</v>
      </c>
      <c r="G26" s="2" t="s">
        <v>22</v>
      </c>
      <c r="H26" s="2" t="s">
        <v>23</v>
      </c>
      <c r="I26" s="2" t="s">
        <v>220</v>
      </c>
      <c r="J26" s="2">
        <v>86</v>
      </c>
      <c r="K26" s="2" t="s">
        <v>73</v>
      </c>
      <c r="L26" s="2">
        <v>25172</v>
      </c>
      <c r="M26" s="2" t="s">
        <v>218</v>
      </c>
      <c r="N26" s="2">
        <v>823</v>
      </c>
      <c r="O26" s="2">
        <v>15956201.029999999</v>
      </c>
      <c r="P26" s="2">
        <v>19387.849999999999</v>
      </c>
    </row>
    <row r="27" spans="1:16" outlineLevel="2" x14ac:dyDescent="0.2">
      <c r="A27" s="5">
        <v>45980</v>
      </c>
      <c r="B27" s="2">
        <v>154540</v>
      </c>
      <c r="C27" s="2">
        <v>1</v>
      </c>
      <c r="D27" s="2" t="s">
        <v>70</v>
      </c>
      <c r="E27" s="2" t="s">
        <v>71</v>
      </c>
      <c r="F27" s="2" t="s">
        <v>72</v>
      </c>
      <c r="G27" s="2" t="s">
        <v>22</v>
      </c>
      <c r="H27" s="2" t="s">
        <v>23</v>
      </c>
      <c r="I27" s="2" t="s">
        <v>23</v>
      </c>
      <c r="J27" s="2">
        <v>86</v>
      </c>
      <c r="K27" s="2" t="s">
        <v>73</v>
      </c>
      <c r="L27" s="2">
        <v>896</v>
      </c>
      <c r="M27" s="2" t="s">
        <v>74</v>
      </c>
      <c r="N27" s="2">
        <v>78</v>
      </c>
      <c r="O27" s="2">
        <v>342873.16</v>
      </c>
      <c r="P27" s="2">
        <v>4395.8100000000004</v>
      </c>
    </row>
    <row r="28" spans="1:16" outlineLevel="1" x14ac:dyDescent="0.2">
      <c r="A28" s="5"/>
      <c r="D28" s="3" t="s">
        <v>695</v>
      </c>
      <c r="N28" s="2">
        <f>SUBTOTAL(9,N11:N27)</f>
        <v>4561</v>
      </c>
      <c r="O28" s="2">
        <f>SUBTOTAL(9,O11:O27)</f>
        <v>78650542.189999998</v>
      </c>
    </row>
    <row r="29" spans="1:16" outlineLevel="2" x14ac:dyDescent="0.2">
      <c r="A29" s="5">
        <v>46021</v>
      </c>
      <c r="B29" s="2">
        <v>155739</v>
      </c>
      <c r="C29" s="2">
        <v>1</v>
      </c>
      <c r="D29" s="2" t="s">
        <v>140</v>
      </c>
      <c r="E29" s="2" t="s">
        <v>55</v>
      </c>
      <c r="F29" s="2" t="s">
        <v>23</v>
      </c>
      <c r="G29" s="2" t="s">
        <v>23</v>
      </c>
      <c r="H29" s="2" t="s">
        <v>23</v>
      </c>
      <c r="I29" s="2" t="s">
        <v>23</v>
      </c>
      <c r="J29" s="2">
        <v>1</v>
      </c>
      <c r="K29" s="2" t="s">
        <v>24</v>
      </c>
      <c r="L29" s="2">
        <v>1833</v>
      </c>
      <c r="M29" s="2" t="s">
        <v>142</v>
      </c>
      <c r="N29" s="2">
        <v>10</v>
      </c>
      <c r="O29" s="2">
        <v>188455.01</v>
      </c>
      <c r="P29" s="2">
        <v>18845.5</v>
      </c>
    </row>
    <row r="30" spans="1:16" outlineLevel="2" x14ac:dyDescent="0.2">
      <c r="A30" s="5">
        <v>46012</v>
      </c>
      <c r="B30" s="2">
        <v>155556</v>
      </c>
      <c r="C30" s="2">
        <v>1</v>
      </c>
      <c r="D30" s="2" t="s">
        <v>140</v>
      </c>
      <c r="E30" s="2" t="s">
        <v>141</v>
      </c>
      <c r="F30" s="2" t="s">
        <v>108</v>
      </c>
      <c r="G30" s="2" t="s">
        <v>22</v>
      </c>
      <c r="H30" s="2" t="s">
        <v>23</v>
      </c>
      <c r="I30" s="2" t="s">
        <v>23</v>
      </c>
      <c r="J30" s="2">
        <v>1</v>
      </c>
      <c r="K30" s="2" t="s">
        <v>24</v>
      </c>
      <c r="L30" s="2">
        <v>1833</v>
      </c>
      <c r="M30" s="2" t="s">
        <v>142</v>
      </c>
      <c r="N30" s="2">
        <v>1</v>
      </c>
      <c r="O30" s="2">
        <v>13711.58</v>
      </c>
      <c r="P30" s="2">
        <v>13711.58</v>
      </c>
    </row>
    <row r="31" spans="1:16" outlineLevel="2" x14ac:dyDescent="0.2">
      <c r="A31" s="5">
        <v>46024</v>
      </c>
      <c r="B31" s="2">
        <v>155806</v>
      </c>
      <c r="C31" s="2">
        <v>1</v>
      </c>
      <c r="D31" s="2" t="s">
        <v>140</v>
      </c>
      <c r="E31" s="2" t="s">
        <v>141</v>
      </c>
      <c r="F31" s="2" t="s">
        <v>108</v>
      </c>
      <c r="G31" s="2" t="s">
        <v>22</v>
      </c>
      <c r="H31" s="2" t="s">
        <v>23</v>
      </c>
      <c r="I31" s="2" t="s">
        <v>23</v>
      </c>
      <c r="J31" s="2">
        <v>1</v>
      </c>
      <c r="K31" s="2" t="s">
        <v>24</v>
      </c>
      <c r="L31" s="2">
        <v>1833</v>
      </c>
      <c r="M31" s="2" t="s">
        <v>142</v>
      </c>
      <c r="N31" s="2">
        <v>65</v>
      </c>
      <c r="O31" s="2">
        <v>1987207.78</v>
      </c>
      <c r="P31" s="2">
        <v>30572.43</v>
      </c>
    </row>
    <row r="32" spans="1:16" outlineLevel="1" x14ac:dyDescent="0.2">
      <c r="A32" s="5"/>
      <c r="D32" s="3" t="s">
        <v>696</v>
      </c>
      <c r="N32" s="2">
        <f>SUBTOTAL(9,N29:N31)</f>
        <v>76</v>
      </c>
      <c r="O32" s="2">
        <f>SUBTOTAL(9,O29:O31)</f>
        <v>2189374.37</v>
      </c>
    </row>
    <row r="33" spans="1:16" outlineLevel="2" x14ac:dyDescent="0.2">
      <c r="A33" s="5">
        <v>46027</v>
      </c>
      <c r="B33" s="2">
        <v>155398</v>
      </c>
      <c r="C33" s="2">
        <v>325</v>
      </c>
      <c r="D33" s="2" t="s">
        <v>110</v>
      </c>
      <c r="E33" s="2" t="s">
        <v>111</v>
      </c>
      <c r="F33" s="2" t="s">
        <v>55</v>
      </c>
      <c r="G33" s="2" t="s">
        <v>23</v>
      </c>
      <c r="H33" s="2" t="s">
        <v>23</v>
      </c>
      <c r="I33" s="2" t="s">
        <v>23</v>
      </c>
      <c r="J33" s="2">
        <v>1</v>
      </c>
      <c r="K33" s="2" t="s">
        <v>24</v>
      </c>
      <c r="L33" s="2">
        <v>600</v>
      </c>
      <c r="M33" s="2" t="s">
        <v>112</v>
      </c>
      <c r="N33" s="2">
        <v>4</v>
      </c>
      <c r="O33" s="2">
        <v>13402.53</v>
      </c>
      <c r="P33" s="2">
        <v>3350.63</v>
      </c>
    </row>
    <row r="34" spans="1:16" outlineLevel="2" x14ac:dyDescent="0.2">
      <c r="A34" s="5">
        <v>46036</v>
      </c>
      <c r="B34" s="2">
        <v>155414</v>
      </c>
      <c r="C34" s="2">
        <v>315</v>
      </c>
      <c r="D34" s="2" t="s">
        <v>110</v>
      </c>
      <c r="E34" s="2" t="s">
        <v>111</v>
      </c>
      <c r="F34" s="2" t="s">
        <v>55</v>
      </c>
      <c r="G34" s="2" t="s">
        <v>23</v>
      </c>
      <c r="H34" s="2" t="s">
        <v>23</v>
      </c>
      <c r="I34" s="2" t="s">
        <v>23</v>
      </c>
      <c r="J34" s="2">
        <v>2</v>
      </c>
      <c r="K34" s="2" t="s">
        <v>48</v>
      </c>
      <c r="L34" s="2">
        <v>25223</v>
      </c>
      <c r="M34" s="2" t="s">
        <v>97</v>
      </c>
      <c r="N34" s="2">
        <v>1</v>
      </c>
      <c r="O34" s="2">
        <v>2510.3200000000002</v>
      </c>
      <c r="P34" s="2">
        <v>2510.3200000000002</v>
      </c>
    </row>
    <row r="35" spans="1:16" outlineLevel="2" x14ac:dyDescent="0.2">
      <c r="A35" s="5">
        <v>46027</v>
      </c>
      <c r="B35" s="2">
        <v>155493</v>
      </c>
      <c r="C35" s="2">
        <v>325</v>
      </c>
      <c r="D35" s="2" t="s">
        <v>110</v>
      </c>
      <c r="E35" s="2" t="s">
        <v>111</v>
      </c>
      <c r="F35" s="2" t="s">
        <v>55</v>
      </c>
      <c r="G35" s="2" t="s">
        <v>23</v>
      </c>
      <c r="H35" s="2" t="s">
        <v>23</v>
      </c>
      <c r="I35" s="2" t="s">
        <v>23</v>
      </c>
      <c r="J35" s="2">
        <v>1</v>
      </c>
      <c r="K35" s="2" t="s">
        <v>24</v>
      </c>
      <c r="L35" s="2">
        <v>600</v>
      </c>
      <c r="M35" s="2" t="s">
        <v>112</v>
      </c>
      <c r="N35" s="2">
        <v>6</v>
      </c>
      <c r="O35" s="2">
        <v>17218.79</v>
      </c>
      <c r="P35" s="2">
        <v>2869.8</v>
      </c>
    </row>
    <row r="36" spans="1:16" outlineLevel="2" x14ac:dyDescent="0.2">
      <c r="A36" s="5">
        <v>46027</v>
      </c>
      <c r="B36" s="2">
        <v>155811</v>
      </c>
      <c r="C36" s="2">
        <v>325</v>
      </c>
      <c r="D36" s="2" t="s">
        <v>110</v>
      </c>
      <c r="E36" s="2" t="s">
        <v>111</v>
      </c>
      <c r="F36" s="2" t="s">
        <v>55</v>
      </c>
      <c r="G36" s="2" t="s">
        <v>23</v>
      </c>
      <c r="H36" s="2" t="s">
        <v>23</v>
      </c>
      <c r="I36" s="2" t="s">
        <v>23</v>
      </c>
      <c r="J36" s="2">
        <v>2</v>
      </c>
      <c r="K36" s="2" t="s">
        <v>48</v>
      </c>
      <c r="L36" s="2">
        <v>25095</v>
      </c>
      <c r="M36" s="2" t="s">
        <v>216</v>
      </c>
      <c r="N36" s="2">
        <v>11</v>
      </c>
      <c r="O36" s="2">
        <v>19959.75</v>
      </c>
      <c r="P36" s="2">
        <v>1814.52</v>
      </c>
    </row>
    <row r="37" spans="1:16" outlineLevel="1" x14ac:dyDescent="0.2">
      <c r="A37" s="5"/>
      <c r="D37" s="3" t="s">
        <v>697</v>
      </c>
      <c r="N37" s="2">
        <f>SUBTOTAL(9,N33:N36)</f>
        <v>22</v>
      </c>
      <c r="O37" s="2">
        <f>SUBTOTAL(9,O33:O36)</f>
        <v>53091.39</v>
      </c>
    </row>
    <row r="38" spans="1:16" outlineLevel="2" x14ac:dyDescent="0.2">
      <c r="A38" s="5">
        <v>46027</v>
      </c>
      <c r="B38" s="2">
        <v>155240</v>
      </c>
      <c r="C38" s="2">
        <v>1</v>
      </c>
      <c r="D38" s="2" t="s">
        <v>88</v>
      </c>
      <c r="E38" s="2" t="s">
        <v>23</v>
      </c>
      <c r="F38" s="2" t="s">
        <v>31</v>
      </c>
      <c r="G38" s="2" t="s">
        <v>22</v>
      </c>
      <c r="H38" s="2" t="s">
        <v>23</v>
      </c>
      <c r="I38" s="2" t="s">
        <v>23</v>
      </c>
      <c r="J38" s="2">
        <v>1</v>
      </c>
      <c r="K38" s="2" t="s">
        <v>24</v>
      </c>
      <c r="L38" s="2">
        <v>2196</v>
      </c>
      <c r="M38" s="2" t="s">
        <v>94</v>
      </c>
      <c r="N38" s="2">
        <v>12</v>
      </c>
      <c r="O38" s="2">
        <v>84263.22</v>
      </c>
      <c r="P38" s="2">
        <v>7021.94</v>
      </c>
    </row>
    <row r="39" spans="1:16" outlineLevel="2" x14ac:dyDescent="0.2">
      <c r="A39" s="5">
        <v>46027</v>
      </c>
      <c r="B39" s="2">
        <v>155449</v>
      </c>
      <c r="C39" s="2">
        <v>2</v>
      </c>
      <c r="D39" s="2" t="s">
        <v>88</v>
      </c>
      <c r="E39" s="2" t="s">
        <v>23</v>
      </c>
      <c r="F39" s="2" t="s">
        <v>31</v>
      </c>
      <c r="G39" s="2" t="s">
        <v>22</v>
      </c>
      <c r="H39" s="2" t="s">
        <v>23</v>
      </c>
      <c r="I39" s="2" t="s">
        <v>23</v>
      </c>
      <c r="J39" s="2">
        <v>1</v>
      </c>
      <c r="K39" s="2" t="s">
        <v>24</v>
      </c>
      <c r="L39" s="2">
        <v>600</v>
      </c>
      <c r="M39" s="2" t="s">
        <v>112</v>
      </c>
      <c r="N39" s="2">
        <v>10</v>
      </c>
      <c r="O39" s="2">
        <v>34437.5</v>
      </c>
      <c r="P39" s="2">
        <v>3443.75</v>
      </c>
    </row>
    <row r="40" spans="1:16" outlineLevel="2" x14ac:dyDescent="0.2">
      <c r="A40" s="5">
        <v>46027</v>
      </c>
      <c r="B40" s="2">
        <v>155539</v>
      </c>
      <c r="C40" s="2">
        <v>1</v>
      </c>
      <c r="D40" s="2" t="s">
        <v>88</v>
      </c>
      <c r="E40" s="2" t="s">
        <v>23</v>
      </c>
      <c r="F40" s="2" t="s">
        <v>31</v>
      </c>
      <c r="G40" s="2" t="s">
        <v>22</v>
      </c>
      <c r="H40" s="2" t="s">
        <v>23</v>
      </c>
      <c r="I40" s="2" t="s">
        <v>23</v>
      </c>
      <c r="J40" s="2">
        <v>1</v>
      </c>
      <c r="K40" s="2" t="s">
        <v>24</v>
      </c>
      <c r="L40" s="2">
        <v>600</v>
      </c>
      <c r="M40" s="2" t="s">
        <v>112</v>
      </c>
      <c r="N40" s="2">
        <v>28</v>
      </c>
      <c r="O40" s="2">
        <v>96425</v>
      </c>
      <c r="P40" s="2">
        <v>3443.75</v>
      </c>
    </row>
    <row r="41" spans="1:16" outlineLevel="2" x14ac:dyDescent="0.2">
      <c r="A41" s="5">
        <v>46027</v>
      </c>
      <c r="B41" s="2">
        <v>155539</v>
      </c>
      <c r="C41" s="2">
        <v>2</v>
      </c>
      <c r="D41" s="2" t="s">
        <v>88</v>
      </c>
      <c r="E41" s="2" t="s">
        <v>23</v>
      </c>
      <c r="F41" s="2" t="s">
        <v>31</v>
      </c>
      <c r="G41" s="2" t="s">
        <v>22</v>
      </c>
      <c r="H41" s="2" t="s">
        <v>23</v>
      </c>
      <c r="I41" s="2" t="s">
        <v>23</v>
      </c>
      <c r="J41" s="2">
        <v>1</v>
      </c>
      <c r="K41" s="2" t="s">
        <v>24</v>
      </c>
      <c r="L41" s="2">
        <v>600</v>
      </c>
      <c r="M41" s="2" t="s">
        <v>112</v>
      </c>
      <c r="N41" s="2">
        <v>221</v>
      </c>
      <c r="O41" s="2">
        <v>1753315.13</v>
      </c>
      <c r="P41" s="2">
        <v>7933.55</v>
      </c>
    </row>
    <row r="42" spans="1:16" outlineLevel="2" x14ac:dyDescent="0.2">
      <c r="A42" s="5">
        <v>46043</v>
      </c>
      <c r="B42" s="2">
        <v>155664</v>
      </c>
      <c r="C42" s="2">
        <v>1</v>
      </c>
      <c r="D42" s="2" t="s">
        <v>88</v>
      </c>
      <c r="E42" s="2" t="s">
        <v>23</v>
      </c>
      <c r="F42" s="2" t="s">
        <v>31</v>
      </c>
      <c r="G42" s="2" t="s">
        <v>22</v>
      </c>
      <c r="H42" s="2" t="s">
        <v>23</v>
      </c>
      <c r="I42" s="2" t="s">
        <v>168</v>
      </c>
      <c r="J42" s="2">
        <v>1</v>
      </c>
      <c r="K42" s="2" t="s">
        <v>24</v>
      </c>
      <c r="L42" s="2">
        <v>600</v>
      </c>
      <c r="M42" s="2" t="s">
        <v>112</v>
      </c>
      <c r="N42" s="2">
        <v>119</v>
      </c>
      <c r="O42" s="2">
        <v>2560097.29</v>
      </c>
      <c r="P42" s="2">
        <v>21513.42</v>
      </c>
    </row>
    <row r="43" spans="1:16" outlineLevel="2" x14ac:dyDescent="0.2">
      <c r="A43" s="5">
        <v>46027</v>
      </c>
      <c r="B43" s="2">
        <v>155664</v>
      </c>
      <c r="C43" s="2">
        <v>2</v>
      </c>
      <c r="D43" s="2" t="s">
        <v>88</v>
      </c>
      <c r="E43" s="2" t="s">
        <v>23</v>
      </c>
      <c r="F43" s="2" t="s">
        <v>31</v>
      </c>
      <c r="G43" s="2" t="s">
        <v>22</v>
      </c>
      <c r="H43" s="2" t="s">
        <v>23</v>
      </c>
      <c r="I43" s="2" t="s">
        <v>169</v>
      </c>
      <c r="J43" s="2">
        <v>1</v>
      </c>
      <c r="K43" s="2" t="s">
        <v>24</v>
      </c>
      <c r="L43" s="2">
        <v>600</v>
      </c>
      <c r="M43" s="2" t="s">
        <v>112</v>
      </c>
      <c r="N43" s="2">
        <v>195</v>
      </c>
      <c r="O43" s="2">
        <v>4954150.09</v>
      </c>
      <c r="P43" s="2">
        <v>25405.9</v>
      </c>
    </row>
    <row r="44" spans="1:16" outlineLevel="2" x14ac:dyDescent="0.2">
      <c r="A44" s="5">
        <v>46003</v>
      </c>
      <c r="B44" s="2">
        <v>155361</v>
      </c>
      <c r="C44" s="2">
        <v>1</v>
      </c>
      <c r="D44" s="2" t="s">
        <v>88</v>
      </c>
      <c r="E44" s="2" t="s">
        <v>106</v>
      </c>
      <c r="F44" s="2" t="s">
        <v>31</v>
      </c>
      <c r="G44" s="2" t="s">
        <v>22</v>
      </c>
      <c r="H44" s="2" t="s">
        <v>23</v>
      </c>
      <c r="I44" s="2" t="s">
        <v>90</v>
      </c>
      <c r="J44" s="2">
        <v>1</v>
      </c>
      <c r="K44" s="2" t="s">
        <v>24</v>
      </c>
      <c r="L44" s="2">
        <v>2538</v>
      </c>
      <c r="M44" s="2" t="s">
        <v>91</v>
      </c>
      <c r="N44" s="2">
        <v>2</v>
      </c>
      <c r="O44" s="2">
        <v>18088.78</v>
      </c>
      <c r="P44" s="2">
        <v>9044.39</v>
      </c>
    </row>
    <row r="45" spans="1:16" outlineLevel="2" x14ac:dyDescent="0.2">
      <c r="A45" s="5">
        <v>45994</v>
      </c>
      <c r="B45" s="2">
        <v>155149</v>
      </c>
      <c r="C45" s="2">
        <v>1</v>
      </c>
      <c r="D45" s="2" t="s">
        <v>88</v>
      </c>
      <c r="E45" s="2" t="s">
        <v>89</v>
      </c>
      <c r="F45" s="2" t="s">
        <v>31</v>
      </c>
      <c r="G45" s="2" t="s">
        <v>22</v>
      </c>
      <c r="H45" s="2" t="s">
        <v>23</v>
      </c>
      <c r="I45" s="2" t="s">
        <v>90</v>
      </c>
      <c r="J45" s="2">
        <v>1</v>
      </c>
      <c r="K45" s="2" t="s">
        <v>24</v>
      </c>
      <c r="L45" s="2">
        <v>2538</v>
      </c>
      <c r="M45" s="2" t="s">
        <v>91</v>
      </c>
      <c r="N45" s="2">
        <v>5</v>
      </c>
      <c r="O45" s="2">
        <v>45221.95</v>
      </c>
      <c r="P45" s="2">
        <v>9044.39</v>
      </c>
    </row>
    <row r="46" spans="1:16" outlineLevel="2" x14ac:dyDescent="0.2">
      <c r="A46" s="5">
        <v>46024</v>
      </c>
      <c r="B46" s="2">
        <v>155808</v>
      </c>
      <c r="C46" s="2">
        <v>1</v>
      </c>
      <c r="D46" s="2" t="s">
        <v>88</v>
      </c>
      <c r="E46" s="2" t="s">
        <v>89</v>
      </c>
      <c r="F46" s="2" t="s">
        <v>31</v>
      </c>
      <c r="G46" s="2" t="s">
        <v>22</v>
      </c>
      <c r="H46" s="2" t="s">
        <v>23</v>
      </c>
      <c r="I46" s="2" t="s">
        <v>211</v>
      </c>
      <c r="J46" s="2">
        <v>78</v>
      </c>
      <c r="K46" s="2" t="s">
        <v>212</v>
      </c>
      <c r="L46" s="2">
        <v>2355</v>
      </c>
      <c r="M46" s="2" t="s">
        <v>213</v>
      </c>
      <c r="N46" s="2">
        <v>337</v>
      </c>
      <c r="O46" s="2">
        <v>8104691.6100000003</v>
      </c>
      <c r="P46" s="2">
        <v>24049.53</v>
      </c>
    </row>
    <row r="47" spans="1:16" outlineLevel="2" x14ac:dyDescent="0.2">
      <c r="A47" s="5">
        <v>46024</v>
      </c>
      <c r="B47" s="2">
        <v>155809</v>
      </c>
      <c r="C47" s="2">
        <v>1</v>
      </c>
      <c r="D47" s="2" t="s">
        <v>88</v>
      </c>
      <c r="E47" s="2" t="s">
        <v>89</v>
      </c>
      <c r="F47" s="2" t="s">
        <v>31</v>
      </c>
      <c r="G47" s="2" t="s">
        <v>22</v>
      </c>
      <c r="H47" s="2" t="s">
        <v>23</v>
      </c>
      <c r="I47" s="2" t="s">
        <v>169</v>
      </c>
      <c r="J47" s="2">
        <v>1</v>
      </c>
      <c r="K47" s="2" t="s">
        <v>24</v>
      </c>
      <c r="L47" s="2">
        <v>2355</v>
      </c>
      <c r="M47" s="2" t="s">
        <v>213</v>
      </c>
      <c r="N47" s="2">
        <v>184</v>
      </c>
      <c r="O47" s="2">
        <v>7956479.4400000004</v>
      </c>
      <c r="P47" s="2">
        <v>43241.74</v>
      </c>
    </row>
    <row r="48" spans="1:16" outlineLevel="2" x14ac:dyDescent="0.2">
      <c r="A48" s="5">
        <v>46024</v>
      </c>
      <c r="B48" s="2">
        <v>155809</v>
      </c>
      <c r="C48" s="2">
        <v>3</v>
      </c>
      <c r="D48" s="2" t="s">
        <v>88</v>
      </c>
      <c r="E48" s="2" t="s">
        <v>89</v>
      </c>
      <c r="F48" s="2" t="s">
        <v>31</v>
      </c>
      <c r="G48" s="2" t="s">
        <v>22</v>
      </c>
      <c r="H48" s="2" t="s">
        <v>23</v>
      </c>
      <c r="I48" s="2" t="s">
        <v>214</v>
      </c>
      <c r="J48" s="2">
        <v>1</v>
      </c>
      <c r="K48" s="2" t="s">
        <v>24</v>
      </c>
      <c r="L48" s="2">
        <v>2355</v>
      </c>
      <c r="M48" s="2" t="s">
        <v>213</v>
      </c>
      <c r="N48" s="2">
        <v>184</v>
      </c>
      <c r="O48" s="2">
        <v>3947903.25</v>
      </c>
      <c r="P48" s="2">
        <v>21456</v>
      </c>
    </row>
    <row r="49" spans="1:16" outlineLevel="1" x14ac:dyDescent="0.2">
      <c r="A49" s="5"/>
      <c r="D49" s="3" t="s">
        <v>698</v>
      </c>
      <c r="N49" s="2">
        <f>SUBTOTAL(9,N38:N48)</f>
        <v>1297</v>
      </c>
      <c r="O49" s="2">
        <f>SUBTOTAL(9,O38:O48)</f>
        <v>29555073.260000002</v>
      </c>
    </row>
    <row r="50" spans="1:16" outlineLevel="2" x14ac:dyDescent="0.2">
      <c r="A50" s="5">
        <v>46024</v>
      </c>
      <c r="B50" s="2">
        <v>155807</v>
      </c>
      <c r="C50" s="2">
        <v>1</v>
      </c>
      <c r="D50" s="2" t="s">
        <v>207</v>
      </c>
      <c r="E50" s="2" t="s">
        <v>23</v>
      </c>
      <c r="F50" s="2" t="s">
        <v>47</v>
      </c>
      <c r="G50" s="2" t="s">
        <v>22</v>
      </c>
      <c r="H50" s="2" t="s">
        <v>208</v>
      </c>
      <c r="I50" s="2" t="s">
        <v>23</v>
      </c>
      <c r="J50" s="2">
        <v>41</v>
      </c>
      <c r="K50" s="2" t="s">
        <v>129</v>
      </c>
      <c r="L50" s="2">
        <v>25213</v>
      </c>
      <c r="M50" s="2" t="s">
        <v>130</v>
      </c>
      <c r="N50" s="2">
        <v>75</v>
      </c>
      <c r="O50" s="2">
        <v>242973.42</v>
      </c>
      <c r="P50" s="2">
        <v>3239.65</v>
      </c>
    </row>
    <row r="51" spans="1:16" outlineLevel="2" x14ac:dyDescent="0.2">
      <c r="A51" s="5">
        <v>46024</v>
      </c>
      <c r="B51" s="2">
        <v>155807</v>
      </c>
      <c r="C51" s="2">
        <v>2</v>
      </c>
      <c r="D51" s="2" t="s">
        <v>207</v>
      </c>
      <c r="E51" s="2" t="s">
        <v>23</v>
      </c>
      <c r="F51" s="2" t="s">
        <v>47</v>
      </c>
      <c r="G51" s="2" t="s">
        <v>22</v>
      </c>
      <c r="H51" s="2" t="s">
        <v>209</v>
      </c>
      <c r="I51" s="2" t="s">
        <v>23</v>
      </c>
      <c r="J51" s="2">
        <v>41</v>
      </c>
      <c r="K51" s="2" t="s">
        <v>129</v>
      </c>
      <c r="L51" s="2">
        <v>25213</v>
      </c>
      <c r="M51" s="2" t="s">
        <v>130</v>
      </c>
      <c r="N51" s="2">
        <v>75</v>
      </c>
      <c r="O51" s="2">
        <v>223184.65</v>
      </c>
      <c r="P51" s="2">
        <v>2975.8</v>
      </c>
    </row>
    <row r="52" spans="1:16" outlineLevel="2" x14ac:dyDescent="0.2">
      <c r="A52" s="5">
        <v>46024</v>
      </c>
      <c r="B52" s="2">
        <v>155807</v>
      </c>
      <c r="C52" s="2">
        <v>4</v>
      </c>
      <c r="D52" s="2" t="s">
        <v>207</v>
      </c>
      <c r="E52" s="2" t="s">
        <v>23</v>
      </c>
      <c r="F52" s="2" t="s">
        <v>47</v>
      </c>
      <c r="G52" s="2" t="s">
        <v>22</v>
      </c>
      <c r="H52" s="2" t="s">
        <v>23</v>
      </c>
      <c r="I52" s="2" t="s">
        <v>23</v>
      </c>
      <c r="J52" s="2">
        <v>1</v>
      </c>
      <c r="K52" s="2" t="s">
        <v>24</v>
      </c>
      <c r="L52" s="2">
        <v>25213</v>
      </c>
      <c r="M52" s="2" t="s">
        <v>130</v>
      </c>
      <c r="N52" s="2">
        <v>4</v>
      </c>
      <c r="O52" s="2">
        <v>295673.59999999998</v>
      </c>
      <c r="P52" s="2">
        <v>73918.399999999994</v>
      </c>
    </row>
    <row r="53" spans="1:16" outlineLevel="2" x14ac:dyDescent="0.2">
      <c r="A53" s="5">
        <v>46024</v>
      </c>
      <c r="B53" s="2">
        <v>155807</v>
      </c>
      <c r="C53" s="2">
        <v>5</v>
      </c>
      <c r="D53" s="2" t="s">
        <v>207</v>
      </c>
      <c r="E53" s="2" t="s">
        <v>23</v>
      </c>
      <c r="F53" s="2" t="s">
        <v>47</v>
      </c>
      <c r="G53" s="2" t="s">
        <v>210</v>
      </c>
      <c r="H53" s="2" t="s">
        <v>23</v>
      </c>
      <c r="I53" s="2" t="s">
        <v>23</v>
      </c>
      <c r="J53" s="2">
        <v>1</v>
      </c>
      <c r="K53" s="2" t="s">
        <v>24</v>
      </c>
      <c r="L53" s="2">
        <v>25213</v>
      </c>
      <c r="M53" s="2" t="s">
        <v>130</v>
      </c>
      <c r="N53" s="2">
        <v>3</v>
      </c>
      <c r="O53" s="2">
        <v>180217.15</v>
      </c>
      <c r="P53" s="2">
        <v>60072.38</v>
      </c>
    </row>
    <row r="54" spans="1:16" outlineLevel="1" x14ac:dyDescent="0.2">
      <c r="A54" s="5"/>
      <c r="D54" s="3" t="s">
        <v>699</v>
      </c>
      <c r="N54" s="2">
        <f>SUBTOTAL(9,N50:N53)</f>
        <v>157</v>
      </c>
      <c r="O54" s="2">
        <f>SUBTOTAL(9,O50:O53)</f>
        <v>942048.82</v>
      </c>
    </row>
    <row r="55" spans="1:16" outlineLevel="2" x14ac:dyDescent="0.2">
      <c r="A55" s="5">
        <v>46021</v>
      </c>
      <c r="B55" s="2">
        <v>154990</v>
      </c>
      <c r="C55" s="2">
        <v>2</v>
      </c>
      <c r="D55" s="2" t="s">
        <v>77</v>
      </c>
      <c r="E55" s="2" t="s">
        <v>78</v>
      </c>
      <c r="F55" s="2" t="s">
        <v>72</v>
      </c>
      <c r="G55" s="2" t="s">
        <v>22</v>
      </c>
      <c r="H55" s="2" t="s">
        <v>23</v>
      </c>
      <c r="I55" s="2" t="s">
        <v>79</v>
      </c>
      <c r="J55" s="2">
        <v>1</v>
      </c>
      <c r="K55" s="2" t="s">
        <v>24</v>
      </c>
      <c r="L55" s="2">
        <v>639</v>
      </c>
      <c r="M55" s="2" t="s">
        <v>80</v>
      </c>
      <c r="N55" s="2">
        <v>2</v>
      </c>
      <c r="O55" s="2">
        <v>-579.96</v>
      </c>
      <c r="P55" s="2">
        <v>-289.98</v>
      </c>
    </row>
    <row r="56" spans="1:16" outlineLevel="1" x14ac:dyDescent="0.2">
      <c r="A56" s="5"/>
      <c r="D56" s="3" t="s">
        <v>700</v>
      </c>
      <c r="N56" s="2">
        <f>SUBTOTAL(9,N55:N55)</f>
        <v>2</v>
      </c>
      <c r="O56" s="2">
        <f>SUBTOTAL(9,O55:O55)</f>
        <v>-579.96</v>
      </c>
    </row>
    <row r="57" spans="1:16" outlineLevel="2" x14ac:dyDescent="0.2">
      <c r="A57" s="5">
        <v>46029</v>
      </c>
      <c r="B57" s="2">
        <v>155546</v>
      </c>
      <c r="C57" s="2">
        <v>1</v>
      </c>
      <c r="D57" s="2" t="s">
        <v>83</v>
      </c>
      <c r="E57" s="2" t="s">
        <v>23</v>
      </c>
      <c r="F57" s="2" t="s">
        <v>55</v>
      </c>
      <c r="G57" s="2" t="s">
        <v>23</v>
      </c>
      <c r="H57" s="2" t="s">
        <v>23</v>
      </c>
      <c r="I57" s="2" t="s">
        <v>23</v>
      </c>
      <c r="J57" s="2">
        <v>1</v>
      </c>
      <c r="K57" s="2" t="s">
        <v>24</v>
      </c>
      <c r="L57" s="2">
        <v>25092</v>
      </c>
      <c r="M57" s="2" t="s">
        <v>96</v>
      </c>
      <c r="N57" s="2">
        <v>1</v>
      </c>
      <c r="O57" s="2">
        <v>13711.58</v>
      </c>
      <c r="P57" s="2">
        <v>13711.58</v>
      </c>
    </row>
    <row r="58" spans="1:16" outlineLevel="2" x14ac:dyDescent="0.2">
      <c r="A58" s="5">
        <v>46029</v>
      </c>
      <c r="B58" s="2">
        <v>155601</v>
      </c>
      <c r="C58" s="2">
        <v>1</v>
      </c>
      <c r="D58" s="2" t="s">
        <v>83</v>
      </c>
      <c r="E58" s="2" t="s">
        <v>23</v>
      </c>
      <c r="F58" s="2" t="s">
        <v>55</v>
      </c>
      <c r="G58" s="2" t="s">
        <v>23</v>
      </c>
      <c r="H58" s="2" t="s">
        <v>23</v>
      </c>
      <c r="I58" s="2" t="s">
        <v>23</v>
      </c>
      <c r="J58" s="2">
        <v>1</v>
      </c>
      <c r="K58" s="2" t="s">
        <v>24</v>
      </c>
      <c r="L58" s="2">
        <v>2276</v>
      </c>
      <c r="M58" s="2" t="s">
        <v>156</v>
      </c>
      <c r="N58" s="2">
        <v>58</v>
      </c>
      <c r="O58" s="2">
        <v>280013.31</v>
      </c>
      <c r="P58" s="2">
        <v>4827.82</v>
      </c>
    </row>
    <row r="59" spans="1:16" outlineLevel="2" x14ac:dyDescent="0.2">
      <c r="A59" s="5">
        <v>46029</v>
      </c>
      <c r="B59" s="2">
        <v>155731</v>
      </c>
      <c r="C59" s="2">
        <v>2</v>
      </c>
      <c r="D59" s="2" t="s">
        <v>83</v>
      </c>
      <c r="E59" s="2" t="s">
        <v>23</v>
      </c>
      <c r="F59" s="2" t="s">
        <v>55</v>
      </c>
      <c r="G59" s="2" t="s">
        <v>23</v>
      </c>
      <c r="H59" s="2" t="s">
        <v>23</v>
      </c>
      <c r="I59" s="2" t="s">
        <v>23</v>
      </c>
      <c r="J59" s="2">
        <v>1</v>
      </c>
      <c r="K59" s="2" t="s">
        <v>24</v>
      </c>
      <c r="L59" s="2">
        <v>792</v>
      </c>
      <c r="M59" s="2" t="s">
        <v>127</v>
      </c>
      <c r="N59" s="2">
        <v>3</v>
      </c>
      <c r="O59" s="2">
        <v>27133.17</v>
      </c>
      <c r="P59" s="2">
        <v>9044.39</v>
      </c>
    </row>
    <row r="60" spans="1:16" outlineLevel="2" x14ac:dyDescent="0.2">
      <c r="A60" s="5">
        <v>46029</v>
      </c>
      <c r="B60" s="2">
        <v>155797</v>
      </c>
      <c r="C60" s="2">
        <v>1</v>
      </c>
      <c r="D60" s="2" t="s">
        <v>83</v>
      </c>
      <c r="E60" s="2" t="s">
        <v>23</v>
      </c>
      <c r="F60" s="2" t="s">
        <v>55</v>
      </c>
      <c r="G60" s="2" t="s">
        <v>23</v>
      </c>
      <c r="H60" s="2" t="s">
        <v>23</v>
      </c>
      <c r="I60" s="2" t="s">
        <v>23</v>
      </c>
      <c r="J60" s="2">
        <v>1</v>
      </c>
      <c r="K60" s="2" t="s">
        <v>24</v>
      </c>
      <c r="L60" s="2">
        <v>25092</v>
      </c>
      <c r="M60" s="2" t="s">
        <v>96</v>
      </c>
      <c r="N60" s="2">
        <v>2</v>
      </c>
      <c r="O60" s="2">
        <v>27423.16</v>
      </c>
      <c r="P60" s="2">
        <v>13711.58</v>
      </c>
    </row>
    <row r="61" spans="1:16" outlineLevel="2" x14ac:dyDescent="0.2">
      <c r="A61" s="5">
        <v>45992</v>
      </c>
      <c r="B61" s="2">
        <v>155088</v>
      </c>
      <c r="C61" s="2">
        <v>1</v>
      </c>
      <c r="D61" s="2" t="s">
        <v>83</v>
      </c>
      <c r="E61" s="2" t="s">
        <v>84</v>
      </c>
      <c r="F61" s="2" t="s">
        <v>85</v>
      </c>
      <c r="G61" s="2" t="s">
        <v>22</v>
      </c>
      <c r="H61" s="2" t="s">
        <v>23</v>
      </c>
      <c r="I61" s="2" t="s">
        <v>86</v>
      </c>
      <c r="J61" s="2">
        <v>1</v>
      </c>
      <c r="K61" s="2" t="s">
        <v>24</v>
      </c>
      <c r="L61" s="2">
        <v>2089</v>
      </c>
      <c r="M61" s="2" t="s">
        <v>87</v>
      </c>
      <c r="N61" s="2">
        <v>0</v>
      </c>
      <c r="O61" s="2">
        <v>-1194801.28</v>
      </c>
      <c r="P61" s="2">
        <v>0</v>
      </c>
    </row>
    <row r="62" spans="1:16" outlineLevel="1" x14ac:dyDescent="0.2">
      <c r="A62" s="5"/>
      <c r="D62" s="3" t="s">
        <v>701</v>
      </c>
      <c r="N62" s="2">
        <f>SUBTOTAL(9,N57:N61)</f>
        <v>64</v>
      </c>
      <c r="O62" s="2">
        <f>SUBTOTAL(9,O57:O61)</f>
        <v>-846520.06</v>
      </c>
    </row>
    <row r="63" spans="1:16" outlineLevel="2" x14ac:dyDescent="0.2">
      <c r="A63" s="5">
        <v>46002</v>
      </c>
      <c r="B63" s="2">
        <v>155175</v>
      </c>
      <c r="C63" s="2">
        <v>1</v>
      </c>
      <c r="D63" s="2" t="s">
        <v>92</v>
      </c>
      <c r="E63" s="2" t="s">
        <v>93</v>
      </c>
      <c r="F63" s="2" t="s">
        <v>40</v>
      </c>
      <c r="G63" s="2" t="s">
        <v>22</v>
      </c>
      <c r="H63" s="2" t="s">
        <v>23</v>
      </c>
      <c r="I63" s="2" t="s">
        <v>23</v>
      </c>
      <c r="J63" s="2">
        <v>5</v>
      </c>
      <c r="K63" s="2" t="s">
        <v>27</v>
      </c>
      <c r="L63" s="2">
        <v>2521</v>
      </c>
      <c r="M63" s="2" t="s">
        <v>82</v>
      </c>
      <c r="N63" s="2">
        <v>55</v>
      </c>
      <c r="O63" s="2">
        <v>1149413.42</v>
      </c>
      <c r="P63" s="2">
        <v>20898.43</v>
      </c>
    </row>
    <row r="64" spans="1:16" outlineLevel="2" x14ac:dyDescent="0.2">
      <c r="A64" s="5">
        <v>46002</v>
      </c>
      <c r="B64" s="2">
        <v>155175</v>
      </c>
      <c r="C64" s="2">
        <v>200</v>
      </c>
      <c r="D64" s="2" t="s">
        <v>92</v>
      </c>
      <c r="E64" s="2" t="s">
        <v>93</v>
      </c>
      <c r="F64" s="2" t="s">
        <v>40</v>
      </c>
      <c r="G64" s="2" t="s">
        <v>22</v>
      </c>
      <c r="H64" s="2" t="s">
        <v>23</v>
      </c>
      <c r="I64" s="2" t="s">
        <v>23</v>
      </c>
      <c r="J64" s="2">
        <v>5</v>
      </c>
      <c r="K64" s="2" t="s">
        <v>27</v>
      </c>
      <c r="L64" s="2">
        <v>2521</v>
      </c>
      <c r="M64" s="2" t="s">
        <v>82</v>
      </c>
      <c r="N64" s="2">
        <v>8</v>
      </c>
      <c r="O64" s="2">
        <v>89446.97</v>
      </c>
      <c r="P64" s="2">
        <v>11180.87</v>
      </c>
    </row>
    <row r="65" spans="1:16" outlineLevel="1" x14ac:dyDescent="0.2">
      <c r="A65" s="5"/>
      <c r="D65" s="3" t="s">
        <v>702</v>
      </c>
      <c r="N65" s="2">
        <f>SUBTOTAL(9,N63:N64)</f>
        <v>63</v>
      </c>
      <c r="O65" s="2">
        <f>SUBTOTAL(9,O63:O64)</f>
        <v>1238860.3899999999</v>
      </c>
    </row>
    <row r="66" spans="1:16" outlineLevel="2" x14ac:dyDescent="0.2">
      <c r="A66" s="5">
        <v>46045</v>
      </c>
      <c r="B66" s="2">
        <v>155508</v>
      </c>
      <c r="C66" s="2">
        <v>1</v>
      </c>
      <c r="D66" s="2" t="s">
        <v>29</v>
      </c>
      <c r="E66" s="2" t="s">
        <v>23</v>
      </c>
      <c r="F66" s="2" t="s">
        <v>55</v>
      </c>
      <c r="G66" s="2" t="s">
        <v>23</v>
      </c>
      <c r="H66" s="2" t="s">
        <v>23</v>
      </c>
      <c r="I66" s="2" t="s">
        <v>23</v>
      </c>
      <c r="J66" s="2">
        <v>2</v>
      </c>
      <c r="K66" s="2" t="s">
        <v>48</v>
      </c>
      <c r="L66" s="2">
        <v>792</v>
      </c>
      <c r="M66" s="2" t="s">
        <v>127</v>
      </c>
      <c r="N66" s="2">
        <v>14</v>
      </c>
      <c r="O66" s="2">
        <v>214944.68</v>
      </c>
      <c r="P66" s="2">
        <v>15353.19</v>
      </c>
    </row>
    <row r="67" spans="1:16" outlineLevel="2" x14ac:dyDescent="0.2">
      <c r="A67" s="5">
        <v>46009</v>
      </c>
      <c r="B67" s="2">
        <v>155512</v>
      </c>
      <c r="C67" s="2">
        <v>1</v>
      </c>
      <c r="D67" s="2" t="s">
        <v>29</v>
      </c>
      <c r="E67" s="2" t="s">
        <v>23</v>
      </c>
      <c r="F67" s="2" t="s">
        <v>55</v>
      </c>
      <c r="G67" s="2" t="s">
        <v>23</v>
      </c>
      <c r="H67" s="2" t="s">
        <v>23</v>
      </c>
      <c r="I67" s="2" t="s">
        <v>23</v>
      </c>
      <c r="J67" s="2">
        <v>2</v>
      </c>
      <c r="K67" s="2" t="s">
        <v>48</v>
      </c>
      <c r="L67" s="2">
        <v>25092</v>
      </c>
      <c r="M67" s="2" t="s">
        <v>96</v>
      </c>
      <c r="N67" s="2">
        <v>7</v>
      </c>
      <c r="O67" s="2">
        <v>70778.240000000005</v>
      </c>
      <c r="P67" s="2">
        <v>10111.18</v>
      </c>
    </row>
    <row r="68" spans="1:16" outlineLevel="2" x14ac:dyDescent="0.2">
      <c r="A68" s="5">
        <v>46027</v>
      </c>
      <c r="B68" s="2">
        <v>155663</v>
      </c>
      <c r="C68" s="2">
        <v>2</v>
      </c>
      <c r="D68" s="2" t="s">
        <v>29</v>
      </c>
      <c r="E68" s="2" t="s">
        <v>23</v>
      </c>
      <c r="F68" s="2" t="s">
        <v>55</v>
      </c>
      <c r="G68" s="2" t="s">
        <v>23</v>
      </c>
      <c r="H68" s="2" t="s">
        <v>23</v>
      </c>
      <c r="I68" s="2" t="s">
        <v>23</v>
      </c>
      <c r="J68" s="2">
        <v>1</v>
      </c>
      <c r="K68" s="2" t="s">
        <v>24</v>
      </c>
      <c r="L68" s="2">
        <v>2403</v>
      </c>
      <c r="M68" s="2" t="s">
        <v>142</v>
      </c>
      <c r="N68" s="2">
        <v>4</v>
      </c>
      <c r="O68" s="2">
        <v>40146.339999999997</v>
      </c>
      <c r="P68" s="2">
        <v>10036.59</v>
      </c>
    </row>
    <row r="69" spans="1:16" outlineLevel="2" x14ac:dyDescent="0.2">
      <c r="A69" s="5">
        <v>46045</v>
      </c>
      <c r="B69" s="2">
        <v>155701</v>
      </c>
      <c r="C69" s="2">
        <v>1</v>
      </c>
      <c r="D69" s="2" t="s">
        <v>29</v>
      </c>
      <c r="E69" s="2" t="s">
        <v>55</v>
      </c>
      <c r="F69" s="2" t="s">
        <v>23</v>
      </c>
      <c r="G69" s="2" t="s">
        <v>23</v>
      </c>
      <c r="H69" s="2" t="s">
        <v>23</v>
      </c>
      <c r="I69" s="2" t="s">
        <v>23</v>
      </c>
      <c r="J69" s="2">
        <v>2</v>
      </c>
      <c r="K69" s="2" t="s">
        <v>48</v>
      </c>
      <c r="L69" s="2">
        <v>818</v>
      </c>
      <c r="M69" s="2" t="s">
        <v>173</v>
      </c>
      <c r="N69" s="2">
        <v>2</v>
      </c>
      <c r="O69" s="2">
        <v>29290.04</v>
      </c>
      <c r="P69" s="2">
        <v>14645.02</v>
      </c>
    </row>
    <row r="70" spans="1:16" outlineLevel="2" x14ac:dyDescent="0.2">
      <c r="A70" s="5">
        <v>46045</v>
      </c>
      <c r="B70" s="2">
        <v>155767</v>
      </c>
      <c r="C70" s="2">
        <v>2</v>
      </c>
      <c r="D70" s="2" t="s">
        <v>29</v>
      </c>
      <c r="E70" s="2" t="s">
        <v>55</v>
      </c>
      <c r="F70" s="2" t="s">
        <v>23</v>
      </c>
      <c r="G70" s="2" t="s">
        <v>23</v>
      </c>
      <c r="H70" s="2" t="s">
        <v>23</v>
      </c>
      <c r="I70" s="2" t="s">
        <v>23</v>
      </c>
      <c r="J70" s="2">
        <v>2</v>
      </c>
      <c r="K70" s="2" t="s">
        <v>48</v>
      </c>
      <c r="L70" s="2">
        <v>818</v>
      </c>
      <c r="M70" s="2" t="s">
        <v>173</v>
      </c>
      <c r="N70" s="2">
        <v>22</v>
      </c>
      <c r="O70" s="2">
        <v>96298.18</v>
      </c>
      <c r="P70" s="2">
        <v>4377.1899999999996</v>
      </c>
    </row>
    <row r="71" spans="1:16" outlineLevel="2" x14ac:dyDescent="0.2">
      <c r="A71" s="5">
        <v>45735</v>
      </c>
      <c r="B71" s="2">
        <v>148642</v>
      </c>
      <c r="C71" s="2">
        <v>5</v>
      </c>
      <c r="D71" s="2" t="s">
        <v>29</v>
      </c>
      <c r="E71" s="2" t="s">
        <v>30</v>
      </c>
      <c r="F71" s="2" t="s">
        <v>31</v>
      </c>
      <c r="G71" s="2" t="s">
        <v>22</v>
      </c>
      <c r="H71" s="2" t="s">
        <v>23</v>
      </c>
      <c r="I71" s="2" t="s">
        <v>23</v>
      </c>
      <c r="J71" s="2">
        <v>1</v>
      </c>
      <c r="K71" s="2" t="s">
        <v>24</v>
      </c>
      <c r="L71" s="2">
        <v>25177</v>
      </c>
      <c r="M71" s="2" t="s">
        <v>32</v>
      </c>
      <c r="N71" s="2">
        <v>0</v>
      </c>
      <c r="O71" s="2">
        <v>0</v>
      </c>
      <c r="P71" s="2">
        <v>0</v>
      </c>
    </row>
    <row r="72" spans="1:16" outlineLevel="1" x14ac:dyDescent="0.2">
      <c r="A72" s="5"/>
      <c r="D72" s="3" t="s">
        <v>703</v>
      </c>
      <c r="N72" s="2">
        <f>SUBTOTAL(9,N66:N71)</f>
        <v>49</v>
      </c>
      <c r="O72" s="2">
        <f>SUBTOTAL(9,O66:O71)</f>
        <v>451457.48</v>
      </c>
    </row>
    <row r="73" spans="1:16" outlineLevel="2" x14ac:dyDescent="0.2">
      <c r="A73" s="5">
        <v>46017</v>
      </c>
      <c r="B73" s="2">
        <v>155671</v>
      </c>
      <c r="C73" s="2">
        <v>200</v>
      </c>
      <c r="D73" s="2" t="s">
        <v>19</v>
      </c>
      <c r="E73" s="2" t="s">
        <v>23</v>
      </c>
      <c r="F73" s="2" t="s">
        <v>23</v>
      </c>
      <c r="G73" s="2" t="s">
        <v>22</v>
      </c>
      <c r="H73" s="2" t="s">
        <v>23</v>
      </c>
      <c r="I73" s="2" t="s">
        <v>23</v>
      </c>
      <c r="J73" s="2">
        <v>39</v>
      </c>
      <c r="K73" s="2" t="s">
        <v>172</v>
      </c>
      <c r="L73" s="2">
        <v>25205</v>
      </c>
      <c r="M73" s="2" t="s">
        <v>171</v>
      </c>
      <c r="N73" s="2">
        <v>11</v>
      </c>
      <c r="O73" s="2">
        <v>97625.81</v>
      </c>
      <c r="P73" s="2">
        <v>8875.07</v>
      </c>
    </row>
    <row r="74" spans="1:16" outlineLevel="2" x14ac:dyDescent="0.2">
      <c r="A74" s="5">
        <v>45541</v>
      </c>
      <c r="B74" s="2">
        <v>143695</v>
      </c>
      <c r="C74" s="2">
        <v>1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23</v>
      </c>
      <c r="J74" s="2">
        <v>1</v>
      </c>
      <c r="K74" s="2" t="s">
        <v>24</v>
      </c>
      <c r="L74" s="2">
        <v>1829</v>
      </c>
      <c r="M74" s="2" t="s">
        <v>25</v>
      </c>
      <c r="N74" s="2">
        <v>2</v>
      </c>
      <c r="O74" s="2">
        <v>176773.4</v>
      </c>
      <c r="P74" s="2">
        <v>88386.7</v>
      </c>
    </row>
    <row r="75" spans="1:16" outlineLevel="2" x14ac:dyDescent="0.2">
      <c r="A75" s="5">
        <v>46017</v>
      </c>
      <c r="B75" s="2">
        <v>155671</v>
      </c>
      <c r="C75" s="2">
        <v>1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170</v>
      </c>
      <c r="J75" s="2">
        <v>1</v>
      </c>
      <c r="K75" s="2" t="s">
        <v>24</v>
      </c>
      <c r="L75" s="2">
        <v>25205</v>
      </c>
      <c r="M75" s="2" t="s">
        <v>171</v>
      </c>
      <c r="N75" s="2">
        <v>93</v>
      </c>
      <c r="O75" s="2">
        <v>8570691.7200000007</v>
      </c>
      <c r="P75" s="2">
        <v>92157.98</v>
      </c>
    </row>
    <row r="76" spans="1:16" outlineLevel="2" x14ac:dyDescent="0.2">
      <c r="A76" s="5">
        <v>46017</v>
      </c>
      <c r="B76" s="2">
        <v>155671</v>
      </c>
      <c r="C76" s="2">
        <v>2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170</v>
      </c>
      <c r="J76" s="2">
        <v>1</v>
      </c>
      <c r="K76" s="2" t="s">
        <v>24</v>
      </c>
      <c r="L76" s="2">
        <v>25205</v>
      </c>
      <c r="M76" s="2" t="s">
        <v>171</v>
      </c>
      <c r="N76" s="2">
        <v>68</v>
      </c>
      <c r="O76" s="2">
        <v>6289382.4699999997</v>
      </c>
      <c r="P76" s="2">
        <v>92490.92</v>
      </c>
    </row>
    <row r="77" spans="1:16" outlineLevel="1" x14ac:dyDescent="0.2">
      <c r="A77" s="5"/>
      <c r="D77" s="3" t="s">
        <v>704</v>
      </c>
      <c r="N77" s="2">
        <f>SUBTOTAL(9,N73:N76)</f>
        <v>174</v>
      </c>
      <c r="O77" s="2">
        <f>SUBTOTAL(9,O73:O76)</f>
        <v>15134473.399999999</v>
      </c>
    </row>
    <row r="78" spans="1:16" outlineLevel="2" x14ac:dyDescent="0.2">
      <c r="A78" s="5">
        <v>45754</v>
      </c>
      <c r="B78" s="2">
        <v>149114</v>
      </c>
      <c r="C78" s="2">
        <v>1</v>
      </c>
      <c r="D78" s="2" t="s">
        <v>33</v>
      </c>
      <c r="E78" s="2" t="s">
        <v>34</v>
      </c>
      <c r="F78" s="2" t="s">
        <v>35</v>
      </c>
      <c r="G78" s="2" t="s">
        <v>22</v>
      </c>
      <c r="H78" s="2" t="s">
        <v>23</v>
      </c>
      <c r="I78" s="2" t="s">
        <v>36</v>
      </c>
      <c r="J78" s="2">
        <v>1</v>
      </c>
      <c r="K78" s="2" t="s">
        <v>24</v>
      </c>
      <c r="L78" s="2">
        <v>2520</v>
      </c>
      <c r="M78" s="2" t="s">
        <v>37</v>
      </c>
      <c r="N78" s="2">
        <v>0</v>
      </c>
      <c r="O78" s="2">
        <v>-17221.810000000001</v>
      </c>
      <c r="P78" s="2">
        <v>0</v>
      </c>
    </row>
    <row r="79" spans="1:16" outlineLevel="1" x14ac:dyDescent="0.2">
      <c r="A79" s="5"/>
      <c r="D79" s="3" t="s">
        <v>705</v>
      </c>
      <c r="N79" s="2">
        <f>SUBTOTAL(9,N78:N78)</f>
        <v>0</v>
      </c>
      <c r="O79" s="2">
        <f>SUBTOTAL(9,O78:O78)</f>
        <v>-17221.810000000001</v>
      </c>
    </row>
    <row r="80" spans="1:16" outlineLevel="2" x14ac:dyDescent="0.2">
      <c r="A80" s="5">
        <v>46012</v>
      </c>
      <c r="B80" s="2">
        <v>155559</v>
      </c>
      <c r="C80" s="2">
        <v>1</v>
      </c>
      <c r="D80" s="2" t="s">
        <v>143</v>
      </c>
      <c r="E80" s="2" t="s">
        <v>23</v>
      </c>
      <c r="F80" s="2" t="s">
        <v>144</v>
      </c>
      <c r="G80" s="2" t="s">
        <v>22</v>
      </c>
      <c r="H80" s="2" t="s">
        <v>23</v>
      </c>
      <c r="I80" s="2" t="s">
        <v>23</v>
      </c>
      <c r="J80" s="2">
        <v>1</v>
      </c>
      <c r="K80" s="2" t="s">
        <v>24</v>
      </c>
      <c r="L80" s="2">
        <v>2101</v>
      </c>
      <c r="M80" s="2" t="s">
        <v>145</v>
      </c>
      <c r="N80" s="2">
        <v>269</v>
      </c>
      <c r="O80" s="2">
        <v>899512.87</v>
      </c>
      <c r="P80" s="2">
        <v>3343.91</v>
      </c>
    </row>
    <row r="81" spans="1:16" outlineLevel="2" x14ac:dyDescent="0.2">
      <c r="A81" s="5">
        <v>46017</v>
      </c>
      <c r="B81" s="2">
        <v>155715</v>
      </c>
      <c r="C81" s="2">
        <v>1</v>
      </c>
      <c r="D81" s="2" t="s">
        <v>143</v>
      </c>
      <c r="E81" s="2" t="s">
        <v>23</v>
      </c>
      <c r="F81" s="2" t="s">
        <v>144</v>
      </c>
      <c r="G81" s="2" t="s">
        <v>22</v>
      </c>
      <c r="H81" s="2" t="s">
        <v>23</v>
      </c>
      <c r="I81" s="2" t="s">
        <v>23</v>
      </c>
      <c r="J81" s="2">
        <v>1</v>
      </c>
      <c r="K81" s="2" t="s">
        <v>24</v>
      </c>
      <c r="L81" s="2">
        <v>2101</v>
      </c>
      <c r="M81" s="2" t="s">
        <v>145</v>
      </c>
      <c r="N81" s="2">
        <v>220</v>
      </c>
      <c r="O81" s="2">
        <v>630877</v>
      </c>
      <c r="P81" s="2">
        <v>2867.62</v>
      </c>
    </row>
    <row r="82" spans="1:16" outlineLevel="2" x14ac:dyDescent="0.2">
      <c r="A82" s="5">
        <v>46020</v>
      </c>
      <c r="B82" s="2">
        <v>155786</v>
      </c>
      <c r="C82" s="2">
        <v>1</v>
      </c>
      <c r="D82" s="2" t="s">
        <v>143</v>
      </c>
      <c r="E82" s="2" t="s">
        <v>23</v>
      </c>
      <c r="F82" s="2" t="s">
        <v>144</v>
      </c>
      <c r="G82" s="2" t="s">
        <v>22</v>
      </c>
      <c r="H82" s="2" t="s">
        <v>23</v>
      </c>
      <c r="I82" s="2" t="s">
        <v>23</v>
      </c>
      <c r="J82" s="2">
        <v>1</v>
      </c>
      <c r="K82" s="2" t="s">
        <v>24</v>
      </c>
      <c r="L82" s="2">
        <v>2101</v>
      </c>
      <c r="M82" s="2" t="s">
        <v>145</v>
      </c>
      <c r="N82" s="2">
        <v>400</v>
      </c>
      <c r="O82" s="2">
        <v>810904.76</v>
      </c>
      <c r="P82" s="2">
        <v>2027.26</v>
      </c>
    </row>
    <row r="83" spans="1:16" outlineLevel="1" x14ac:dyDescent="0.2">
      <c r="A83" s="5"/>
      <c r="D83" s="3" t="s">
        <v>706</v>
      </c>
      <c r="N83" s="2">
        <f>SUBTOTAL(9,N80:N82)</f>
        <v>889</v>
      </c>
      <c r="O83" s="2">
        <f>SUBTOTAL(9,O80:O82)</f>
        <v>2341294.63</v>
      </c>
    </row>
    <row r="84" spans="1:16" outlineLevel="2" x14ac:dyDescent="0.2">
      <c r="A84" s="5">
        <v>46010</v>
      </c>
      <c r="B84" s="2">
        <v>155334</v>
      </c>
      <c r="C84" s="2">
        <v>1</v>
      </c>
      <c r="D84" s="2" t="s">
        <v>102</v>
      </c>
      <c r="E84" s="2" t="s">
        <v>23</v>
      </c>
      <c r="F84" s="2" t="s">
        <v>40</v>
      </c>
      <c r="G84" s="2" t="s">
        <v>22</v>
      </c>
      <c r="H84" s="2" t="s">
        <v>23</v>
      </c>
      <c r="I84" s="2" t="s">
        <v>23</v>
      </c>
      <c r="J84" s="2">
        <v>1</v>
      </c>
      <c r="K84" s="2" t="s">
        <v>24</v>
      </c>
      <c r="L84" s="2">
        <v>25120</v>
      </c>
      <c r="M84" s="2" t="s">
        <v>103</v>
      </c>
      <c r="N84" s="2">
        <v>131</v>
      </c>
      <c r="O84" s="2">
        <v>4566645.9800000004</v>
      </c>
      <c r="P84" s="2">
        <v>34859.89</v>
      </c>
    </row>
    <row r="85" spans="1:16" outlineLevel="2" x14ac:dyDescent="0.2">
      <c r="A85" s="5">
        <v>46037</v>
      </c>
      <c r="B85" s="2">
        <v>155528</v>
      </c>
      <c r="C85" s="2">
        <v>1</v>
      </c>
      <c r="D85" s="2" t="s">
        <v>102</v>
      </c>
      <c r="E85" s="2" t="s">
        <v>23</v>
      </c>
      <c r="F85" s="2" t="s">
        <v>40</v>
      </c>
      <c r="G85" s="2" t="s">
        <v>22</v>
      </c>
      <c r="H85" s="2" t="s">
        <v>23</v>
      </c>
      <c r="I85" s="2" t="s">
        <v>23</v>
      </c>
      <c r="J85" s="2">
        <v>1</v>
      </c>
      <c r="K85" s="2" t="s">
        <v>24</v>
      </c>
      <c r="L85" s="2">
        <v>25120</v>
      </c>
      <c r="M85" s="2" t="s">
        <v>103</v>
      </c>
      <c r="N85" s="2">
        <v>137</v>
      </c>
      <c r="O85" s="2">
        <v>5394628.8600000003</v>
      </c>
      <c r="P85" s="2">
        <v>39376.85</v>
      </c>
    </row>
    <row r="86" spans="1:16" outlineLevel="2" x14ac:dyDescent="0.2">
      <c r="A86" s="5">
        <v>46030</v>
      </c>
      <c r="B86" s="2">
        <v>155334</v>
      </c>
      <c r="C86" s="2">
        <v>2</v>
      </c>
      <c r="D86" s="2" t="s">
        <v>102</v>
      </c>
      <c r="E86" s="2" t="s">
        <v>104</v>
      </c>
      <c r="F86" s="2" t="s">
        <v>40</v>
      </c>
      <c r="G86" s="2" t="s">
        <v>22</v>
      </c>
      <c r="H86" s="2" t="s">
        <v>23</v>
      </c>
      <c r="I86" s="2" t="s">
        <v>23</v>
      </c>
      <c r="J86" s="2">
        <v>1</v>
      </c>
      <c r="K86" s="2" t="s">
        <v>24</v>
      </c>
      <c r="L86" s="2">
        <v>25120</v>
      </c>
      <c r="M86" s="2" t="s">
        <v>103</v>
      </c>
      <c r="N86" s="2">
        <v>82</v>
      </c>
      <c r="O86" s="2">
        <v>2304293.27</v>
      </c>
      <c r="P86" s="2">
        <v>28101.14</v>
      </c>
    </row>
    <row r="87" spans="1:16" outlineLevel="1" x14ac:dyDescent="0.2">
      <c r="A87" s="5"/>
      <c r="D87" s="3" t="s">
        <v>707</v>
      </c>
      <c r="N87" s="2">
        <f>SUBTOTAL(9,N84:N86)</f>
        <v>350</v>
      </c>
      <c r="O87" s="2">
        <f>SUBTOTAL(9,O84:O86)</f>
        <v>12265568.109999999</v>
      </c>
    </row>
    <row r="88" spans="1:16" outlineLevel="2" x14ac:dyDescent="0.2">
      <c r="A88" s="5">
        <v>46010</v>
      </c>
      <c r="B88" s="2">
        <v>155476</v>
      </c>
      <c r="C88" s="2">
        <v>1</v>
      </c>
      <c r="D88" s="2" t="s">
        <v>119</v>
      </c>
      <c r="E88" s="2" t="s">
        <v>120</v>
      </c>
      <c r="F88" s="2" t="s">
        <v>121</v>
      </c>
      <c r="G88" s="2" t="s">
        <v>22</v>
      </c>
      <c r="H88" s="2" t="s">
        <v>23</v>
      </c>
      <c r="I88" s="2" t="s">
        <v>122</v>
      </c>
      <c r="J88" s="2">
        <v>1</v>
      </c>
      <c r="K88" s="2" t="s">
        <v>24</v>
      </c>
      <c r="L88" s="2">
        <v>25227</v>
      </c>
      <c r="M88" s="2" t="s">
        <v>123</v>
      </c>
      <c r="N88" s="2">
        <v>56</v>
      </c>
      <c r="O88" s="2">
        <v>3221087.9</v>
      </c>
      <c r="P88" s="2">
        <v>57519.43</v>
      </c>
    </row>
    <row r="89" spans="1:16" outlineLevel="2" x14ac:dyDescent="0.2">
      <c r="A89" s="5">
        <v>46010</v>
      </c>
      <c r="B89" s="2">
        <v>155476</v>
      </c>
      <c r="C89" s="2">
        <v>2</v>
      </c>
      <c r="D89" s="2" t="s">
        <v>119</v>
      </c>
      <c r="E89" s="2" t="s">
        <v>120</v>
      </c>
      <c r="F89" s="2" t="s">
        <v>121</v>
      </c>
      <c r="G89" s="2" t="s">
        <v>22</v>
      </c>
      <c r="H89" s="2" t="s">
        <v>23</v>
      </c>
      <c r="I89" s="2" t="s">
        <v>124</v>
      </c>
      <c r="J89" s="2">
        <v>1</v>
      </c>
      <c r="K89" s="2" t="s">
        <v>24</v>
      </c>
      <c r="L89" s="2">
        <v>25227</v>
      </c>
      <c r="M89" s="2" t="s">
        <v>123</v>
      </c>
      <c r="N89" s="2">
        <v>123</v>
      </c>
      <c r="O89" s="2">
        <v>6707135.9100000001</v>
      </c>
      <c r="P89" s="2">
        <v>54529.56</v>
      </c>
    </row>
    <row r="90" spans="1:16" outlineLevel="2" x14ac:dyDescent="0.2">
      <c r="A90" s="5">
        <v>46036</v>
      </c>
      <c r="B90" s="2">
        <v>155756</v>
      </c>
      <c r="C90" s="2">
        <v>1</v>
      </c>
      <c r="D90" s="2" t="s">
        <v>119</v>
      </c>
      <c r="E90" s="2" t="s">
        <v>120</v>
      </c>
      <c r="F90" s="2" t="s">
        <v>121</v>
      </c>
      <c r="G90" s="2" t="s">
        <v>22</v>
      </c>
      <c r="H90" s="2" t="s">
        <v>23</v>
      </c>
      <c r="I90" s="2" t="s">
        <v>122</v>
      </c>
      <c r="J90" s="2">
        <v>1</v>
      </c>
      <c r="K90" s="2" t="s">
        <v>24</v>
      </c>
      <c r="L90" s="2">
        <v>25227</v>
      </c>
      <c r="M90" s="2" t="s">
        <v>123</v>
      </c>
      <c r="N90" s="2">
        <v>126</v>
      </c>
      <c r="O90" s="2">
        <v>6233758.5499999998</v>
      </c>
      <c r="P90" s="2">
        <v>49474.27</v>
      </c>
    </row>
    <row r="91" spans="1:16" outlineLevel="2" x14ac:dyDescent="0.2">
      <c r="A91" s="5">
        <v>46048</v>
      </c>
      <c r="B91" s="2">
        <v>155756</v>
      </c>
      <c r="C91" s="2">
        <v>2</v>
      </c>
      <c r="D91" s="2" t="s">
        <v>119</v>
      </c>
      <c r="E91" s="2" t="s">
        <v>120</v>
      </c>
      <c r="F91" s="2" t="s">
        <v>121</v>
      </c>
      <c r="G91" s="2" t="s">
        <v>22</v>
      </c>
      <c r="H91" s="2" t="s">
        <v>23</v>
      </c>
      <c r="I91" s="2" t="s">
        <v>124</v>
      </c>
      <c r="J91" s="2">
        <v>1</v>
      </c>
      <c r="K91" s="2" t="s">
        <v>24</v>
      </c>
      <c r="L91" s="2">
        <v>25227</v>
      </c>
      <c r="M91" s="2" t="s">
        <v>123</v>
      </c>
      <c r="N91" s="2">
        <v>131</v>
      </c>
      <c r="O91" s="2">
        <v>5562087.5</v>
      </c>
      <c r="P91" s="2">
        <v>42458.68</v>
      </c>
    </row>
    <row r="92" spans="1:16" outlineLevel="2" x14ac:dyDescent="0.2">
      <c r="A92" s="5">
        <v>46020</v>
      </c>
      <c r="B92" s="2">
        <v>155758</v>
      </c>
      <c r="C92" s="2">
        <v>1</v>
      </c>
      <c r="D92" s="2" t="s">
        <v>119</v>
      </c>
      <c r="E92" s="2" t="s">
        <v>120</v>
      </c>
      <c r="F92" s="2" t="s">
        <v>195</v>
      </c>
      <c r="G92" s="2" t="s">
        <v>22</v>
      </c>
      <c r="H92" s="2" t="s">
        <v>23</v>
      </c>
      <c r="I92" s="2" t="s">
        <v>122</v>
      </c>
      <c r="J92" s="2">
        <v>1</v>
      </c>
      <c r="K92" s="2" t="s">
        <v>24</v>
      </c>
      <c r="L92" s="2">
        <v>2120</v>
      </c>
      <c r="M92" s="2" t="s">
        <v>196</v>
      </c>
      <c r="N92" s="2">
        <v>173</v>
      </c>
      <c r="O92" s="2">
        <v>8891192.0700000003</v>
      </c>
      <c r="P92" s="2">
        <v>51394.17</v>
      </c>
    </row>
    <row r="93" spans="1:16" outlineLevel="2" x14ac:dyDescent="0.2">
      <c r="A93" s="5">
        <v>46055</v>
      </c>
      <c r="B93" s="2">
        <v>155758</v>
      </c>
      <c r="C93" s="2">
        <v>2</v>
      </c>
      <c r="D93" s="2" t="s">
        <v>119</v>
      </c>
      <c r="E93" s="2" t="s">
        <v>120</v>
      </c>
      <c r="F93" s="2" t="s">
        <v>195</v>
      </c>
      <c r="G93" s="2" t="s">
        <v>22</v>
      </c>
      <c r="H93" s="2" t="s">
        <v>23</v>
      </c>
      <c r="I93" s="2" t="s">
        <v>124</v>
      </c>
      <c r="J93" s="2">
        <v>1</v>
      </c>
      <c r="K93" s="2" t="s">
        <v>24</v>
      </c>
      <c r="L93" s="2">
        <v>2120</v>
      </c>
      <c r="M93" s="2" t="s">
        <v>196</v>
      </c>
      <c r="N93" s="2">
        <v>219</v>
      </c>
      <c r="O93" s="2">
        <v>8741282.2100000009</v>
      </c>
      <c r="P93" s="2">
        <v>39914.53</v>
      </c>
    </row>
    <row r="94" spans="1:16" outlineLevel="2" x14ac:dyDescent="0.2">
      <c r="A94" s="5">
        <v>46020</v>
      </c>
      <c r="B94" s="2">
        <v>155799</v>
      </c>
      <c r="C94" s="2">
        <v>1</v>
      </c>
      <c r="D94" s="2" t="s">
        <v>119</v>
      </c>
      <c r="E94" s="2" t="s">
        <v>120</v>
      </c>
      <c r="F94" s="2" t="s">
        <v>23</v>
      </c>
      <c r="G94" s="2" t="s">
        <v>22</v>
      </c>
      <c r="H94" s="2" t="s">
        <v>23</v>
      </c>
      <c r="I94" s="2" t="s">
        <v>23</v>
      </c>
      <c r="J94" s="2">
        <v>86</v>
      </c>
      <c r="K94" s="2" t="s">
        <v>73</v>
      </c>
      <c r="L94" s="2">
        <v>564</v>
      </c>
      <c r="M94" s="2" t="s">
        <v>204</v>
      </c>
      <c r="N94" s="2">
        <v>38</v>
      </c>
      <c r="O94" s="2">
        <v>2274421</v>
      </c>
      <c r="P94" s="2">
        <v>59853.18</v>
      </c>
    </row>
    <row r="95" spans="1:16" outlineLevel="1" x14ac:dyDescent="0.2">
      <c r="A95" s="5"/>
      <c r="D95" s="3" t="s">
        <v>708</v>
      </c>
      <c r="N95" s="2">
        <f>SUBTOTAL(9,N88:N94)</f>
        <v>866</v>
      </c>
      <c r="O95" s="2">
        <f>SUBTOTAL(9,O88:O94)</f>
        <v>41630965.140000001</v>
      </c>
    </row>
    <row r="96" spans="1:16" outlineLevel="2" x14ac:dyDescent="0.2">
      <c r="A96" s="5">
        <v>46020</v>
      </c>
      <c r="B96" s="2">
        <v>155614</v>
      </c>
      <c r="C96" s="2">
        <v>1</v>
      </c>
      <c r="D96" s="2" t="s">
        <v>160</v>
      </c>
      <c r="E96" s="2" t="s">
        <v>23</v>
      </c>
      <c r="F96" s="2" t="s">
        <v>40</v>
      </c>
      <c r="G96" s="2" t="s">
        <v>22</v>
      </c>
      <c r="H96" s="2" t="s">
        <v>23</v>
      </c>
      <c r="I96" s="2" t="s">
        <v>23</v>
      </c>
      <c r="J96" s="2">
        <v>1</v>
      </c>
      <c r="K96" s="2" t="s">
        <v>24</v>
      </c>
      <c r="L96" s="2">
        <v>25250</v>
      </c>
      <c r="M96" s="2" t="s">
        <v>161</v>
      </c>
      <c r="N96" s="2">
        <v>18</v>
      </c>
      <c r="O96" s="2">
        <v>606182.49</v>
      </c>
      <c r="P96" s="2">
        <v>33676.81</v>
      </c>
    </row>
    <row r="97" spans="1:16" outlineLevel="2" x14ac:dyDescent="0.2">
      <c r="A97" s="5">
        <v>46024</v>
      </c>
      <c r="B97" s="2">
        <v>155817</v>
      </c>
      <c r="C97" s="2">
        <v>200</v>
      </c>
      <c r="D97" s="2" t="s">
        <v>160</v>
      </c>
      <c r="E97" s="2" t="s">
        <v>222</v>
      </c>
      <c r="F97" s="2" t="s">
        <v>40</v>
      </c>
      <c r="G97" s="2" t="s">
        <v>22</v>
      </c>
      <c r="H97" s="2" t="s">
        <v>23</v>
      </c>
      <c r="I97" s="2" t="s">
        <v>23</v>
      </c>
      <c r="J97" s="2">
        <v>1</v>
      </c>
      <c r="K97" s="2" t="s">
        <v>24</v>
      </c>
      <c r="L97" s="2">
        <v>25211</v>
      </c>
      <c r="M97" s="2" t="s">
        <v>28</v>
      </c>
      <c r="N97" s="2">
        <v>2</v>
      </c>
      <c r="O97" s="2">
        <v>38220</v>
      </c>
      <c r="P97" s="2">
        <v>19110</v>
      </c>
    </row>
    <row r="98" spans="1:16" outlineLevel="1" x14ac:dyDescent="0.2">
      <c r="A98" s="5"/>
      <c r="D98" s="3" t="s">
        <v>709</v>
      </c>
      <c r="N98" s="2">
        <f>SUBTOTAL(9,N96:N97)</f>
        <v>20</v>
      </c>
      <c r="O98" s="2">
        <f>SUBTOTAL(9,O96:O97)</f>
        <v>644402.49</v>
      </c>
    </row>
    <row r="99" spans="1:16" outlineLevel="2" x14ac:dyDescent="0.2">
      <c r="A99" s="5">
        <v>46024</v>
      </c>
      <c r="B99" s="2">
        <v>155817</v>
      </c>
      <c r="C99" s="2">
        <v>1</v>
      </c>
      <c r="D99" s="2" t="s">
        <v>221</v>
      </c>
      <c r="E99" s="2" t="s">
        <v>222</v>
      </c>
      <c r="F99" s="2" t="s">
        <v>40</v>
      </c>
      <c r="G99" s="2" t="s">
        <v>22</v>
      </c>
      <c r="H99" s="2" t="s">
        <v>23</v>
      </c>
      <c r="I99" s="2" t="s">
        <v>23</v>
      </c>
      <c r="J99" s="2">
        <v>1</v>
      </c>
      <c r="K99" s="2" t="s">
        <v>24</v>
      </c>
      <c r="L99" s="2">
        <v>25211</v>
      </c>
      <c r="M99" s="2" t="s">
        <v>28</v>
      </c>
      <c r="N99" s="2">
        <v>219</v>
      </c>
      <c r="O99" s="2">
        <v>7293767.4900000002</v>
      </c>
      <c r="P99" s="2">
        <v>33304.870000000003</v>
      </c>
    </row>
    <row r="100" spans="1:16" outlineLevel="1" x14ac:dyDescent="0.2">
      <c r="A100" s="5"/>
      <c r="D100" s="3" t="s">
        <v>710</v>
      </c>
      <c r="N100" s="2">
        <f>SUBTOTAL(9,N99:N99)</f>
        <v>219</v>
      </c>
      <c r="O100" s="2">
        <f>SUBTOTAL(9,O99:O99)</f>
        <v>7293767.4900000002</v>
      </c>
    </row>
    <row r="101" spans="1:16" outlineLevel="2" x14ac:dyDescent="0.2">
      <c r="A101" s="5">
        <v>45735</v>
      </c>
      <c r="B101" s="2">
        <v>147113</v>
      </c>
      <c r="C101" s="2">
        <v>310</v>
      </c>
      <c r="D101" s="2" t="s">
        <v>26</v>
      </c>
      <c r="E101" s="2" t="s">
        <v>23</v>
      </c>
      <c r="F101" s="2" t="s">
        <v>23</v>
      </c>
      <c r="G101" s="2" t="s">
        <v>22</v>
      </c>
      <c r="H101" s="2" t="s">
        <v>23</v>
      </c>
      <c r="I101" s="2" t="s">
        <v>23</v>
      </c>
      <c r="J101" s="2">
        <v>5</v>
      </c>
      <c r="K101" s="2" t="s">
        <v>27</v>
      </c>
      <c r="L101" s="2">
        <v>25211</v>
      </c>
      <c r="M101" s="2" t="s">
        <v>28</v>
      </c>
      <c r="N101" s="2">
        <v>1</v>
      </c>
      <c r="O101" s="2">
        <v>3431.75</v>
      </c>
      <c r="P101" s="2">
        <v>3431.75</v>
      </c>
    </row>
    <row r="102" spans="1:16" outlineLevel="2" x14ac:dyDescent="0.2">
      <c r="A102" s="5">
        <v>46014</v>
      </c>
      <c r="B102" s="2">
        <v>155604</v>
      </c>
      <c r="C102" s="2">
        <v>4</v>
      </c>
      <c r="D102" s="2" t="s">
        <v>26</v>
      </c>
      <c r="E102" s="2" t="s">
        <v>51</v>
      </c>
      <c r="F102" s="2" t="s">
        <v>52</v>
      </c>
      <c r="G102" s="2" t="s">
        <v>22</v>
      </c>
      <c r="H102" s="2" t="s">
        <v>157</v>
      </c>
      <c r="I102" s="2" t="s">
        <v>23</v>
      </c>
      <c r="J102" s="2">
        <v>5</v>
      </c>
      <c r="K102" s="2" t="s">
        <v>27</v>
      </c>
      <c r="L102" s="2">
        <v>104</v>
      </c>
      <c r="M102" s="2" t="s">
        <v>158</v>
      </c>
      <c r="N102" s="2">
        <v>180</v>
      </c>
      <c r="O102" s="2">
        <v>2392475.7599999998</v>
      </c>
      <c r="P102" s="2">
        <v>13291.53</v>
      </c>
    </row>
    <row r="103" spans="1:16" outlineLevel="2" x14ac:dyDescent="0.2">
      <c r="A103" s="5">
        <v>46024</v>
      </c>
      <c r="B103" s="2">
        <v>155616</v>
      </c>
      <c r="C103" s="2">
        <v>3</v>
      </c>
      <c r="D103" s="2" t="s">
        <v>26</v>
      </c>
      <c r="E103" s="2" t="s">
        <v>51</v>
      </c>
      <c r="F103" s="2" t="s">
        <v>63</v>
      </c>
      <c r="G103" s="2" t="s">
        <v>22</v>
      </c>
      <c r="H103" s="2" t="s">
        <v>23</v>
      </c>
      <c r="I103" s="2" t="s">
        <v>162</v>
      </c>
      <c r="J103" s="2">
        <v>1</v>
      </c>
      <c r="K103" s="2" t="s">
        <v>24</v>
      </c>
      <c r="L103" s="2">
        <v>25254</v>
      </c>
      <c r="M103" s="2" t="s">
        <v>163</v>
      </c>
      <c r="N103" s="2">
        <v>56</v>
      </c>
      <c r="O103" s="2">
        <v>2453360</v>
      </c>
      <c r="P103" s="2">
        <v>43810</v>
      </c>
    </row>
    <row r="104" spans="1:16" outlineLevel="2" x14ac:dyDescent="0.2">
      <c r="A104" s="5">
        <v>46020</v>
      </c>
      <c r="B104" s="2">
        <v>155616</v>
      </c>
      <c r="C104" s="2">
        <v>4</v>
      </c>
      <c r="D104" s="2" t="s">
        <v>26</v>
      </c>
      <c r="E104" s="2" t="s">
        <v>51</v>
      </c>
      <c r="F104" s="2" t="s">
        <v>63</v>
      </c>
      <c r="G104" s="2" t="s">
        <v>22</v>
      </c>
      <c r="H104" s="2" t="s">
        <v>23</v>
      </c>
      <c r="I104" s="2" t="s">
        <v>23</v>
      </c>
      <c r="J104" s="2">
        <v>1</v>
      </c>
      <c r="K104" s="2" t="s">
        <v>24</v>
      </c>
      <c r="L104" s="2">
        <v>25254</v>
      </c>
      <c r="M104" s="2" t="s">
        <v>163</v>
      </c>
      <c r="N104" s="2">
        <v>46</v>
      </c>
      <c r="O104" s="2">
        <v>1640360.39</v>
      </c>
      <c r="P104" s="2">
        <v>35660.01</v>
      </c>
    </row>
    <row r="105" spans="1:16" outlineLevel="2" x14ac:dyDescent="0.2">
      <c r="A105" s="5">
        <v>46024</v>
      </c>
      <c r="B105" s="2">
        <v>155775</v>
      </c>
      <c r="C105" s="2">
        <v>2</v>
      </c>
      <c r="D105" s="2" t="s">
        <v>26</v>
      </c>
      <c r="E105" s="2" t="s">
        <v>51</v>
      </c>
      <c r="F105" s="2" t="s">
        <v>201</v>
      </c>
      <c r="G105" s="2" t="s">
        <v>22</v>
      </c>
      <c r="H105" s="2" t="s">
        <v>23</v>
      </c>
      <c r="I105" s="2" t="s">
        <v>23</v>
      </c>
      <c r="J105" s="2">
        <v>5</v>
      </c>
      <c r="K105" s="2" t="s">
        <v>27</v>
      </c>
      <c r="L105" s="2">
        <v>104</v>
      </c>
      <c r="M105" s="2" t="s">
        <v>158</v>
      </c>
      <c r="N105" s="2">
        <v>1296</v>
      </c>
      <c r="O105" s="2">
        <v>17054255.079999998</v>
      </c>
      <c r="P105" s="2">
        <v>13159.15</v>
      </c>
    </row>
    <row r="106" spans="1:16" outlineLevel="2" x14ac:dyDescent="0.2">
      <c r="A106" s="5">
        <v>46034</v>
      </c>
      <c r="B106" s="2">
        <v>155810</v>
      </c>
      <c r="C106" s="2">
        <v>2</v>
      </c>
      <c r="D106" s="2" t="s">
        <v>26</v>
      </c>
      <c r="E106" s="2" t="s">
        <v>51</v>
      </c>
      <c r="F106" s="2" t="s">
        <v>52</v>
      </c>
      <c r="G106" s="2" t="s">
        <v>22</v>
      </c>
      <c r="H106" s="2" t="s">
        <v>23</v>
      </c>
      <c r="I106" s="2" t="s">
        <v>23</v>
      </c>
      <c r="J106" s="2">
        <v>5</v>
      </c>
      <c r="K106" s="2" t="s">
        <v>27</v>
      </c>
      <c r="L106" s="2">
        <v>104</v>
      </c>
      <c r="M106" s="2" t="s">
        <v>158</v>
      </c>
      <c r="N106" s="2">
        <v>877</v>
      </c>
      <c r="O106" s="2">
        <v>9072184.3499999996</v>
      </c>
      <c r="P106" s="2">
        <v>10344.57</v>
      </c>
    </row>
    <row r="107" spans="1:16" outlineLevel="1" x14ac:dyDescent="0.2">
      <c r="A107" s="5"/>
      <c r="D107" s="3" t="s">
        <v>711</v>
      </c>
      <c r="N107" s="2">
        <f>SUBTOTAL(9,N101:N106)</f>
        <v>2456</v>
      </c>
      <c r="O107" s="2">
        <f>SUBTOTAL(9,O101:O106)</f>
        <v>32616067.329999998</v>
      </c>
    </row>
    <row r="108" spans="1:16" outlineLevel="2" x14ac:dyDescent="0.2">
      <c r="A108" s="5">
        <v>46099</v>
      </c>
      <c r="B108" s="2">
        <v>152120</v>
      </c>
      <c r="C108" s="2">
        <v>315</v>
      </c>
      <c r="D108" s="2" t="s">
        <v>50</v>
      </c>
      <c r="E108" s="2" t="s">
        <v>51</v>
      </c>
      <c r="F108" s="2" t="s">
        <v>52</v>
      </c>
      <c r="G108" s="2" t="s">
        <v>22</v>
      </c>
      <c r="H108" s="2" t="s">
        <v>23</v>
      </c>
      <c r="I108" s="2" t="s">
        <v>23</v>
      </c>
      <c r="J108" s="2">
        <v>5</v>
      </c>
      <c r="K108" s="2" t="s">
        <v>27</v>
      </c>
      <c r="L108" s="2">
        <v>3048</v>
      </c>
      <c r="M108" s="2" t="s">
        <v>53</v>
      </c>
      <c r="N108" s="2">
        <v>46</v>
      </c>
      <c r="O108" s="2">
        <v>294335.84999999998</v>
      </c>
      <c r="P108" s="2">
        <v>6398.61</v>
      </c>
    </row>
    <row r="109" spans="1:16" outlineLevel="2" x14ac:dyDescent="0.2">
      <c r="A109" s="5">
        <v>46099</v>
      </c>
      <c r="B109" s="2">
        <v>155658</v>
      </c>
      <c r="C109" s="2">
        <v>315</v>
      </c>
      <c r="D109" s="2" t="s">
        <v>50</v>
      </c>
      <c r="E109" s="2" t="s">
        <v>51</v>
      </c>
      <c r="F109" s="2" t="s">
        <v>52</v>
      </c>
      <c r="G109" s="2" t="s">
        <v>22</v>
      </c>
      <c r="H109" s="2" t="s">
        <v>23</v>
      </c>
      <c r="I109" s="2" t="s">
        <v>23</v>
      </c>
      <c r="J109" s="2">
        <v>5</v>
      </c>
      <c r="K109" s="2" t="s">
        <v>27</v>
      </c>
      <c r="L109" s="2">
        <v>3048</v>
      </c>
      <c r="M109" s="2" t="s">
        <v>53</v>
      </c>
      <c r="N109" s="2">
        <v>139</v>
      </c>
      <c r="O109" s="2">
        <v>970858.81</v>
      </c>
      <c r="P109" s="2">
        <v>6984.6</v>
      </c>
    </row>
    <row r="110" spans="1:16" outlineLevel="1" x14ac:dyDescent="0.2">
      <c r="A110" s="5"/>
      <c r="D110" s="3" t="s">
        <v>712</v>
      </c>
      <c r="N110" s="2">
        <f>SUBTOTAL(9,N108:N109)</f>
        <v>185</v>
      </c>
      <c r="O110" s="2">
        <f>SUBTOTAL(9,O108:O109)</f>
        <v>1265194.6600000001</v>
      </c>
    </row>
    <row r="111" spans="1:16" outlineLevel="2" x14ac:dyDescent="0.2">
      <c r="A111" s="5">
        <v>46010</v>
      </c>
      <c r="B111" s="2">
        <v>155526</v>
      </c>
      <c r="C111" s="2">
        <v>2</v>
      </c>
      <c r="D111" s="2" t="s">
        <v>131</v>
      </c>
      <c r="E111" s="2" t="s">
        <v>132</v>
      </c>
      <c r="F111" s="2" t="s">
        <v>40</v>
      </c>
      <c r="G111" s="2" t="s">
        <v>22</v>
      </c>
      <c r="H111" s="2" t="s">
        <v>23</v>
      </c>
      <c r="I111" s="2" t="s">
        <v>23</v>
      </c>
      <c r="J111" s="2">
        <v>1</v>
      </c>
      <c r="K111" s="2" t="s">
        <v>24</v>
      </c>
      <c r="L111" s="2">
        <v>2521</v>
      </c>
      <c r="M111" s="2" t="s">
        <v>82</v>
      </c>
      <c r="N111" s="2">
        <v>0</v>
      </c>
      <c r="O111" s="2">
        <v>-141882.64000000001</v>
      </c>
      <c r="P111" s="2">
        <v>0</v>
      </c>
    </row>
    <row r="112" spans="1:16" outlineLevel="1" x14ac:dyDescent="0.2">
      <c r="A112" s="5"/>
      <c r="D112" s="3" t="s">
        <v>713</v>
      </c>
      <c r="N112" s="2">
        <f>SUBTOTAL(9,N111:N111)</f>
        <v>0</v>
      </c>
      <c r="O112" s="2">
        <f>SUBTOTAL(9,O111:O111)</f>
        <v>-141882.64000000001</v>
      </c>
    </row>
    <row r="113" spans="1:16" outlineLevel="2" x14ac:dyDescent="0.2">
      <c r="A113" s="5">
        <v>46024</v>
      </c>
      <c r="B113" s="2">
        <v>155818</v>
      </c>
      <c r="C113" s="2">
        <v>1</v>
      </c>
      <c r="D113" s="2" t="s">
        <v>223</v>
      </c>
      <c r="E113" s="2" t="s">
        <v>132</v>
      </c>
      <c r="F113" s="2" t="s">
        <v>40</v>
      </c>
      <c r="G113" s="2" t="s">
        <v>22</v>
      </c>
      <c r="H113" s="2" t="s">
        <v>23</v>
      </c>
      <c r="I113" s="2" t="s">
        <v>23</v>
      </c>
      <c r="J113" s="2">
        <v>1</v>
      </c>
      <c r="K113" s="2" t="s">
        <v>24</v>
      </c>
      <c r="L113" s="2">
        <v>2521</v>
      </c>
      <c r="M113" s="2" t="s">
        <v>82</v>
      </c>
      <c r="N113" s="2">
        <v>520</v>
      </c>
      <c r="O113" s="2">
        <v>17353674.48</v>
      </c>
      <c r="P113" s="2">
        <v>33372.449999999997</v>
      </c>
    </row>
    <row r="114" spans="1:16" outlineLevel="1" x14ac:dyDescent="0.2">
      <c r="A114" s="5"/>
      <c r="D114" s="3" t="s">
        <v>714</v>
      </c>
      <c r="N114" s="2">
        <f>SUBTOTAL(9,N113:N113)</f>
        <v>520</v>
      </c>
      <c r="O114" s="2">
        <f>SUBTOTAL(9,O113:O113)</f>
        <v>17353674.48</v>
      </c>
    </row>
    <row r="115" spans="1:16" outlineLevel="2" x14ac:dyDescent="0.2">
      <c r="A115" s="5">
        <v>46013</v>
      </c>
      <c r="B115" s="2">
        <v>155565</v>
      </c>
      <c r="C115" s="2">
        <v>1</v>
      </c>
      <c r="D115" s="2" t="s">
        <v>149</v>
      </c>
      <c r="E115" s="2" t="s">
        <v>23</v>
      </c>
      <c r="F115" s="2" t="s">
        <v>52</v>
      </c>
      <c r="G115" s="2" t="s">
        <v>22</v>
      </c>
      <c r="H115" s="2" t="s">
        <v>23</v>
      </c>
      <c r="I115" s="2" t="s">
        <v>23</v>
      </c>
      <c r="J115" s="2">
        <v>1</v>
      </c>
      <c r="K115" s="2" t="s">
        <v>24</v>
      </c>
      <c r="L115" s="2">
        <v>1833</v>
      </c>
      <c r="M115" s="2" t="s">
        <v>142</v>
      </c>
      <c r="N115" s="2">
        <v>101</v>
      </c>
      <c r="O115" s="2">
        <v>1178163</v>
      </c>
      <c r="P115" s="2">
        <v>11664.98</v>
      </c>
    </row>
    <row r="116" spans="1:16" outlineLevel="1" x14ac:dyDescent="0.2">
      <c r="A116" s="5"/>
      <c r="D116" s="3" t="s">
        <v>715</v>
      </c>
      <c r="N116" s="2">
        <f>SUBTOTAL(9,N115:N115)</f>
        <v>101</v>
      </c>
      <c r="O116" s="2">
        <f>SUBTOTAL(9,O115:O115)</f>
        <v>1178163</v>
      </c>
    </row>
    <row r="117" spans="1:16" outlineLevel="2" x14ac:dyDescent="0.2">
      <c r="A117" s="5">
        <v>46118</v>
      </c>
      <c r="B117" s="2">
        <v>153909</v>
      </c>
      <c r="C117" s="2">
        <v>4</v>
      </c>
      <c r="D117" s="2" t="s">
        <v>57</v>
      </c>
      <c r="E117" s="2" t="s">
        <v>58</v>
      </c>
      <c r="F117" s="2" t="s">
        <v>31</v>
      </c>
      <c r="G117" s="2" t="s">
        <v>22</v>
      </c>
      <c r="H117" s="2" t="s">
        <v>23</v>
      </c>
      <c r="I117" s="2" t="s">
        <v>23</v>
      </c>
      <c r="J117" s="2">
        <v>1</v>
      </c>
      <c r="K117" s="2" t="s">
        <v>24</v>
      </c>
      <c r="L117" s="2">
        <v>226</v>
      </c>
      <c r="M117" s="2" t="s">
        <v>59</v>
      </c>
      <c r="N117" s="2">
        <v>11</v>
      </c>
      <c r="O117" s="2">
        <v>280443.46999999997</v>
      </c>
      <c r="P117" s="2">
        <v>25494.86</v>
      </c>
    </row>
    <row r="118" spans="1:16" outlineLevel="1" x14ac:dyDescent="0.2">
      <c r="A118" s="5"/>
      <c r="D118" s="3" t="s">
        <v>716</v>
      </c>
      <c r="N118" s="2">
        <f>SUBTOTAL(9,N117:N117)</f>
        <v>11</v>
      </c>
      <c r="O118" s="2">
        <f>SUBTOTAL(9,O117:O117)</f>
        <v>280443.46999999997</v>
      </c>
    </row>
    <row r="119" spans="1:16" outlineLevel="2" x14ac:dyDescent="0.2">
      <c r="A119" s="5">
        <v>46027</v>
      </c>
      <c r="B119" s="2">
        <v>155801</v>
      </c>
      <c r="C119" s="2">
        <v>1</v>
      </c>
      <c r="D119" s="2" t="s">
        <v>205</v>
      </c>
      <c r="E119" s="2" t="s">
        <v>23</v>
      </c>
      <c r="F119" s="2" t="s">
        <v>40</v>
      </c>
      <c r="G119" s="2" t="s">
        <v>22</v>
      </c>
      <c r="H119" s="2" t="s">
        <v>23</v>
      </c>
      <c r="I119" s="2" t="s">
        <v>23</v>
      </c>
      <c r="J119" s="2">
        <v>1</v>
      </c>
      <c r="K119" s="2" t="s">
        <v>24</v>
      </c>
      <c r="L119" s="2">
        <v>600</v>
      </c>
      <c r="M119" s="2" t="s">
        <v>112</v>
      </c>
      <c r="N119" s="2">
        <v>20</v>
      </c>
      <c r="O119" s="2">
        <v>440383.77</v>
      </c>
      <c r="P119" s="2">
        <v>22019.19</v>
      </c>
    </row>
    <row r="120" spans="1:16" outlineLevel="1" x14ac:dyDescent="0.2">
      <c r="A120" s="5"/>
      <c r="D120" s="3" t="s">
        <v>717</v>
      </c>
      <c r="N120" s="2">
        <f>SUBTOTAL(9,N119:N119)</f>
        <v>20</v>
      </c>
      <c r="O120" s="2">
        <f>SUBTOTAL(9,O119:O119)</f>
        <v>440383.77</v>
      </c>
    </row>
    <row r="121" spans="1:16" outlineLevel="2" x14ac:dyDescent="0.2">
      <c r="A121" s="5">
        <v>46024</v>
      </c>
      <c r="B121" s="2">
        <v>155567</v>
      </c>
      <c r="C121" s="2">
        <v>2</v>
      </c>
      <c r="D121" s="2" t="s">
        <v>150</v>
      </c>
      <c r="E121" s="2" t="s">
        <v>151</v>
      </c>
      <c r="F121" s="2" t="s">
        <v>40</v>
      </c>
      <c r="G121" s="2" t="s">
        <v>22</v>
      </c>
      <c r="H121" s="2" t="s">
        <v>23</v>
      </c>
      <c r="I121" s="2" t="s">
        <v>152</v>
      </c>
      <c r="J121" s="2">
        <v>1</v>
      </c>
      <c r="K121" s="2" t="s">
        <v>24</v>
      </c>
      <c r="L121" s="2">
        <v>634</v>
      </c>
      <c r="M121" s="2" t="s">
        <v>153</v>
      </c>
      <c r="N121" s="2">
        <v>50</v>
      </c>
      <c r="O121" s="2">
        <v>1288897.98</v>
      </c>
      <c r="P121" s="2">
        <v>25777.96</v>
      </c>
    </row>
    <row r="122" spans="1:16" outlineLevel="2" x14ac:dyDescent="0.2">
      <c r="A122" s="5">
        <v>46017</v>
      </c>
      <c r="B122" s="2">
        <v>155567</v>
      </c>
      <c r="C122" s="2">
        <v>3</v>
      </c>
      <c r="D122" s="2" t="s">
        <v>150</v>
      </c>
      <c r="E122" s="2" t="s">
        <v>151</v>
      </c>
      <c r="F122" s="2" t="s">
        <v>40</v>
      </c>
      <c r="G122" s="2" t="s">
        <v>22</v>
      </c>
      <c r="H122" s="2" t="s">
        <v>23</v>
      </c>
      <c r="I122" s="2" t="s">
        <v>154</v>
      </c>
      <c r="J122" s="2">
        <v>1</v>
      </c>
      <c r="K122" s="2" t="s">
        <v>24</v>
      </c>
      <c r="L122" s="2">
        <v>634</v>
      </c>
      <c r="M122" s="2" t="s">
        <v>153</v>
      </c>
      <c r="N122" s="2">
        <v>10</v>
      </c>
      <c r="O122" s="2">
        <v>240727.63</v>
      </c>
      <c r="P122" s="2">
        <v>24072.76</v>
      </c>
    </row>
    <row r="123" spans="1:16" outlineLevel="2" x14ac:dyDescent="0.2">
      <c r="A123" s="5">
        <v>46020</v>
      </c>
      <c r="B123" s="2">
        <v>155750</v>
      </c>
      <c r="C123" s="2">
        <v>1</v>
      </c>
      <c r="D123" s="2" t="s">
        <v>150</v>
      </c>
      <c r="E123" s="2" t="s">
        <v>151</v>
      </c>
      <c r="F123" s="2" t="s">
        <v>40</v>
      </c>
      <c r="G123" s="2" t="s">
        <v>22</v>
      </c>
      <c r="H123" s="2" t="s">
        <v>23</v>
      </c>
      <c r="I123" s="2" t="s">
        <v>152</v>
      </c>
      <c r="J123" s="2">
        <v>1</v>
      </c>
      <c r="K123" s="2" t="s">
        <v>24</v>
      </c>
      <c r="L123" s="2">
        <v>634</v>
      </c>
      <c r="M123" s="2" t="s">
        <v>153</v>
      </c>
      <c r="N123" s="2">
        <v>60</v>
      </c>
      <c r="O123" s="2">
        <v>1414947.82</v>
      </c>
      <c r="P123" s="2">
        <v>23582.46</v>
      </c>
    </row>
    <row r="124" spans="1:16" outlineLevel="1" x14ac:dyDescent="0.2">
      <c r="A124" s="5"/>
      <c r="D124" s="3" t="s">
        <v>718</v>
      </c>
      <c r="N124" s="2">
        <f>SUBTOTAL(9,N121:N123)</f>
        <v>120</v>
      </c>
      <c r="O124" s="2">
        <f>SUBTOTAL(9,O121:O123)</f>
        <v>2944573.4299999997</v>
      </c>
    </row>
    <row r="125" spans="1:16" outlineLevel="2" x14ac:dyDescent="0.2">
      <c r="A125" s="5">
        <v>45894</v>
      </c>
      <c r="B125" s="2">
        <v>152743</v>
      </c>
      <c r="C125" s="2">
        <v>311</v>
      </c>
      <c r="D125" s="2" t="s">
        <v>54</v>
      </c>
      <c r="E125" s="2" t="s">
        <v>30</v>
      </c>
      <c r="F125" s="2" t="s">
        <v>55</v>
      </c>
      <c r="G125" s="2" t="s">
        <v>23</v>
      </c>
      <c r="H125" s="2" t="s">
        <v>23</v>
      </c>
      <c r="I125" s="2" t="s">
        <v>23</v>
      </c>
      <c r="J125" s="2">
        <v>2</v>
      </c>
      <c r="K125" s="2" t="s">
        <v>48</v>
      </c>
      <c r="L125" s="2">
        <v>801</v>
      </c>
      <c r="M125" s="2" t="s">
        <v>56</v>
      </c>
      <c r="N125" s="2">
        <v>2</v>
      </c>
      <c r="O125" s="2">
        <v>-4978.72</v>
      </c>
      <c r="P125" s="2">
        <v>-2489.36</v>
      </c>
    </row>
    <row r="126" spans="1:16" outlineLevel="2" x14ac:dyDescent="0.2">
      <c r="A126" s="5">
        <v>46031</v>
      </c>
      <c r="B126" s="2">
        <v>154801</v>
      </c>
      <c r="C126" s="2">
        <v>326</v>
      </c>
      <c r="D126" s="2" t="s">
        <v>54</v>
      </c>
      <c r="E126" s="2" t="s">
        <v>30</v>
      </c>
      <c r="F126" s="2" t="s">
        <v>55</v>
      </c>
      <c r="G126" s="2" t="s">
        <v>23</v>
      </c>
      <c r="H126" s="2" t="s">
        <v>23</v>
      </c>
      <c r="I126" s="2" t="s">
        <v>23</v>
      </c>
      <c r="J126" s="2">
        <v>2</v>
      </c>
      <c r="K126" s="2" t="s">
        <v>48</v>
      </c>
      <c r="L126" s="2">
        <v>801</v>
      </c>
      <c r="M126" s="2" t="s">
        <v>56</v>
      </c>
      <c r="N126" s="2">
        <v>5</v>
      </c>
      <c r="O126" s="2">
        <v>22819.39</v>
      </c>
      <c r="P126" s="2">
        <v>4563.88</v>
      </c>
    </row>
    <row r="127" spans="1:16" outlineLevel="2" x14ac:dyDescent="0.2">
      <c r="A127" s="5">
        <v>46031</v>
      </c>
      <c r="B127" s="2">
        <v>155257</v>
      </c>
      <c r="C127" s="2">
        <v>326</v>
      </c>
      <c r="D127" s="2" t="s">
        <v>54</v>
      </c>
      <c r="E127" s="2" t="s">
        <v>30</v>
      </c>
      <c r="F127" s="2" t="s">
        <v>55</v>
      </c>
      <c r="G127" s="2" t="s">
        <v>23</v>
      </c>
      <c r="H127" s="2" t="s">
        <v>23</v>
      </c>
      <c r="I127" s="2" t="s">
        <v>23</v>
      </c>
      <c r="J127" s="2">
        <v>2</v>
      </c>
      <c r="K127" s="2" t="s">
        <v>48</v>
      </c>
      <c r="L127" s="2">
        <v>25223</v>
      </c>
      <c r="M127" s="2" t="s">
        <v>97</v>
      </c>
      <c r="N127" s="2">
        <v>20</v>
      </c>
      <c r="O127" s="2">
        <v>50206.400000000001</v>
      </c>
      <c r="P127" s="2">
        <v>2510.3200000000002</v>
      </c>
    </row>
    <row r="128" spans="1:16" outlineLevel="2" x14ac:dyDescent="0.2">
      <c r="A128" s="5">
        <v>46020</v>
      </c>
      <c r="B128" s="2">
        <v>155282</v>
      </c>
      <c r="C128" s="2">
        <v>303</v>
      </c>
      <c r="D128" s="2" t="s">
        <v>54</v>
      </c>
      <c r="E128" s="2" t="s">
        <v>30</v>
      </c>
      <c r="F128" s="2" t="s">
        <v>55</v>
      </c>
      <c r="G128" s="2" t="s">
        <v>23</v>
      </c>
      <c r="H128" s="2" t="s">
        <v>23</v>
      </c>
      <c r="I128" s="2" t="s">
        <v>23</v>
      </c>
      <c r="J128" s="2">
        <v>1</v>
      </c>
      <c r="K128" s="2" t="s">
        <v>24</v>
      </c>
      <c r="L128" s="2">
        <v>801</v>
      </c>
      <c r="M128" s="2" t="s">
        <v>56</v>
      </c>
      <c r="N128" s="2">
        <v>1</v>
      </c>
      <c r="O128" s="2">
        <v>6244.07</v>
      </c>
      <c r="P128" s="2">
        <v>6244.07</v>
      </c>
    </row>
    <row r="129" spans="1:16" outlineLevel="2" x14ac:dyDescent="0.2">
      <c r="A129" s="5">
        <v>46031</v>
      </c>
      <c r="B129" s="2">
        <v>155282</v>
      </c>
      <c r="C129" s="2">
        <v>326</v>
      </c>
      <c r="D129" s="2" t="s">
        <v>54</v>
      </c>
      <c r="E129" s="2" t="s">
        <v>30</v>
      </c>
      <c r="F129" s="2" t="s">
        <v>55</v>
      </c>
      <c r="G129" s="2" t="s">
        <v>23</v>
      </c>
      <c r="H129" s="2" t="s">
        <v>23</v>
      </c>
      <c r="I129" s="2" t="s">
        <v>23</v>
      </c>
      <c r="J129" s="2">
        <v>2</v>
      </c>
      <c r="K129" s="2" t="s">
        <v>48</v>
      </c>
      <c r="L129" s="2">
        <v>801</v>
      </c>
      <c r="M129" s="2" t="s">
        <v>56</v>
      </c>
      <c r="N129" s="2">
        <v>1</v>
      </c>
      <c r="O129" s="2">
        <v>4377.1899999999996</v>
      </c>
      <c r="P129" s="2">
        <v>4377.1899999999996</v>
      </c>
    </row>
    <row r="130" spans="1:16" outlineLevel="2" x14ac:dyDescent="0.2">
      <c r="A130" s="5">
        <v>46027</v>
      </c>
      <c r="B130" s="2">
        <v>155412</v>
      </c>
      <c r="C130" s="2">
        <v>325</v>
      </c>
      <c r="D130" s="2" t="s">
        <v>54</v>
      </c>
      <c r="E130" s="2" t="s">
        <v>30</v>
      </c>
      <c r="F130" s="2" t="s">
        <v>55</v>
      </c>
      <c r="G130" s="2" t="s">
        <v>23</v>
      </c>
      <c r="H130" s="2" t="s">
        <v>23</v>
      </c>
      <c r="I130" s="2" t="s">
        <v>23</v>
      </c>
      <c r="J130" s="2">
        <v>2</v>
      </c>
      <c r="K130" s="2" t="s">
        <v>48</v>
      </c>
      <c r="L130" s="2">
        <v>626</v>
      </c>
      <c r="M130" s="2" t="s">
        <v>49</v>
      </c>
      <c r="N130" s="2">
        <v>16</v>
      </c>
      <c r="O130" s="2">
        <v>40165.120000000003</v>
      </c>
      <c r="P130" s="2">
        <v>2510.3200000000002</v>
      </c>
    </row>
    <row r="131" spans="1:16" outlineLevel="2" x14ac:dyDescent="0.2">
      <c r="A131" s="5">
        <v>46027</v>
      </c>
      <c r="B131" s="2">
        <v>155542</v>
      </c>
      <c r="C131" s="2">
        <v>325</v>
      </c>
      <c r="D131" s="2" t="s">
        <v>54</v>
      </c>
      <c r="E131" s="2" t="s">
        <v>30</v>
      </c>
      <c r="F131" s="2" t="s">
        <v>55</v>
      </c>
      <c r="G131" s="2" t="s">
        <v>23</v>
      </c>
      <c r="H131" s="2" t="s">
        <v>23</v>
      </c>
      <c r="I131" s="2" t="s">
        <v>23</v>
      </c>
      <c r="J131" s="2">
        <v>1</v>
      </c>
      <c r="K131" s="2" t="s">
        <v>24</v>
      </c>
      <c r="L131" s="2">
        <v>1876</v>
      </c>
      <c r="M131" s="2" t="s">
        <v>138</v>
      </c>
      <c r="N131" s="2">
        <v>6</v>
      </c>
      <c r="O131" s="2">
        <v>37464.42</v>
      </c>
      <c r="P131" s="2">
        <v>6244.07</v>
      </c>
    </row>
    <row r="132" spans="1:16" outlineLevel="2" x14ac:dyDescent="0.2">
      <c r="A132" s="5">
        <v>46031</v>
      </c>
      <c r="B132" s="2">
        <v>155542</v>
      </c>
      <c r="C132" s="2">
        <v>326</v>
      </c>
      <c r="D132" s="2" t="s">
        <v>54</v>
      </c>
      <c r="E132" s="2" t="s">
        <v>30</v>
      </c>
      <c r="F132" s="2" t="s">
        <v>55</v>
      </c>
      <c r="G132" s="2" t="s">
        <v>23</v>
      </c>
      <c r="H132" s="2" t="s">
        <v>23</v>
      </c>
      <c r="I132" s="2" t="s">
        <v>23</v>
      </c>
      <c r="J132" s="2">
        <v>2</v>
      </c>
      <c r="K132" s="2" t="s">
        <v>48</v>
      </c>
      <c r="L132" s="2">
        <v>1876</v>
      </c>
      <c r="M132" s="2" t="s">
        <v>138</v>
      </c>
      <c r="N132" s="2">
        <v>12</v>
      </c>
      <c r="O132" s="2">
        <v>54393.16</v>
      </c>
      <c r="P132" s="2">
        <v>4532.76</v>
      </c>
    </row>
    <row r="133" spans="1:16" outlineLevel="2" x14ac:dyDescent="0.2">
      <c r="A133" s="5">
        <v>46027</v>
      </c>
      <c r="B133" s="2">
        <v>155582</v>
      </c>
      <c r="C133" s="2">
        <v>325</v>
      </c>
      <c r="D133" s="2" t="s">
        <v>54</v>
      </c>
      <c r="E133" s="2" t="s">
        <v>30</v>
      </c>
      <c r="F133" s="2" t="s">
        <v>55</v>
      </c>
      <c r="G133" s="2" t="s">
        <v>23</v>
      </c>
      <c r="H133" s="2" t="s">
        <v>23</v>
      </c>
      <c r="I133" s="2" t="s">
        <v>23</v>
      </c>
      <c r="J133" s="2">
        <v>2</v>
      </c>
      <c r="K133" s="2" t="s">
        <v>48</v>
      </c>
      <c r="L133" s="2">
        <v>626</v>
      </c>
      <c r="M133" s="2" t="s">
        <v>49</v>
      </c>
      <c r="N133" s="2">
        <v>8</v>
      </c>
      <c r="O133" s="2">
        <v>33440.68</v>
      </c>
      <c r="P133" s="2">
        <v>4180.09</v>
      </c>
    </row>
    <row r="134" spans="1:16" outlineLevel="2" x14ac:dyDescent="0.2">
      <c r="A134" s="5">
        <v>46027</v>
      </c>
      <c r="B134" s="2">
        <v>155583</v>
      </c>
      <c r="C134" s="2">
        <v>325</v>
      </c>
      <c r="D134" s="2" t="s">
        <v>54</v>
      </c>
      <c r="E134" s="2" t="s">
        <v>30</v>
      </c>
      <c r="F134" s="2" t="s">
        <v>55</v>
      </c>
      <c r="G134" s="2" t="s">
        <v>23</v>
      </c>
      <c r="H134" s="2" t="s">
        <v>23</v>
      </c>
      <c r="I134" s="2" t="s">
        <v>23</v>
      </c>
      <c r="J134" s="2">
        <v>2</v>
      </c>
      <c r="K134" s="2" t="s">
        <v>48</v>
      </c>
      <c r="L134" s="2">
        <v>600</v>
      </c>
      <c r="M134" s="2" t="s">
        <v>112</v>
      </c>
      <c r="N134" s="2">
        <v>3</v>
      </c>
      <c r="O134" s="2">
        <v>15931.89</v>
      </c>
      <c r="P134" s="2">
        <v>5310.63</v>
      </c>
    </row>
    <row r="135" spans="1:16" outlineLevel="2" x14ac:dyDescent="0.2">
      <c r="A135" s="5">
        <v>46059</v>
      </c>
      <c r="B135" s="2">
        <v>155745</v>
      </c>
      <c r="C135" s="2">
        <v>315</v>
      </c>
      <c r="D135" s="2" t="s">
        <v>54</v>
      </c>
      <c r="E135" s="2" t="s">
        <v>30</v>
      </c>
      <c r="F135" s="2" t="s">
        <v>55</v>
      </c>
      <c r="G135" s="2" t="s">
        <v>23</v>
      </c>
      <c r="H135" s="2" t="s">
        <v>23</v>
      </c>
      <c r="I135" s="2" t="s">
        <v>23</v>
      </c>
      <c r="J135" s="2">
        <v>2</v>
      </c>
      <c r="K135" s="2" t="s">
        <v>48</v>
      </c>
      <c r="L135" s="2">
        <v>1200</v>
      </c>
      <c r="M135" s="2" t="s">
        <v>174</v>
      </c>
      <c r="N135" s="2">
        <v>5</v>
      </c>
      <c r="O135" s="2">
        <v>26524.15</v>
      </c>
      <c r="P135" s="2">
        <v>5304.83</v>
      </c>
    </row>
    <row r="136" spans="1:16" outlineLevel="2" x14ac:dyDescent="0.2">
      <c r="A136" s="5">
        <v>46036</v>
      </c>
      <c r="B136" s="2">
        <v>155789</v>
      </c>
      <c r="C136" s="2">
        <v>315</v>
      </c>
      <c r="D136" s="2" t="s">
        <v>54</v>
      </c>
      <c r="E136" s="2" t="s">
        <v>30</v>
      </c>
      <c r="F136" s="2" t="s">
        <v>55</v>
      </c>
      <c r="G136" s="2" t="s">
        <v>23</v>
      </c>
      <c r="H136" s="2" t="s">
        <v>23</v>
      </c>
      <c r="I136" s="2" t="s">
        <v>23</v>
      </c>
      <c r="J136" s="2">
        <v>2</v>
      </c>
      <c r="K136" s="2" t="s">
        <v>48</v>
      </c>
      <c r="L136" s="2">
        <v>25223</v>
      </c>
      <c r="M136" s="2" t="s">
        <v>97</v>
      </c>
      <c r="N136" s="2">
        <v>20</v>
      </c>
      <c r="O136" s="2">
        <v>87543.8</v>
      </c>
      <c r="P136" s="2">
        <v>4377.1899999999996</v>
      </c>
    </row>
    <row r="137" spans="1:16" outlineLevel="2" x14ac:dyDescent="0.2">
      <c r="A137" s="5">
        <v>46027</v>
      </c>
      <c r="B137" s="2">
        <v>155789</v>
      </c>
      <c r="C137" s="2">
        <v>325</v>
      </c>
      <c r="D137" s="2" t="s">
        <v>54</v>
      </c>
      <c r="E137" s="2" t="s">
        <v>30</v>
      </c>
      <c r="F137" s="2" t="s">
        <v>55</v>
      </c>
      <c r="G137" s="2" t="s">
        <v>23</v>
      </c>
      <c r="H137" s="2" t="s">
        <v>23</v>
      </c>
      <c r="I137" s="2" t="s">
        <v>23</v>
      </c>
      <c r="J137" s="2">
        <v>2</v>
      </c>
      <c r="K137" s="2" t="s">
        <v>48</v>
      </c>
      <c r="L137" s="2">
        <v>25223</v>
      </c>
      <c r="M137" s="2" t="s">
        <v>97</v>
      </c>
      <c r="N137" s="2">
        <v>53</v>
      </c>
      <c r="O137" s="2">
        <v>187186.34</v>
      </c>
      <c r="P137" s="2">
        <v>3531.82</v>
      </c>
    </row>
    <row r="138" spans="1:16" outlineLevel="2" x14ac:dyDescent="0.2">
      <c r="A138" s="5">
        <v>46027</v>
      </c>
      <c r="B138" s="2">
        <v>155790</v>
      </c>
      <c r="C138" s="2">
        <v>325</v>
      </c>
      <c r="D138" s="2" t="s">
        <v>54</v>
      </c>
      <c r="E138" s="2" t="s">
        <v>30</v>
      </c>
      <c r="F138" s="2" t="s">
        <v>55</v>
      </c>
      <c r="G138" s="2" t="s">
        <v>23</v>
      </c>
      <c r="H138" s="2" t="s">
        <v>23</v>
      </c>
      <c r="I138" s="2" t="s">
        <v>23</v>
      </c>
      <c r="J138" s="2">
        <v>2</v>
      </c>
      <c r="K138" s="2" t="s">
        <v>48</v>
      </c>
      <c r="L138" s="2">
        <v>626</v>
      </c>
      <c r="M138" s="2" t="s">
        <v>49</v>
      </c>
      <c r="N138" s="2">
        <v>13</v>
      </c>
      <c r="O138" s="2">
        <v>32634.16</v>
      </c>
      <c r="P138" s="2">
        <v>2510.3200000000002</v>
      </c>
    </row>
    <row r="139" spans="1:16" outlineLevel="2" x14ac:dyDescent="0.2">
      <c r="A139" s="5">
        <v>46031</v>
      </c>
      <c r="B139" s="2">
        <v>155793</v>
      </c>
      <c r="C139" s="2">
        <v>326</v>
      </c>
      <c r="D139" s="2" t="s">
        <v>54</v>
      </c>
      <c r="E139" s="2" t="s">
        <v>30</v>
      </c>
      <c r="F139" s="2" t="s">
        <v>55</v>
      </c>
      <c r="G139" s="2" t="s">
        <v>23</v>
      </c>
      <c r="H139" s="2" t="s">
        <v>23</v>
      </c>
      <c r="I139" s="2" t="s">
        <v>23</v>
      </c>
      <c r="J139" s="2">
        <v>2</v>
      </c>
      <c r="K139" s="2" t="s">
        <v>48</v>
      </c>
      <c r="L139" s="2">
        <v>1876</v>
      </c>
      <c r="M139" s="2" t="s">
        <v>138</v>
      </c>
      <c r="N139" s="2">
        <v>12</v>
      </c>
      <c r="O139" s="2">
        <v>52526.28</v>
      </c>
      <c r="P139" s="2">
        <v>4377.1899999999996</v>
      </c>
    </row>
    <row r="140" spans="1:16" outlineLevel="2" x14ac:dyDescent="0.2">
      <c r="A140" s="5">
        <v>46038</v>
      </c>
      <c r="B140" s="2">
        <v>155589</v>
      </c>
      <c r="C140" s="2">
        <v>315</v>
      </c>
      <c r="D140" s="2" t="s">
        <v>54</v>
      </c>
      <c r="E140" s="2" t="s">
        <v>20</v>
      </c>
      <c r="F140" s="2" t="s">
        <v>55</v>
      </c>
      <c r="G140" s="2" t="s">
        <v>23</v>
      </c>
      <c r="H140" s="2" t="s">
        <v>23</v>
      </c>
      <c r="I140" s="2" t="s">
        <v>23</v>
      </c>
      <c r="J140" s="2">
        <v>2</v>
      </c>
      <c r="K140" s="2" t="s">
        <v>48</v>
      </c>
      <c r="L140" s="2">
        <v>626</v>
      </c>
      <c r="M140" s="2" t="s">
        <v>49</v>
      </c>
      <c r="N140" s="2">
        <v>9</v>
      </c>
      <c r="O140" s="2">
        <v>48729.11</v>
      </c>
      <c r="P140" s="2">
        <v>5414.35</v>
      </c>
    </row>
    <row r="141" spans="1:16" outlineLevel="2" x14ac:dyDescent="0.2">
      <c r="A141" s="5">
        <v>46052</v>
      </c>
      <c r="B141" s="2">
        <v>155811</v>
      </c>
      <c r="C141" s="2">
        <v>315</v>
      </c>
      <c r="D141" s="2" t="s">
        <v>54</v>
      </c>
      <c r="E141" s="2" t="s">
        <v>20</v>
      </c>
      <c r="F141" s="2" t="s">
        <v>55</v>
      </c>
      <c r="G141" s="2" t="s">
        <v>23</v>
      </c>
      <c r="H141" s="2" t="s">
        <v>23</v>
      </c>
      <c r="I141" s="2" t="s">
        <v>23</v>
      </c>
      <c r="J141" s="2">
        <v>2</v>
      </c>
      <c r="K141" s="2" t="s">
        <v>48</v>
      </c>
      <c r="L141" s="2">
        <v>25095</v>
      </c>
      <c r="M141" s="2" t="s">
        <v>216</v>
      </c>
      <c r="N141" s="2">
        <v>9</v>
      </c>
      <c r="O141" s="2">
        <v>66464.460000000006</v>
      </c>
      <c r="P141" s="2">
        <v>7384.94</v>
      </c>
    </row>
    <row r="142" spans="1:16" outlineLevel="1" x14ac:dyDescent="0.2">
      <c r="A142" s="5"/>
      <c r="D142" s="3" t="s">
        <v>719</v>
      </c>
      <c r="N142" s="2">
        <f>SUBTOTAL(9,N125:N141)</f>
        <v>195</v>
      </c>
      <c r="O142" s="2">
        <f>SUBTOTAL(9,O125:O141)</f>
        <v>761671.9</v>
      </c>
    </row>
    <row r="143" spans="1:16" outlineLevel="2" x14ac:dyDescent="0.2">
      <c r="A143" s="5">
        <v>46139</v>
      </c>
      <c r="B143" s="2">
        <v>154419</v>
      </c>
      <c r="C143" s="2">
        <v>300</v>
      </c>
      <c r="D143" s="2" t="s">
        <v>67</v>
      </c>
      <c r="E143" s="2" t="s">
        <v>68</v>
      </c>
      <c r="F143" s="2" t="s">
        <v>23</v>
      </c>
      <c r="G143" s="2" t="s">
        <v>23</v>
      </c>
      <c r="H143" s="2" t="s">
        <v>23</v>
      </c>
      <c r="I143" s="2" t="s">
        <v>23</v>
      </c>
      <c r="J143" s="2">
        <v>2</v>
      </c>
      <c r="K143" s="2" t="s">
        <v>48</v>
      </c>
      <c r="L143" s="2">
        <v>684</v>
      </c>
      <c r="M143" s="2" t="s">
        <v>69</v>
      </c>
      <c r="N143" s="2">
        <v>10</v>
      </c>
      <c r="O143" s="2">
        <v>37337.5</v>
      </c>
      <c r="P143" s="2">
        <v>3733.75</v>
      </c>
    </row>
    <row r="144" spans="1:16" outlineLevel="2" x14ac:dyDescent="0.2">
      <c r="A144" s="5">
        <v>46139</v>
      </c>
      <c r="B144" s="2">
        <v>155266</v>
      </c>
      <c r="C144" s="2">
        <v>300</v>
      </c>
      <c r="D144" s="2" t="s">
        <v>67</v>
      </c>
      <c r="E144" s="2" t="s">
        <v>68</v>
      </c>
      <c r="F144" s="2" t="s">
        <v>23</v>
      </c>
      <c r="G144" s="2" t="s">
        <v>23</v>
      </c>
      <c r="H144" s="2" t="s">
        <v>23</v>
      </c>
      <c r="I144" s="2" t="s">
        <v>23</v>
      </c>
      <c r="J144" s="2">
        <v>2</v>
      </c>
      <c r="K144" s="2" t="s">
        <v>48</v>
      </c>
      <c r="L144" s="2">
        <v>684</v>
      </c>
      <c r="M144" s="2" t="s">
        <v>69</v>
      </c>
      <c r="N144" s="2">
        <v>9</v>
      </c>
      <c r="O144" s="2">
        <v>37035.51</v>
      </c>
      <c r="P144" s="2">
        <v>4115.0600000000004</v>
      </c>
    </row>
    <row r="145" spans="1:16" outlineLevel="1" x14ac:dyDescent="0.2">
      <c r="A145" s="5"/>
      <c r="D145" s="3" t="s">
        <v>720</v>
      </c>
      <c r="N145" s="2">
        <f>SUBTOTAL(9,N143:N144)</f>
        <v>19</v>
      </c>
      <c r="O145" s="2">
        <f>SUBTOTAL(9,O143:O144)</f>
        <v>74373.010000000009</v>
      </c>
    </row>
    <row r="146" spans="1:16" outlineLevel="2" x14ac:dyDescent="0.2">
      <c r="A146" s="5">
        <v>45768</v>
      </c>
      <c r="B146" s="2">
        <v>149372</v>
      </c>
      <c r="C146" s="2">
        <v>6</v>
      </c>
      <c r="D146" s="2" t="s">
        <v>38</v>
      </c>
      <c r="E146" s="2" t="s">
        <v>39</v>
      </c>
      <c r="F146" s="2" t="s">
        <v>40</v>
      </c>
      <c r="G146" s="2" t="s">
        <v>22</v>
      </c>
      <c r="H146" s="2" t="s">
        <v>41</v>
      </c>
      <c r="I146" s="2" t="s">
        <v>42</v>
      </c>
      <c r="J146" s="2">
        <v>40</v>
      </c>
      <c r="K146" s="2" t="s">
        <v>43</v>
      </c>
      <c r="L146" s="2">
        <v>2579</v>
      </c>
      <c r="M146" s="2" t="s">
        <v>44</v>
      </c>
      <c r="N146" s="2">
        <v>0</v>
      </c>
      <c r="O146" s="2">
        <v>0</v>
      </c>
      <c r="P146" s="2">
        <v>0</v>
      </c>
    </row>
    <row r="147" spans="1:16" outlineLevel="2" x14ac:dyDescent="0.2">
      <c r="A147" s="5">
        <v>46008</v>
      </c>
      <c r="B147" s="2">
        <v>155424</v>
      </c>
      <c r="C147" s="2">
        <v>4</v>
      </c>
      <c r="D147" s="2" t="s">
        <v>38</v>
      </c>
      <c r="E147" s="2" t="s">
        <v>39</v>
      </c>
      <c r="F147" s="2" t="s">
        <v>40</v>
      </c>
      <c r="G147" s="2" t="s">
        <v>41</v>
      </c>
      <c r="H147" s="2" t="s">
        <v>23</v>
      </c>
      <c r="I147" s="2" t="s">
        <v>113</v>
      </c>
      <c r="J147" s="2">
        <v>40</v>
      </c>
      <c r="K147" s="2" t="s">
        <v>43</v>
      </c>
      <c r="L147" s="2">
        <v>1502</v>
      </c>
      <c r="M147" s="2" t="s">
        <v>114</v>
      </c>
      <c r="N147" s="2">
        <v>2</v>
      </c>
      <c r="O147" s="2">
        <v>77681.679999999993</v>
      </c>
      <c r="P147" s="2">
        <v>38840.839999999997</v>
      </c>
    </row>
    <row r="148" spans="1:16" outlineLevel="2" x14ac:dyDescent="0.2">
      <c r="A148" s="5">
        <v>46010</v>
      </c>
      <c r="B148" s="2">
        <v>155529</v>
      </c>
      <c r="C148" s="2">
        <v>3</v>
      </c>
      <c r="D148" s="2" t="s">
        <v>38</v>
      </c>
      <c r="E148" s="2" t="s">
        <v>39</v>
      </c>
      <c r="F148" s="2" t="s">
        <v>63</v>
      </c>
      <c r="G148" s="2" t="s">
        <v>22</v>
      </c>
      <c r="H148" s="2" t="s">
        <v>23</v>
      </c>
      <c r="I148" s="2" t="s">
        <v>133</v>
      </c>
      <c r="J148" s="2">
        <v>1</v>
      </c>
      <c r="K148" s="2" t="s">
        <v>24</v>
      </c>
      <c r="L148" s="2">
        <v>1846</v>
      </c>
      <c r="M148" s="2" t="s">
        <v>134</v>
      </c>
      <c r="N148" s="2">
        <v>11</v>
      </c>
      <c r="O148" s="2">
        <v>612879.63</v>
      </c>
      <c r="P148" s="2">
        <v>55716.33</v>
      </c>
    </row>
    <row r="149" spans="1:16" outlineLevel="2" x14ac:dyDescent="0.2">
      <c r="A149" s="5">
        <v>46036</v>
      </c>
      <c r="B149" s="2">
        <v>155531</v>
      </c>
      <c r="C149" s="2">
        <v>1</v>
      </c>
      <c r="D149" s="2" t="s">
        <v>38</v>
      </c>
      <c r="E149" s="2" t="s">
        <v>39</v>
      </c>
      <c r="F149" s="2" t="s">
        <v>63</v>
      </c>
      <c r="G149" s="2" t="s">
        <v>22</v>
      </c>
      <c r="H149" s="2" t="s">
        <v>23</v>
      </c>
      <c r="I149" s="2" t="s">
        <v>116</v>
      </c>
      <c r="J149" s="2">
        <v>1</v>
      </c>
      <c r="K149" s="2" t="s">
        <v>24</v>
      </c>
      <c r="L149" s="2">
        <v>1846</v>
      </c>
      <c r="M149" s="2" t="s">
        <v>134</v>
      </c>
      <c r="N149" s="2">
        <v>88</v>
      </c>
      <c r="O149" s="2">
        <v>5726494.2400000002</v>
      </c>
      <c r="P149" s="2">
        <v>65073.8</v>
      </c>
    </row>
    <row r="150" spans="1:16" outlineLevel="2" x14ac:dyDescent="0.2">
      <c r="A150" s="5">
        <v>46012</v>
      </c>
      <c r="B150" s="2">
        <v>155531</v>
      </c>
      <c r="C150" s="2">
        <v>2</v>
      </c>
      <c r="D150" s="2" t="s">
        <v>38</v>
      </c>
      <c r="E150" s="2" t="s">
        <v>39</v>
      </c>
      <c r="F150" s="2" t="s">
        <v>63</v>
      </c>
      <c r="G150" s="2" t="s">
        <v>22</v>
      </c>
      <c r="H150" s="2" t="s">
        <v>23</v>
      </c>
      <c r="I150" s="2" t="s">
        <v>135</v>
      </c>
      <c r="J150" s="2">
        <v>1</v>
      </c>
      <c r="K150" s="2" t="s">
        <v>24</v>
      </c>
      <c r="L150" s="2">
        <v>1846</v>
      </c>
      <c r="M150" s="2" t="s">
        <v>134</v>
      </c>
      <c r="N150" s="2">
        <v>1</v>
      </c>
      <c r="O150" s="2">
        <v>66917.61</v>
      </c>
      <c r="P150" s="2">
        <v>66917.61</v>
      </c>
    </row>
    <row r="151" spans="1:16" outlineLevel="2" x14ac:dyDescent="0.2">
      <c r="A151" s="5">
        <v>46029</v>
      </c>
      <c r="B151" s="2">
        <v>155532</v>
      </c>
      <c r="C151" s="2">
        <v>3</v>
      </c>
      <c r="D151" s="2" t="s">
        <v>38</v>
      </c>
      <c r="E151" s="2" t="s">
        <v>39</v>
      </c>
      <c r="F151" s="2" t="s">
        <v>63</v>
      </c>
      <c r="G151" s="2" t="s">
        <v>22</v>
      </c>
      <c r="H151" s="2" t="s">
        <v>23</v>
      </c>
      <c r="I151" s="2" t="s">
        <v>135</v>
      </c>
      <c r="J151" s="2">
        <v>1</v>
      </c>
      <c r="K151" s="2" t="s">
        <v>24</v>
      </c>
      <c r="L151" s="2">
        <v>2222</v>
      </c>
      <c r="M151" s="2" t="s">
        <v>137</v>
      </c>
      <c r="N151" s="2">
        <v>31</v>
      </c>
      <c r="O151" s="2">
        <v>1711337.79</v>
      </c>
      <c r="P151" s="2">
        <v>55204.44</v>
      </c>
    </row>
    <row r="152" spans="1:16" outlineLevel="2" x14ac:dyDescent="0.2">
      <c r="A152" s="5">
        <v>46029</v>
      </c>
      <c r="B152" s="2">
        <v>155568</v>
      </c>
      <c r="C152" s="2">
        <v>1</v>
      </c>
      <c r="D152" s="2" t="s">
        <v>38</v>
      </c>
      <c r="E152" s="2" t="s">
        <v>39</v>
      </c>
      <c r="F152" s="2" t="s">
        <v>63</v>
      </c>
      <c r="G152" s="2" t="s">
        <v>22</v>
      </c>
      <c r="H152" s="2" t="s">
        <v>23</v>
      </c>
      <c r="I152" s="2" t="s">
        <v>116</v>
      </c>
      <c r="J152" s="2">
        <v>1</v>
      </c>
      <c r="K152" s="2" t="s">
        <v>24</v>
      </c>
      <c r="L152" s="2">
        <v>817</v>
      </c>
      <c r="M152" s="2" t="s">
        <v>117</v>
      </c>
      <c r="N152" s="2">
        <v>88</v>
      </c>
      <c r="O152" s="2">
        <v>3628286.27</v>
      </c>
      <c r="P152" s="2">
        <v>41230.53</v>
      </c>
    </row>
    <row r="153" spans="1:16" outlineLevel="2" x14ac:dyDescent="0.2">
      <c r="A153" s="5">
        <v>46012</v>
      </c>
      <c r="B153" s="2">
        <v>155568</v>
      </c>
      <c r="C153" s="2">
        <v>3</v>
      </c>
      <c r="D153" s="2" t="s">
        <v>38</v>
      </c>
      <c r="E153" s="2" t="s">
        <v>39</v>
      </c>
      <c r="F153" s="2" t="s">
        <v>63</v>
      </c>
      <c r="G153" s="2" t="s">
        <v>22</v>
      </c>
      <c r="H153" s="2" t="s">
        <v>23</v>
      </c>
      <c r="I153" s="2" t="s">
        <v>23</v>
      </c>
      <c r="J153" s="2">
        <v>124</v>
      </c>
      <c r="K153" s="2" t="s">
        <v>155</v>
      </c>
      <c r="L153" s="2">
        <v>817</v>
      </c>
      <c r="M153" s="2" t="s">
        <v>117</v>
      </c>
      <c r="N153" s="2">
        <v>251</v>
      </c>
      <c r="O153" s="2">
        <v>17766452.649999999</v>
      </c>
      <c r="P153" s="2">
        <v>70782.679999999993</v>
      </c>
    </row>
    <row r="154" spans="1:16" outlineLevel="2" x14ac:dyDescent="0.2">
      <c r="A154" s="5">
        <v>46020</v>
      </c>
      <c r="B154" s="2">
        <v>155611</v>
      </c>
      <c r="C154" s="2">
        <v>1</v>
      </c>
      <c r="D154" s="2" t="s">
        <v>38</v>
      </c>
      <c r="E154" s="2" t="s">
        <v>39</v>
      </c>
      <c r="F154" s="2" t="s">
        <v>63</v>
      </c>
      <c r="G154" s="2" t="s">
        <v>22</v>
      </c>
      <c r="H154" s="2" t="s">
        <v>23</v>
      </c>
      <c r="I154" s="2" t="s">
        <v>116</v>
      </c>
      <c r="J154" s="2">
        <v>1</v>
      </c>
      <c r="K154" s="2" t="s">
        <v>24</v>
      </c>
      <c r="L154" s="2">
        <v>1846</v>
      </c>
      <c r="M154" s="2" t="s">
        <v>134</v>
      </c>
      <c r="N154" s="2">
        <v>1</v>
      </c>
      <c r="O154" s="2">
        <v>67851.039999999994</v>
      </c>
      <c r="P154" s="2">
        <v>67851.039999999994</v>
      </c>
    </row>
    <row r="155" spans="1:16" outlineLevel="2" x14ac:dyDescent="0.2">
      <c r="A155" s="5">
        <v>46021</v>
      </c>
      <c r="B155" s="2">
        <v>155611</v>
      </c>
      <c r="C155" s="2">
        <v>2</v>
      </c>
      <c r="D155" s="2" t="s">
        <v>38</v>
      </c>
      <c r="E155" s="2" t="s">
        <v>39</v>
      </c>
      <c r="F155" s="2" t="s">
        <v>63</v>
      </c>
      <c r="G155" s="2" t="s">
        <v>22</v>
      </c>
      <c r="H155" s="2" t="s">
        <v>23</v>
      </c>
      <c r="I155" s="2" t="s">
        <v>135</v>
      </c>
      <c r="J155" s="2">
        <v>1</v>
      </c>
      <c r="K155" s="2" t="s">
        <v>24</v>
      </c>
      <c r="L155" s="2">
        <v>1846</v>
      </c>
      <c r="M155" s="2" t="s">
        <v>134</v>
      </c>
      <c r="N155" s="2">
        <v>19</v>
      </c>
      <c r="O155" s="2">
        <v>1275168.31</v>
      </c>
      <c r="P155" s="2">
        <v>67114.12</v>
      </c>
    </row>
    <row r="156" spans="1:16" outlineLevel="2" x14ac:dyDescent="0.2">
      <c r="A156" s="5">
        <v>46020</v>
      </c>
      <c r="B156" s="2">
        <v>155611</v>
      </c>
      <c r="C156" s="2">
        <v>3</v>
      </c>
      <c r="D156" s="2" t="s">
        <v>38</v>
      </c>
      <c r="E156" s="2" t="s">
        <v>39</v>
      </c>
      <c r="F156" s="2" t="s">
        <v>63</v>
      </c>
      <c r="G156" s="2" t="s">
        <v>22</v>
      </c>
      <c r="H156" s="2" t="s">
        <v>23</v>
      </c>
      <c r="I156" s="2" t="s">
        <v>133</v>
      </c>
      <c r="J156" s="2">
        <v>1</v>
      </c>
      <c r="K156" s="2" t="s">
        <v>24</v>
      </c>
      <c r="L156" s="2">
        <v>1846</v>
      </c>
      <c r="M156" s="2" t="s">
        <v>134</v>
      </c>
      <c r="N156" s="2">
        <v>488</v>
      </c>
      <c r="O156" s="2">
        <v>26521873.16</v>
      </c>
      <c r="P156" s="2">
        <v>54348.1</v>
      </c>
    </row>
    <row r="157" spans="1:16" outlineLevel="2" x14ac:dyDescent="0.2">
      <c r="A157" s="5">
        <v>46027</v>
      </c>
      <c r="B157" s="2">
        <v>155612</v>
      </c>
      <c r="C157" s="2">
        <v>1</v>
      </c>
      <c r="D157" s="2" t="s">
        <v>38</v>
      </c>
      <c r="E157" s="2" t="s">
        <v>39</v>
      </c>
      <c r="F157" s="2" t="s">
        <v>63</v>
      </c>
      <c r="G157" s="2" t="s">
        <v>22</v>
      </c>
      <c r="H157" s="2" t="s">
        <v>41</v>
      </c>
      <c r="I157" s="2" t="s">
        <v>116</v>
      </c>
      <c r="J157" s="2">
        <v>1</v>
      </c>
      <c r="K157" s="2" t="s">
        <v>24</v>
      </c>
      <c r="L157" s="2">
        <v>817</v>
      </c>
      <c r="M157" s="2" t="s">
        <v>117</v>
      </c>
      <c r="N157" s="2">
        <v>173</v>
      </c>
      <c r="O157" s="2">
        <v>10682568.23</v>
      </c>
      <c r="P157" s="2">
        <v>61748.95</v>
      </c>
    </row>
    <row r="158" spans="1:16" outlineLevel="2" x14ac:dyDescent="0.2">
      <c r="A158" s="5">
        <v>46027</v>
      </c>
      <c r="B158" s="2">
        <v>155612</v>
      </c>
      <c r="C158" s="2">
        <v>2</v>
      </c>
      <c r="D158" s="2" t="s">
        <v>38</v>
      </c>
      <c r="E158" s="2" t="s">
        <v>39</v>
      </c>
      <c r="F158" s="2" t="s">
        <v>63</v>
      </c>
      <c r="G158" s="2" t="s">
        <v>22</v>
      </c>
      <c r="H158" s="2" t="s">
        <v>41</v>
      </c>
      <c r="I158" s="2" t="s">
        <v>135</v>
      </c>
      <c r="J158" s="2">
        <v>1</v>
      </c>
      <c r="K158" s="2" t="s">
        <v>24</v>
      </c>
      <c r="L158" s="2">
        <v>817</v>
      </c>
      <c r="M158" s="2" t="s">
        <v>117</v>
      </c>
      <c r="N158" s="2">
        <v>88</v>
      </c>
      <c r="O158" s="2">
        <v>5604050.4699999997</v>
      </c>
      <c r="P158" s="2">
        <v>63682.39</v>
      </c>
    </row>
    <row r="159" spans="1:16" outlineLevel="2" x14ac:dyDescent="0.2">
      <c r="A159" s="5">
        <v>46017</v>
      </c>
      <c r="B159" s="2">
        <v>155612</v>
      </c>
      <c r="C159" s="2">
        <v>3</v>
      </c>
      <c r="D159" s="2" t="s">
        <v>38</v>
      </c>
      <c r="E159" s="2" t="s">
        <v>39</v>
      </c>
      <c r="F159" s="2" t="s">
        <v>63</v>
      </c>
      <c r="G159" s="2" t="s">
        <v>22</v>
      </c>
      <c r="H159" s="2" t="s">
        <v>23</v>
      </c>
      <c r="I159" s="2" t="s">
        <v>133</v>
      </c>
      <c r="J159" s="2">
        <v>1</v>
      </c>
      <c r="K159" s="2" t="s">
        <v>24</v>
      </c>
      <c r="L159" s="2">
        <v>817</v>
      </c>
      <c r="M159" s="2" t="s">
        <v>117</v>
      </c>
      <c r="N159" s="2">
        <v>22</v>
      </c>
      <c r="O159" s="2">
        <v>1221191.8500000001</v>
      </c>
      <c r="P159" s="2">
        <v>55508.72</v>
      </c>
    </row>
    <row r="160" spans="1:16" outlineLevel="2" x14ac:dyDescent="0.2">
      <c r="A160" s="5">
        <v>46017</v>
      </c>
      <c r="B160" s="2">
        <v>155612</v>
      </c>
      <c r="C160" s="2">
        <v>4</v>
      </c>
      <c r="D160" s="2" t="s">
        <v>38</v>
      </c>
      <c r="E160" s="2" t="s">
        <v>39</v>
      </c>
      <c r="F160" s="2" t="s">
        <v>63</v>
      </c>
      <c r="G160" s="2" t="s">
        <v>22</v>
      </c>
      <c r="H160" s="2" t="s">
        <v>23</v>
      </c>
      <c r="I160" s="2" t="s">
        <v>23</v>
      </c>
      <c r="J160" s="2">
        <v>7</v>
      </c>
      <c r="K160" s="2" t="s">
        <v>159</v>
      </c>
      <c r="L160" s="2">
        <v>817</v>
      </c>
      <c r="M160" s="2" t="s">
        <v>117</v>
      </c>
      <c r="N160" s="2">
        <v>60</v>
      </c>
      <c r="O160" s="2">
        <v>4308612.95</v>
      </c>
      <c r="P160" s="2">
        <v>71810.22</v>
      </c>
    </row>
    <row r="161" spans="1:16" outlineLevel="2" x14ac:dyDescent="0.2">
      <c r="A161" s="5">
        <v>46029</v>
      </c>
      <c r="B161" s="2">
        <v>155613</v>
      </c>
      <c r="C161" s="2">
        <v>1</v>
      </c>
      <c r="D161" s="2" t="s">
        <v>38</v>
      </c>
      <c r="E161" s="2" t="s">
        <v>39</v>
      </c>
      <c r="F161" s="2" t="s">
        <v>63</v>
      </c>
      <c r="G161" s="2" t="s">
        <v>22</v>
      </c>
      <c r="H161" s="2" t="s">
        <v>23</v>
      </c>
      <c r="I161" s="2" t="s">
        <v>116</v>
      </c>
      <c r="J161" s="2">
        <v>1</v>
      </c>
      <c r="K161" s="2" t="s">
        <v>24</v>
      </c>
      <c r="L161" s="2">
        <v>817</v>
      </c>
      <c r="M161" s="2" t="s">
        <v>117</v>
      </c>
      <c r="N161" s="2">
        <v>288</v>
      </c>
      <c r="O161" s="2">
        <v>11865814.539999999</v>
      </c>
      <c r="P161" s="2">
        <v>41200.74</v>
      </c>
    </row>
    <row r="162" spans="1:16" outlineLevel="2" x14ac:dyDescent="0.2">
      <c r="A162" s="5">
        <v>46017</v>
      </c>
      <c r="B162" s="2">
        <v>155613</v>
      </c>
      <c r="C162" s="2">
        <v>4</v>
      </c>
      <c r="D162" s="2" t="s">
        <v>38</v>
      </c>
      <c r="E162" s="2" t="s">
        <v>39</v>
      </c>
      <c r="F162" s="2" t="s">
        <v>63</v>
      </c>
      <c r="G162" s="2" t="s">
        <v>22</v>
      </c>
      <c r="H162" s="2" t="s">
        <v>23</v>
      </c>
      <c r="I162" s="2" t="s">
        <v>23</v>
      </c>
      <c r="J162" s="2">
        <v>124</v>
      </c>
      <c r="K162" s="2" t="s">
        <v>155</v>
      </c>
      <c r="L162" s="2">
        <v>817</v>
      </c>
      <c r="M162" s="2" t="s">
        <v>117</v>
      </c>
      <c r="N162" s="2">
        <v>300</v>
      </c>
      <c r="O162" s="2">
        <v>20930728.41</v>
      </c>
      <c r="P162" s="2">
        <v>69769.09</v>
      </c>
    </row>
    <row r="163" spans="1:16" outlineLevel="2" x14ac:dyDescent="0.2">
      <c r="A163" s="5">
        <v>46021</v>
      </c>
      <c r="B163" s="2">
        <v>155668</v>
      </c>
      <c r="C163" s="2">
        <v>2</v>
      </c>
      <c r="D163" s="2" t="s">
        <v>38</v>
      </c>
      <c r="E163" s="2" t="s">
        <v>39</v>
      </c>
      <c r="F163" s="2" t="s">
        <v>63</v>
      </c>
      <c r="G163" s="2" t="s">
        <v>22</v>
      </c>
      <c r="H163" s="2" t="s">
        <v>23</v>
      </c>
      <c r="I163" s="2" t="s">
        <v>116</v>
      </c>
      <c r="J163" s="2">
        <v>1</v>
      </c>
      <c r="K163" s="2" t="s">
        <v>24</v>
      </c>
      <c r="L163" s="2">
        <v>1846</v>
      </c>
      <c r="M163" s="2" t="s">
        <v>134</v>
      </c>
      <c r="N163" s="2">
        <v>255</v>
      </c>
      <c r="O163" s="2">
        <v>16985547.260000002</v>
      </c>
      <c r="P163" s="2">
        <v>66609.990000000005</v>
      </c>
    </row>
    <row r="164" spans="1:16" outlineLevel="2" x14ac:dyDescent="0.2">
      <c r="A164" s="5">
        <v>46024</v>
      </c>
      <c r="B164" s="2">
        <v>155668</v>
      </c>
      <c r="C164" s="2">
        <v>3</v>
      </c>
      <c r="D164" s="2" t="s">
        <v>38</v>
      </c>
      <c r="E164" s="2" t="s">
        <v>39</v>
      </c>
      <c r="F164" s="2" t="s">
        <v>63</v>
      </c>
      <c r="G164" s="2" t="s">
        <v>22</v>
      </c>
      <c r="H164" s="2" t="s">
        <v>23</v>
      </c>
      <c r="I164" s="2" t="s">
        <v>135</v>
      </c>
      <c r="J164" s="2">
        <v>1</v>
      </c>
      <c r="K164" s="2" t="s">
        <v>24</v>
      </c>
      <c r="L164" s="2">
        <v>1846</v>
      </c>
      <c r="M164" s="2" t="s">
        <v>134</v>
      </c>
      <c r="N164" s="2">
        <v>186</v>
      </c>
      <c r="O164" s="2">
        <v>12465860.51</v>
      </c>
      <c r="P164" s="2">
        <v>67020.759999999995</v>
      </c>
    </row>
    <row r="165" spans="1:16" outlineLevel="2" x14ac:dyDescent="0.2">
      <c r="A165" s="5">
        <v>46026</v>
      </c>
      <c r="B165" s="2">
        <v>155668</v>
      </c>
      <c r="C165" s="2">
        <v>4</v>
      </c>
      <c r="D165" s="2" t="s">
        <v>38</v>
      </c>
      <c r="E165" s="2" t="s">
        <v>39</v>
      </c>
      <c r="F165" s="2" t="s">
        <v>63</v>
      </c>
      <c r="G165" s="2" t="s">
        <v>22</v>
      </c>
      <c r="H165" s="2" t="s">
        <v>23</v>
      </c>
      <c r="I165" s="2" t="s">
        <v>133</v>
      </c>
      <c r="J165" s="2">
        <v>1</v>
      </c>
      <c r="K165" s="2" t="s">
        <v>24</v>
      </c>
      <c r="L165" s="2">
        <v>1846</v>
      </c>
      <c r="M165" s="2" t="s">
        <v>134</v>
      </c>
      <c r="N165" s="2">
        <v>440</v>
      </c>
      <c r="O165" s="2">
        <v>23837298.780000001</v>
      </c>
      <c r="P165" s="2">
        <v>54175.68</v>
      </c>
    </row>
    <row r="166" spans="1:16" outlineLevel="2" x14ac:dyDescent="0.2">
      <c r="A166" s="5">
        <v>46024</v>
      </c>
      <c r="B166" s="2">
        <v>155668</v>
      </c>
      <c r="C166" s="2">
        <v>5</v>
      </c>
      <c r="D166" s="2" t="s">
        <v>38</v>
      </c>
      <c r="E166" s="2" t="s">
        <v>39</v>
      </c>
      <c r="F166" s="2" t="s">
        <v>63</v>
      </c>
      <c r="G166" s="2" t="s">
        <v>22</v>
      </c>
      <c r="H166" s="2" t="s">
        <v>23</v>
      </c>
      <c r="I166" s="2" t="s">
        <v>23</v>
      </c>
      <c r="J166" s="2">
        <v>124</v>
      </c>
      <c r="K166" s="2" t="s">
        <v>155</v>
      </c>
      <c r="L166" s="2">
        <v>1846</v>
      </c>
      <c r="M166" s="2" t="s">
        <v>134</v>
      </c>
      <c r="N166" s="2">
        <v>55</v>
      </c>
      <c r="O166" s="2">
        <v>3988503.2</v>
      </c>
      <c r="P166" s="2">
        <v>72518.240000000005</v>
      </c>
    </row>
    <row r="167" spans="1:16" outlineLevel="2" x14ac:dyDescent="0.2">
      <c r="A167" s="5">
        <v>46027</v>
      </c>
      <c r="B167" s="2">
        <v>155669</v>
      </c>
      <c r="C167" s="2">
        <v>1</v>
      </c>
      <c r="D167" s="2" t="s">
        <v>38</v>
      </c>
      <c r="E167" s="2" t="s">
        <v>39</v>
      </c>
      <c r="F167" s="2" t="s">
        <v>63</v>
      </c>
      <c r="G167" s="2" t="s">
        <v>22</v>
      </c>
      <c r="H167" s="2" t="s">
        <v>41</v>
      </c>
      <c r="I167" s="2" t="s">
        <v>116</v>
      </c>
      <c r="J167" s="2">
        <v>1</v>
      </c>
      <c r="K167" s="2" t="s">
        <v>24</v>
      </c>
      <c r="L167" s="2">
        <v>817</v>
      </c>
      <c r="M167" s="2" t="s">
        <v>117</v>
      </c>
      <c r="N167" s="2">
        <v>90</v>
      </c>
      <c r="O167" s="2">
        <v>4879121.46</v>
      </c>
      <c r="P167" s="2">
        <v>54212.46</v>
      </c>
    </row>
    <row r="168" spans="1:16" outlineLevel="2" x14ac:dyDescent="0.2">
      <c r="A168" s="5">
        <v>46027</v>
      </c>
      <c r="B168" s="2">
        <v>155669</v>
      </c>
      <c r="C168" s="2">
        <v>2</v>
      </c>
      <c r="D168" s="2" t="s">
        <v>38</v>
      </c>
      <c r="E168" s="2" t="s">
        <v>39</v>
      </c>
      <c r="F168" s="2" t="s">
        <v>63</v>
      </c>
      <c r="G168" s="2" t="s">
        <v>22</v>
      </c>
      <c r="H168" s="2" t="s">
        <v>41</v>
      </c>
      <c r="I168" s="2" t="s">
        <v>135</v>
      </c>
      <c r="J168" s="2">
        <v>1</v>
      </c>
      <c r="K168" s="2" t="s">
        <v>24</v>
      </c>
      <c r="L168" s="2">
        <v>817</v>
      </c>
      <c r="M168" s="2" t="s">
        <v>117</v>
      </c>
      <c r="N168" s="2">
        <v>176</v>
      </c>
      <c r="O168" s="2">
        <v>10386356.029999999</v>
      </c>
      <c r="P168" s="2">
        <v>59013.39</v>
      </c>
    </row>
    <row r="169" spans="1:16" outlineLevel="2" x14ac:dyDescent="0.2">
      <c r="A169" s="5">
        <v>46027</v>
      </c>
      <c r="B169" s="2">
        <v>155669</v>
      </c>
      <c r="C169" s="2">
        <v>3</v>
      </c>
      <c r="D169" s="2" t="s">
        <v>38</v>
      </c>
      <c r="E169" s="2" t="s">
        <v>39</v>
      </c>
      <c r="F169" s="2" t="s">
        <v>63</v>
      </c>
      <c r="G169" s="2" t="s">
        <v>22</v>
      </c>
      <c r="H169" s="2" t="s">
        <v>23</v>
      </c>
      <c r="I169" s="2" t="s">
        <v>133</v>
      </c>
      <c r="J169" s="2">
        <v>1</v>
      </c>
      <c r="K169" s="2" t="s">
        <v>24</v>
      </c>
      <c r="L169" s="2">
        <v>817</v>
      </c>
      <c r="M169" s="2" t="s">
        <v>117</v>
      </c>
      <c r="N169" s="2">
        <v>264</v>
      </c>
      <c r="O169" s="2">
        <v>14155922.380000001</v>
      </c>
      <c r="P169" s="2">
        <v>53620.92</v>
      </c>
    </row>
    <row r="170" spans="1:16" outlineLevel="2" x14ac:dyDescent="0.2">
      <c r="A170" s="5">
        <v>46027</v>
      </c>
      <c r="B170" s="2">
        <v>155669</v>
      </c>
      <c r="C170" s="2">
        <v>4</v>
      </c>
      <c r="D170" s="2" t="s">
        <v>38</v>
      </c>
      <c r="E170" s="2" t="s">
        <v>39</v>
      </c>
      <c r="F170" s="2" t="s">
        <v>63</v>
      </c>
      <c r="G170" s="2" t="s">
        <v>22</v>
      </c>
      <c r="H170" s="2" t="s">
        <v>23</v>
      </c>
      <c r="I170" s="2" t="s">
        <v>23</v>
      </c>
      <c r="J170" s="2">
        <v>124</v>
      </c>
      <c r="K170" s="2" t="s">
        <v>155</v>
      </c>
      <c r="L170" s="2">
        <v>817</v>
      </c>
      <c r="M170" s="2" t="s">
        <v>117</v>
      </c>
      <c r="N170" s="2">
        <v>179</v>
      </c>
      <c r="O170" s="2">
        <v>11559363.380000001</v>
      </c>
      <c r="P170" s="2">
        <v>64577.45</v>
      </c>
    </row>
    <row r="171" spans="1:16" outlineLevel="2" x14ac:dyDescent="0.2">
      <c r="A171" s="5">
        <v>46029</v>
      </c>
      <c r="B171" s="2">
        <v>155766</v>
      </c>
      <c r="C171" s="2">
        <v>1</v>
      </c>
      <c r="D171" s="2" t="s">
        <v>38</v>
      </c>
      <c r="E171" s="2" t="s">
        <v>39</v>
      </c>
      <c r="F171" s="2" t="s">
        <v>63</v>
      </c>
      <c r="G171" s="2" t="s">
        <v>22</v>
      </c>
      <c r="H171" s="2" t="s">
        <v>41</v>
      </c>
      <c r="I171" s="2" t="s">
        <v>135</v>
      </c>
      <c r="J171" s="2">
        <v>1</v>
      </c>
      <c r="K171" s="2" t="s">
        <v>24</v>
      </c>
      <c r="L171" s="2">
        <v>817</v>
      </c>
      <c r="M171" s="2" t="s">
        <v>117</v>
      </c>
      <c r="N171" s="2">
        <v>40</v>
      </c>
      <c r="O171" s="2">
        <v>1654914.76</v>
      </c>
      <c r="P171" s="2">
        <v>41372.870000000003</v>
      </c>
    </row>
    <row r="172" spans="1:16" outlineLevel="2" x14ac:dyDescent="0.2">
      <c r="A172" s="5">
        <v>46027</v>
      </c>
      <c r="B172" s="2">
        <v>155766</v>
      </c>
      <c r="C172" s="2">
        <v>3</v>
      </c>
      <c r="D172" s="2" t="s">
        <v>38</v>
      </c>
      <c r="E172" s="2" t="s">
        <v>39</v>
      </c>
      <c r="F172" s="2" t="s">
        <v>63</v>
      </c>
      <c r="G172" s="2" t="s">
        <v>22</v>
      </c>
      <c r="H172" s="2" t="s">
        <v>23</v>
      </c>
      <c r="I172" s="2" t="s">
        <v>23</v>
      </c>
      <c r="J172" s="2">
        <v>124</v>
      </c>
      <c r="K172" s="2" t="s">
        <v>155</v>
      </c>
      <c r="L172" s="2">
        <v>817</v>
      </c>
      <c r="M172" s="2" t="s">
        <v>117</v>
      </c>
      <c r="N172" s="2">
        <v>300</v>
      </c>
      <c r="O172" s="2">
        <v>19645926.370000001</v>
      </c>
      <c r="P172" s="2">
        <v>65486.42</v>
      </c>
    </row>
    <row r="173" spans="1:16" outlineLevel="1" x14ac:dyDescent="0.2">
      <c r="A173" s="5"/>
      <c r="D173" s="3" t="s">
        <v>721</v>
      </c>
      <c r="N173" s="2">
        <f>SUBTOTAL(9,N146:N172)</f>
        <v>3896</v>
      </c>
      <c r="O173" s="2">
        <f>SUBTOTAL(9,O146:O172)</f>
        <v>231626722.95999998</v>
      </c>
    </row>
    <row r="174" spans="1:16" outlineLevel="2" x14ac:dyDescent="0.2">
      <c r="A174" s="5">
        <v>46010</v>
      </c>
      <c r="B174" s="2">
        <v>155532</v>
      </c>
      <c r="C174" s="2">
        <v>2</v>
      </c>
      <c r="D174" s="2" t="s">
        <v>136</v>
      </c>
      <c r="E174" s="2" t="s">
        <v>39</v>
      </c>
      <c r="F174" s="2" t="s">
        <v>63</v>
      </c>
      <c r="G174" s="2" t="s">
        <v>22</v>
      </c>
      <c r="H174" s="2" t="s">
        <v>23</v>
      </c>
      <c r="I174" s="2" t="s">
        <v>116</v>
      </c>
      <c r="J174" s="2">
        <v>1</v>
      </c>
      <c r="K174" s="2" t="s">
        <v>24</v>
      </c>
      <c r="L174" s="2">
        <v>2222</v>
      </c>
      <c r="M174" s="2" t="s">
        <v>137</v>
      </c>
      <c r="N174" s="2">
        <v>12</v>
      </c>
      <c r="O174" s="2">
        <v>350293.35</v>
      </c>
      <c r="P174" s="2">
        <v>29191.11</v>
      </c>
    </row>
    <row r="175" spans="1:16" outlineLevel="1" x14ac:dyDescent="0.2">
      <c r="A175" s="5"/>
      <c r="D175" s="3" t="s">
        <v>722</v>
      </c>
      <c r="N175" s="2">
        <f>SUBTOTAL(9,N174:N174)</f>
        <v>12</v>
      </c>
      <c r="O175" s="2">
        <f>SUBTOTAL(9,O174:O174)</f>
        <v>350293.35</v>
      </c>
    </row>
    <row r="176" spans="1:16" outlineLevel="2" x14ac:dyDescent="0.2">
      <c r="A176" s="5">
        <v>45957</v>
      </c>
      <c r="B176" s="2">
        <v>154209</v>
      </c>
      <c r="C176" s="2">
        <v>1</v>
      </c>
      <c r="D176" s="2" t="s">
        <v>62</v>
      </c>
      <c r="E176" s="2" t="s">
        <v>39</v>
      </c>
      <c r="F176" s="2" t="s">
        <v>63</v>
      </c>
      <c r="G176" s="2" t="s">
        <v>22</v>
      </c>
      <c r="H176" s="2" t="s">
        <v>23</v>
      </c>
      <c r="I176" s="2" t="s">
        <v>64</v>
      </c>
      <c r="J176" s="2">
        <v>1</v>
      </c>
      <c r="K176" s="2" t="s">
        <v>24</v>
      </c>
      <c r="L176" s="2">
        <v>2586</v>
      </c>
      <c r="M176" s="2" t="s">
        <v>65</v>
      </c>
      <c r="N176" s="2">
        <v>31</v>
      </c>
      <c r="O176" s="2">
        <v>1497400.54</v>
      </c>
      <c r="P176" s="2">
        <v>48303.24</v>
      </c>
    </row>
    <row r="177" spans="1:16" outlineLevel="1" x14ac:dyDescent="0.2">
      <c r="A177" s="5"/>
      <c r="D177" s="3" t="s">
        <v>723</v>
      </c>
      <c r="N177" s="2">
        <f>SUBTOTAL(9,N176:N176)</f>
        <v>31</v>
      </c>
      <c r="O177" s="2">
        <f>SUBTOTAL(9,O176:O176)</f>
        <v>1497400.54</v>
      </c>
    </row>
    <row r="178" spans="1:16" outlineLevel="2" x14ac:dyDescent="0.2">
      <c r="A178" s="5">
        <v>46008</v>
      </c>
      <c r="B178" s="2">
        <v>155426</v>
      </c>
      <c r="C178" s="2">
        <v>1</v>
      </c>
      <c r="D178" s="2" t="s">
        <v>115</v>
      </c>
      <c r="E178" s="2" t="s">
        <v>39</v>
      </c>
      <c r="F178" s="2" t="s">
        <v>63</v>
      </c>
      <c r="G178" s="2" t="s">
        <v>22</v>
      </c>
      <c r="H178" s="2" t="s">
        <v>23</v>
      </c>
      <c r="I178" s="2" t="s">
        <v>116</v>
      </c>
      <c r="J178" s="2">
        <v>1</v>
      </c>
      <c r="K178" s="2" t="s">
        <v>24</v>
      </c>
      <c r="L178" s="2">
        <v>817</v>
      </c>
      <c r="M178" s="2" t="s">
        <v>117</v>
      </c>
      <c r="N178" s="2">
        <v>95</v>
      </c>
      <c r="O178" s="2">
        <v>2968789.03</v>
      </c>
      <c r="P178" s="2">
        <v>31250.41</v>
      </c>
    </row>
    <row r="179" spans="1:16" outlineLevel="1" x14ac:dyDescent="0.2">
      <c r="A179" s="5"/>
      <c r="D179" s="3" t="s">
        <v>724</v>
      </c>
      <c r="N179" s="2">
        <f>SUBTOTAL(9,N178:N178)</f>
        <v>95</v>
      </c>
      <c r="O179" s="2">
        <f>SUBTOTAL(9,O178:O178)</f>
        <v>2968789.03</v>
      </c>
    </row>
    <row r="180" spans="1:16" outlineLevel="2" x14ac:dyDescent="0.2">
      <c r="A180" s="5">
        <v>46021</v>
      </c>
      <c r="B180" s="2">
        <v>155749</v>
      </c>
      <c r="C180" s="2">
        <v>1</v>
      </c>
      <c r="D180" s="2" t="s">
        <v>175</v>
      </c>
      <c r="E180" s="2" t="s">
        <v>176</v>
      </c>
      <c r="F180" s="2" t="s">
        <v>40</v>
      </c>
      <c r="G180" s="2" t="s">
        <v>22</v>
      </c>
      <c r="H180" s="2" t="s">
        <v>23</v>
      </c>
      <c r="I180" s="2" t="s">
        <v>23</v>
      </c>
      <c r="J180" s="2">
        <v>5</v>
      </c>
      <c r="K180" s="2" t="s">
        <v>27</v>
      </c>
      <c r="L180" s="2">
        <v>2521</v>
      </c>
      <c r="M180" s="2" t="s">
        <v>82</v>
      </c>
      <c r="N180" s="2">
        <v>123</v>
      </c>
      <c r="O180" s="2">
        <v>5023789.18</v>
      </c>
      <c r="P180" s="2">
        <v>40843.81</v>
      </c>
    </row>
    <row r="181" spans="1:16" outlineLevel="2" x14ac:dyDescent="0.2">
      <c r="A181" s="5">
        <v>46021</v>
      </c>
      <c r="B181" s="2">
        <v>155749</v>
      </c>
      <c r="C181" s="2">
        <v>2</v>
      </c>
      <c r="D181" s="2" t="s">
        <v>175</v>
      </c>
      <c r="E181" s="2" t="s">
        <v>177</v>
      </c>
      <c r="F181" s="2" t="s">
        <v>40</v>
      </c>
      <c r="G181" s="2" t="s">
        <v>22</v>
      </c>
      <c r="H181" s="2" t="s">
        <v>23</v>
      </c>
      <c r="I181" s="2" t="s">
        <v>23</v>
      </c>
      <c r="J181" s="2">
        <v>5</v>
      </c>
      <c r="K181" s="2" t="s">
        <v>27</v>
      </c>
      <c r="L181" s="2">
        <v>2521</v>
      </c>
      <c r="M181" s="2" t="s">
        <v>82</v>
      </c>
      <c r="N181" s="2">
        <v>93</v>
      </c>
      <c r="O181" s="2">
        <v>2587757.7000000002</v>
      </c>
      <c r="P181" s="2">
        <v>27825.35</v>
      </c>
    </row>
    <row r="182" spans="1:16" outlineLevel="1" x14ac:dyDescent="0.2">
      <c r="A182" s="5"/>
      <c r="D182" s="3" t="s">
        <v>725</v>
      </c>
      <c r="N182" s="2">
        <f>SUBTOTAL(9,N180:N181)</f>
        <v>216</v>
      </c>
      <c r="O182" s="2">
        <f>SUBTOTAL(9,O180:O181)</f>
        <v>7611546.8799999999</v>
      </c>
    </row>
    <row r="183" spans="1:16" outlineLevel="2" x14ac:dyDescent="0.2">
      <c r="A183" s="5">
        <v>46045</v>
      </c>
      <c r="B183" s="2">
        <v>155367</v>
      </c>
      <c r="C183" s="2">
        <v>2</v>
      </c>
      <c r="D183" s="2" t="s">
        <v>107</v>
      </c>
      <c r="E183" s="2" t="s">
        <v>23</v>
      </c>
      <c r="F183" s="2" t="s">
        <v>55</v>
      </c>
      <c r="G183" s="2" t="s">
        <v>23</v>
      </c>
      <c r="H183" s="2" t="s">
        <v>23</v>
      </c>
      <c r="I183" s="2" t="s">
        <v>23</v>
      </c>
      <c r="J183" s="2">
        <v>1</v>
      </c>
      <c r="K183" s="2" t="s">
        <v>24</v>
      </c>
      <c r="L183" s="2">
        <v>25092</v>
      </c>
      <c r="M183" s="2" t="s">
        <v>96</v>
      </c>
      <c r="N183" s="2">
        <v>18</v>
      </c>
      <c r="O183" s="2">
        <v>149713.41</v>
      </c>
      <c r="P183" s="2">
        <v>8317.41</v>
      </c>
    </row>
    <row r="184" spans="1:16" outlineLevel="2" x14ac:dyDescent="0.2">
      <c r="A184" s="5">
        <v>46045</v>
      </c>
      <c r="B184" s="2">
        <v>155797</v>
      </c>
      <c r="C184" s="2">
        <v>2</v>
      </c>
      <c r="D184" s="2" t="s">
        <v>107</v>
      </c>
      <c r="E184" s="2" t="s">
        <v>23</v>
      </c>
      <c r="F184" s="2" t="s">
        <v>55</v>
      </c>
      <c r="G184" s="2" t="s">
        <v>23</v>
      </c>
      <c r="H184" s="2" t="s">
        <v>23</v>
      </c>
      <c r="I184" s="2" t="s">
        <v>23</v>
      </c>
      <c r="J184" s="2">
        <v>1</v>
      </c>
      <c r="K184" s="2" t="s">
        <v>24</v>
      </c>
      <c r="L184" s="2">
        <v>25092</v>
      </c>
      <c r="M184" s="2" t="s">
        <v>96</v>
      </c>
      <c r="N184" s="2">
        <v>3</v>
      </c>
      <c r="O184" s="2">
        <v>22755.97</v>
      </c>
      <c r="P184" s="2">
        <v>7585.32</v>
      </c>
    </row>
    <row r="185" spans="1:16" outlineLevel="1" x14ac:dyDescent="0.2">
      <c r="A185" s="5"/>
      <c r="D185" s="3" t="s">
        <v>726</v>
      </c>
      <c r="N185" s="2">
        <f>SUBTOTAL(9,N183:N184)</f>
        <v>21</v>
      </c>
      <c r="O185" s="2">
        <f>SUBTOTAL(9,O183:O184)</f>
        <v>172469.38</v>
      </c>
    </row>
    <row r="186" spans="1:16" outlineLevel="2" x14ac:dyDescent="0.2">
      <c r="A186" s="5">
        <v>46027</v>
      </c>
      <c r="B186" s="2">
        <v>155811</v>
      </c>
      <c r="C186" s="2">
        <v>306</v>
      </c>
      <c r="D186" s="2" t="s">
        <v>215</v>
      </c>
      <c r="E186" s="2" t="s">
        <v>23</v>
      </c>
      <c r="F186" s="2" t="s">
        <v>55</v>
      </c>
      <c r="G186" s="2" t="s">
        <v>23</v>
      </c>
      <c r="H186" s="2" t="s">
        <v>23</v>
      </c>
      <c r="I186" s="2" t="s">
        <v>23</v>
      </c>
      <c r="J186" s="2">
        <v>2</v>
      </c>
      <c r="K186" s="2" t="s">
        <v>48</v>
      </c>
      <c r="L186" s="2">
        <v>25095</v>
      </c>
      <c r="M186" s="2" t="s">
        <v>216</v>
      </c>
      <c r="N186" s="2">
        <v>3</v>
      </c>
      <c r="O186" s="2">
        <v>11264.69</v>
      </c>
      <c r="P186" s="2">
        <v>3754.9</v>
      </c>
    </row>
    <row r="187" spans="1:16" outlineLevel="1" x14ac:dyDescent="0.2">
      <c r="A187" s="5"/>
      <c r="D187" s="3" t="s">
        <v>727</v>
      </c>
      <c r="N187" s="2">
        <f>SUBTOTAL(9,N186:N186)</f>
        <v>3</v>
      </c>
      <c r="O187" s="2">
        <f>SUBTOTAL(9,O186:O186)</f>
        <v>11264.69</v>
      </c>
    </row>
    <row r="188" spans="1:16" outlineLevel="2" x14ac:dyDescent="0.2">
      <c r="A188" s="5">
        <v>46027</v>
      </c>
      <c r="B188" s="2">
        <v>153973</v>
      </c>
      <c r="C188" s="2">
        <v>2</v>
      </c>
      <c r="D188" s="2" t="s">
        <v>60</v>
      </c>
      <c r="E188" s="2" t="s">
        <v>23</v>
      </c>
      <c r="F188" s="2" t="s">
        <v>55</v>
      </c>
      <c r="G188" s="2" t="s">
        <v>23</v>
      </c>
      <c r="H188" s="2" t="s">
        <v>23</v>
      </c>
      <c r="I188" s="2" t="s">
        <v>23</v>
      </c>
      <c r="J188" s="2">
        <v>1</v>
      </c>
      <c r="K188" s="2" t="s">
        <v>24</v>
      </c>
      <c r="L188" s="2">
        <v>670</v>
      </c>
      <c r="M188" s="2" t="s">
        <v>61</v>
      </c>
      <c r="N188" s="2">
        <v>3</v>
      </c>
      <c r="O188" s="2">
        <v>113009.54</v>
      </c>
      <c r="P188" s="2">
        <v>37669.85</v>
      </c>
    </row>
    <row r="189" spans="1:16" outlineLevel="2" x14ac:dyDescent="0.2">
      <c r="A189" s="5">
        <v>46027</v>
      </c>
      <c r="B189" s="2">
        <v>154243</v>
      </c>
      <c r="C189" s="2">
        <v>1</v>
      </c>
      <c r="D189" s="2" t="s">
        <v>60</v>
      </c>
      <c r="E189" s="2" t="s">
        <v>23</v>
      </c>
      <c r="F189" s="2" t="s">
        <v>55</v>
      </c>
      <c r="G189" s="2" t="s">
        <v>23</v>
      </c>
      <c r="H189" s="2" t="s">
        <v>23</v>
      </c>
      <c r="I189" s="2" t="s">
        <v>23</v>
      </c>
      <c r="J189" s="2">
        <v>1</v>
      </c>
      <c r="K189" s="2" t="s">
        <v>24</v>
      </c>
      <c r="L189" s="2">
        <v>2507</v>
      </c>
      <c r="M189" s="2" t="s">
        <v>66</v>
      </c>
      <c r="N189" s="2">
        <v>1</v>
      </c>
      <c r="O189" s="2">
        <v>37047.56</v>
      </c>
      <c r="P189" s="2">
        <v>37047.56</v>
      </c>
    </row>
    <row r="190" spans="1:16" outlineLevel="2" x14ac:dyDescent="0.2">
      <c r="A190" s="5">
        <v>46027</v>
      </c>
      <c r="B190" s="2">
        <v>155241</v>
      </c>
      <c r="C190" s="2">
        <v>1</v>
      </c>
      <c r="D190" s="2" t="s">
        <v>60</v>
      </c>
      <c r="E190" s="2" t="s">
        <v>23</v>
      </c>
      <c r="F190" s="2" t="s">
        <v>55</v>
      </c>
      <c r="G190" s="2" t="s">
        <v>23</v>
      </c>
      <c r="H190" s="2" t="s">
        <v>23</v>
      </c>
      <c r="I190" s="2" t="s">
        <v>23</v>
      </c>
      <c r="J190" s="2">
        <v>1</v>
      </c>
      <c r="K190" s="2" t="s">
        <v>24</v>
      </c>
      <c r="L190" s="2">
        <v>1974</v>
      </c>
      <c r="M190" s="2" t="s">
        <v>95</v>
      </c>
      <c r="N190" s="2">
        <v>9</v>
      </c>
      <c r="O190" s="2">
        <v>211437.51</v>
      </c>
      <c r="P190" s="2">
        <v>23493.06</v>
      </c>
    </row>
    <row r="191" spans="1:16" outlineLevel="2" x14ac:dyDescent="0.2">
      <c r="A191" s="5">
        <v>46027</v>
      </c>
      <c r="B191" s="2">
        <v>155343</v>
      </c>
      <c r="C191" s="2">
        <v>325</v>
      </c>
      <c r="D191" s="2" t="s">
        <v>60</v>
      </c>
      <c r="E191" s="2" t="s">
        <v>23</v>
      </c>
      <c r="F191" s="2" t="s">
        <v>55</v>
      </c>
      <c r="G191" s="2" t="s">
        <v>23</v>
      </c>
      <c r="H191" s="2" t="s">
        <v>23</v>
      </c>
      <c r="I191" s="2" t="s">
        <v>23</v>
      </c>
      <c r="J191" s="2">
        <v>1</v>
      </c>
      <c r="K191" s="2" t="s">
        <v>24</v>
      </c>
      <c r="L191" s="2">
        <v>25246</v>
      </c>
      <c r="M191" s="2" t="s">
        <v>105</v>
      </c>
      <c r="N191" s="2">
        <v>14</v>
      </c>
      <c r="O191" s="2">
        <v>185428.07</v>
      </c>
      <c r="P191" s="2">
        <v>13244.86</v>
      </c>
    </row>
    <row r="192" spans="1:16" outlineLevel="2" x14ac:dyDescent="0.2">
      <c r="A192" s="5">
        <v>46027</v>
      </c>
      <c r="B192" s="2">
        <v>155350</v>
      </c>
      <c r="C192" s="2">
        <v>325</v>
      </c>
      <c r="D192" s="2" t="s">
        <v>60</v>
      </c>
      <c r="E192" s="2" t="s">
        <v>23</v>
      </c>
      <c r="F192" s="2" t="s">
        <v>55</v>
      </c>
      <c r="G192" s="2" t="s">
        <v>23</v>
      </c>
      <c r="H192" s="2" t="s">
        <v>23</v>
      </c>
      <c r="I192" s="2" t="s">
        <v>23</v>
      </c>
      <c r="J192" s="2">
        <v>1</v>
      </c>
      <c r="K192" s="2" t="s">
        <v>24</v>
      </c>
      <c r="L192" s="2">
        <v>25246</v>
      </c>
      <c r="M192" s="2" t="s">
        <v>105</v>
      </c>
      <c r="N192" s="2">
        <v>17</v>
      </c>
      <c r="O192" s="2">
        <v>42675.44</v>
      </c>
      <c r="P192" s="2">
        <v>2510.3200000000002</v>
      </c>
    </row>
    <row r="193" spans="1:16" outlineLevel="2" x14ac:dyDescent="0.2">
      <c r="A193" s="5">
        <v>46027</v>
      </c>
      <c r="B193" s="2">
        <v>155544</v>
      </c>
      <c r="C193" s="2">
        <v>1</v>
      </c>
      <c r="D193" s="2" t="s">
        <v>60</v>
      </c>
      <c r="E193" s="2" t="s">
        <v>23</v>
      </c>
      <c r="F193" s="2" t="s">
        <v>55</v>
      </c>
      <c r="G193" s="2" t="s">
        <v>23</v>
      </c>
      <c r="H193" s="2" t="s">
        <v>23</v>
      </c>
      <c r="I193" s="2" t="s">
        <v>23</v>
      </c>
      <c r="J193" s="2">
        <v>1</v>
      </c>
      <c r="K193" s="2" t="s">
        <v>24</v>
      </c>
      <c r="L193" s="2">
        <v>1555</v>
      </c>
      <c r="M193" s="2" t="s">
        <v>139</v>
      </c>
      <c r="N193" s="2">
        <v>25</v>
      </c>
      <c r="O193" s="2">
        <v>887917.96</v>
      </c>
      <c r="P193" s="2">
        <v>35516.720000000001</v>
      </c>
    </row>
    <row r="194" spans="1:16" outlineLevel="1" x14ac:dyDescent="0.2">
      <c r="A194" s="5"/>
      <c r="D194" s="3" t="s">
        <v>728</v>
      </c>
      <c r="N194" s="2">
        <f>SUBTOTAL(9,N188:N193)</f>
        <v>69</v>
      </c>
      <c r="O194" s="2">
        <f>SUBTOTAL(9,O188:O193)</f>
        <v>1477516.0799999998</v>
      </c>
    </row>
    <row r="195" spans="1:16" outlineLevel="2" x14ac:dyDescent="0.2">
      <c r="A195" s="5">
        <v>46001</v>
      </c>
      <c r="B195" s="2">
        <v>154987</v>
      </c>
      <c r="C195" s="2">
        <v>4</v>
      </c>
      <c r="D195" s="2" t="s">
        <v>75</v>
      </c>
      <c r="E195" s="2" t="s">
        <v>23</v>
      </c>
      <c r="F195" s="2" t="s">
        <v>55</v>
      </c>
      <c r="G195" s="2" t="s">
        <v>23</v>
      </c>
      <c r="H195" s="2" t="s">
        <v>23</v>
      </c>
      <c r="I195" s="2" t="s">
        <v>23</v>
      </c>
      <c r="J195" s="2">
        <v>1</v>
      </c>
      <c r="K195" s="2" t="s">
        <v>24</v>
      </c>
      <c r="L195" s="2">
        <v>2024</v>
      </c>
      <c r="M195" s="2" t="s">
        <v>76</v>
      </c>
      <c r="N195" s="2">
        <v>7</v>
      </c>
      <c r="O195" s="2">
        <v>156654.59</v>
      </c>
      <c r="P195" s="2">
        <v>22379.23</v>
      </c>
    </row>
    <row r="196" spans="1:16" outlineLevel="2" x14ac:dyDescent="0.2">
      <c r="A196" s="5">
        <v>46030</v>
      </c>
      <c r="B196" s="2">
        <v>155753</v>
      </c>
      <c r="C196" s="2">
        <v>1</v>
      </c>
      <c r="D196" s="2" t="s">
        <v>75</v>
      </c>
      <c r="E196" s="2" t="s">
        <v>23</v>
      </c>
      <c r="F196" s="2" t="s">
        <v>108</v>
      </c>
      <c r="G196" s="2" t="s">
        <v>22</v>
      </c>
      <c r="H196" s="2" t="s">
        <v>23</v>
      </c>
      <c r="I196" s="2" t="s">
        <v>23</v>
      </c>
      <c r="J196" s="2">
        <v>1</v>
      </c>
      <c r="K196" s="2" t="s">
        <v>24</v>
      </c>
      <c r="L196" s="2">
        <v>2024</v>
      </c>
      <c r="M196" s="2" t="s">
        <v>76</v>
      </c>
      <c r="N196" s="2">
        <v>10</v>
      </c>
      <c r="O196" s="2">
        <v>342472.4</v>
      </c>
      <c r="P196" s="2">
        <v>34247.24</v>
      </c>
    </row>
    <row r="197" spans="1:16" outlineLevel="2" x14ac:dyDescent="0.2">
      <c r="A197" s="5">
        <v>46031</v>
      </c>
      <c r="B197" s="2">
        <v>155753</v>
      </c>
      <c r="C197" s="2">
        <v>2</v>
      </c>
      <c r="D197" s="2" t="s">
        <v>75</v>
      </c>
      <c r="E197" s="2" t="s">
        <v>23</v>
      </c>
      <c r="F197" s="2" t="s">
        <v>108</v>
      </c>
      <c r="G197" s="2" t="s">
        <v>22</v>
      </c>
      <c r="H197" s="2" t="s">
        <v>23</v>
      </c>
      <c r="I197" s="2" t="s">
        <v>23</v>
      </c>
      <c r="J197" s="2">
        <v>1</v>
      </c>
      <c r="K197" s="2" t="s">
        <v>24</v>
      </c>
      <c r="L197" s="2">
        <v>2024</v>
      </c>
      <c r="M197" s="2" t="s">
        <v>76</v>
      </c>
      <c r="N197" s="2">
        <v>2</v>
      </c>
      <c r="O197" s="2">
        <v>46091.94</v>
      </c>
      <c r="P197" s="2">
        <v>23045.97</v>
      </c>
    </row>
    <row r="198" spans="1:16" outlineLevel="2" x14ac:dyDescent="0.2">
      <c r="A198" s="5">
        <v>46002</v>
      </c>
      <c r="B198" s="2">
        <v>155333</v>
      </c>
      <c r="C198" s="2">
        <v>1</v>
      </c>
      <c r="D198" s="2" t="s">
        <v>75</v>
      </c>
      <c r="E198" s="2" t="s">
        <v>99</v>
      </c>
      <c r="F198" s="2" t="s">
        <v>40</v>
      </c>
      <c r="G198" s="2" t="s">
        <v>22</v>
      </c>
      <c r="H198" s="2" t="s">
        <v>23</v>
      </c>
      <c r="I198" s="2" t="s">
        <v>100</v>
      </c>
      <c r="J198" s="2">
        <v>1</v>
      </c>
      <c r="K198" s="2" t="s">
        <v>24</v>
      </c>
      <c r="L198" s="2">
        <v>2024</v>
      </c>
      <c r="M198" s="2" t="s">
        <v>76</v>
      </c>
      <c r="N198" s="2">
        <v>43</v>
      </c>
      <c r="O198" s="2">
        <v>752949.89</v>
      </c>
      <c r="P198" s="2">
        <v>17510.46</v>
      </c>
    </row>
    <row r="199" spans="1:16" outlineLevel="2" x14ac:dyDescent="0.2">
      <c r="A199" s="5">
        <v>46002</v>
      </c>
      <c r="B199" s="2">
        <v>155333</v>
      </c>
      <c r="C199" s="2">
        <v>3</v>
      </c>
      <c r="D199" s="2" t="s">
        <v>75</v>
      </c>
      <c r="E199" s="2" t="s">
        <v>99</v>
      </c>
      <c r="F199" s="2" t="s">
        <v>40</v>
      </c>
      <c r="G199" s="2" t="s">
        <v>22</v>
      </c>
      <c r="H199" s="2" t="s">
        <v>23</v>
      </c>
      <c r="I199" s="2" t="s">
        <v>101</v>
      </c>
      <c r="J199" s="2">
        <v>1</v>
      </c>
      <c r="K199" s="2" t="s">
        <v>24</v>
      </c>
      <c r="L199" s="2">
        <v>2024</v>
      </c>
      <c r="M199" s="2" t="s">
        <v>76</v>
      </c>
      <c r="N199" s="2">
        <v>2</v>
      </c>
      <c r="O199" s="2">
        <v>47958.83</v>
      </c>
      <c r="P199" s="2">
        <v>23979.42</v>
      </c>
    </row>
    <row r="200" spans="1:16" outlineLevel="2" x14ac:dyDescent="0.2">
      <c r="A200" s="5">
        <v>46029</v>
      </c>
      <c r="B200" s="2">
        <v>155381</v>
      </c>
      <c r="C200" s="2">
        <v>2</v>
      </c>
      <c r="D200" s="2" t="s">
        <v>75</v>
      </c>
      <c r="E200" s="2" t="s">
        <v>99</v>
      </c>
      <c r="F200" s="2" t="s">
        <v>108</v>
      </c>
      <c r="G200" s="2" t="s">
        <v>22</v>
      </c>
      <c r="H200" s="2" t="s">
        <v>23</v>
      </c>
      <c r="I200" s="2" t="s">
        <v>109</v>
      </c>
      <c r="J200" s="2">
        <v>1</v>
      </c>
      <c r="K200" s="2" t="s">
        <v>24</v>
      </c>
      <c r="L200" s="2">
        <v>2024</v>
      </c>
      <c r="M200" s="2" t="s">
        <v>76</v>
      </c>
      <c r="N200" s="2">
        <v>10</v>
      </c>
      <c r="O200" s="2">
        <v>83909.82</v>
      </c>
      <c r="P200" s="2">
        <v>8390.98</v>
      </c>
    </row>
    <row r="201" spans="1:16" outlineLevel="2" x14ac:dyDescent="0.2">
      <c r="A201" s="5">
        <v>46020</v>
      </c>
      <c r="B201" s="2">
        <v>155670</v>
      </c>
      <c r="C201" s="2">
        <v>1</v>
      </c>
      <c r="D201" s="2" t="s">
        <v>75</v>
      </c>
      <c r="E201" s="2" t="s">
        <v>99</v>
      </c>
      <c r="F201" s="2" t="s">
        <v>108</v>
      </c>
      <c r="G201" s="2" t="s">
        <v>22</v>
      </c>
      <c r="H201" s="2" t="s">
        <v>23</v>
      </c>
      <c r="I201" s="2" t="s">
        <v>100</v>
      </c>
      <c r="J201" s="2">
        <v>1</v>
      </c>
      <c r="K201" s="2" t="s">
        <v>24</v>
      </c>
      <c r="L201" s="2">
        <v>2024</v>
      </c>
      <c r="M201" s="2" t="s">
        <v>76</v>
      </c>
      <c r="N201" s="2">
        <v>78</v>
      </c>
      <c r="O201" s="2">
        <v>2148102.34</v>
      </c>
      <c r="P201" s="2">
        <v>27539.77</v>
      </c>
    </row>
    <row r="202" spans="1:16" outlineLevel="2" x14ac:dyDescent="0.2">
      <c r="A202" s="5">
        <v>46017</v>
      </c>
      <c r="B202" s="2">
        <v>155670</v>
      </c>
      <c r="C202" s="2">
        <v>2</v>
      </c>
      <c r="D202" s="2" t="s">
        <v>75</v>
      </c>
      <c r="E202" s="2" t="s">
        <v>99</v>
      </c>
      <c r="F202" s="2" t="s">
        <v>108</v>
      </c>
      <c r="G202" s="2" t="s">
        <v>22</v>
      </c>
      <c r="H202" s="2" t="s">
        <v>23</v>
      </c>
      <c r="I202" s="2" t="s">
        <v>109</v>
      </c>
      <c r="J202" s="2">
        <v>1</v>
      </c>
      <c r="K202" s="2" t="s">
        <v>24</v>
      </c>
      <c r="L202" s="2">
        <v>2024</v>
      </c>
      <c r="M202" s="2" t="s">
        <v>76</v>
      </c>
      <c r="N202" s="2">
        <v>291</v>
      </c>
      <c r="O202" s="2">
        <v>8050777.6299999999</v>
      </c>
      <c r="P202" s="2">
        <v>27665.9</v>
      </c>
    </row>
    <row r="203" spans="1:16" outlineLevel="2" x14ac:dyDescent="0.2">
      <c r="A203" s="5">
        <v>46020</v>
      </c>
      <c r="B203" s="2">
        <v>155670</v>
      </c>
      <c r="C203" s="2">
        <v>3</v>
      </c>
      <c r="D203" s="2" t="s">
        <v>75</v>
      </c>
      <c r="E203" s="2" t="s">
        <v>99</v>
      </c>
      <c r="F203" s="2" t="s">
        <v>108</v>
      </c>
      <c r="G203" s="2" t="s">
        <v>22</v>
      </c>
      <c r="H203" s="2" t="s">
        <v>23</v>
      </c>
      <c r="I203" s="2" t="s">
        <v>36</v>
      </c>
      <c r="J203" s="2">
        <v>1</v>
      </c>
      <c r="K203" s="2" t="s">
        <v>24</v>
      </c>
      <c r="L203" s="2">
        <v>2024</v>
      </c>
      <c r="M203" s="2" t="s">
        <v>76</v>
      </c>
      <c r="N203" s="2">
        <v>80</v>
      </c>
      <c r="O203" s="2">
        <v>2203052.04</v>
      </c>
      <c r="P203" s="2">
        <v>27538.15</v>
      </c>
    </row>
    <row r="204" spans="1:16" outlineLevel="2" x14ac:dyDescent="0.2">
      <c r="A204" s="5">
        <v>46029</v>
      </c>
      <c r="B204" s="2">
        <v>155670</v>
      </c>
      <c r="C204" s="2">
        <v>4</v>
      </c>
      <c r="D204" s="2" t="s">
        <v>75</v>
      </c>
      <c r="E204" s="2" t="s">
        <v>99</v>
      </c>
      <c r="F204" s="2" t="s">
        <v>108</v>
      </c>
      <c r="G204" s="2" t="s">
        <v>22</v>
      </c>
      <c r="H204" s="2" t="s">
        <v>23</v>
      </c>
      <c r="I204" s="2" t="s">
        <v>152</v>
      </c>
      <c r="J204" s="2">
        <v>1</v>
      </c>
      <c r="K204" s="2" t="s">
        <v>24</v>
      </c>
      <c r="L204" s="2">
        <v>2024</v>
      </c>
      <c r="M204" s="2" t="s">
        <v>76</v>
      </c>
      <c r="N204" s="2">
        <v>121</v>
      </c>
      <c r="O204" s="2">
        <v>3190331.53</v>
      </c>
      <c r="P204" s="2">
        <v>26366.38</v>
      </c>
    </row>
    <row r="205" spans="1:16" outlineLevel="1" x14ac:dyDescent="0.2">
      <c r="A205" s="5"/>
      <c r="D205" s="3" t="s">
        <v>729</v>
      </c>
      <c r="N205" s="2">
        <f>SUBTOTAL(9,N195:N204)</f>
        <v>644</v>
      </c>
      <c r="O205" s="2">
        <f>SUBTOTAL(9,O195:O204)</f>
        <v>17022301.010000002</v>
      </c>
    </row>
    <row r="206" spans="1:16" outlineLevel="2" x14ac:dyDescent="0.2">
      <c r="A206" s="5">
        <v>46034</v>
      </c>
      <c r="B206" s="2">
        <v>155754</v>
      </c>
      <c r="C206" s="2">
        <v>1</v>
      </c>
      <c r="D206" s="2" t="s">
        <v>178</v>
      </c>
      <c r="E206" s="2" t="s">
        <v>179</v>
      </c>
      <c r="F206" s="2" t="s">
        <v>108</v>
      </c>
      <c r="G206" s="2" t="s">
        <v>22</v>
      </c>
      <c r="H206" s="2" t="s">
        <v>23</v>
      </c>
      <c r="I206" s="2" t="s">
        <v>180</v>
      </c>
      <c r="J206" s="2">
        <v>1</v>
      </c>
      <c r="K206" s="2" t="s">
        <v>24</v>
      </c>
      <c r="L206" s="2">
        <v>1037</v>
      </c>
      <c r="M206" s="2" t="s">
        <v>181</v>
      </c>
      <c r="N206" s="2">
        <v>44</v>
      </c>
      <c r="O206" s="2">
        <v>1826404.63</v>
      </c>
      <c r="P206" s="2">
        <v>41509.199999999997</v>
      </c>
    </row>
    <row r="207" spans="1:16" outlineLevel="1" x14ac:dyDescent="0.2">
      <c r="A207" s="5"/>
      <c r="D207" s="3" t="s">
        <v>730</v>
      </c>
      <c r="N207" s="2">
        <f>SUBTOTAL(9,N206:N206)</f>
        <v>44</v>
      </c>
      <c r="O207" s="2">
        <f>SUBTOTAL(9,O206:O206)</f>
        <v>1826404.63</v>
      </c>
    </row>
    <row r="208" spans="1:16" outlineLevel="2" x14ac:dyDescent="0.2">
      <c r="A208" s="5">
        <v>46020</v>
      </c>
      <c r="B208" s="2">
        <v>155757</v>
      </c>
      <c r="C208" s="2">
        <v>1</v>
      </c>
      <c r="D208" s="2" t="s">
        <v>186</v>
      </c>
      <c r="E208" s="2" t="s">
        <v>30</v>
      </c>
      <c r="F208" s="2" t="s">
        <v>187</v>
      </c>
      <c r="G208" s="2" t="s">
        <v>22</v>
      </c>
      <c r="H208" s="2" t="s">
        <v>23</v>
      </c>
      <c r="I208" s="2" t="s">
        <v>188</v>
      </c>
      <c r="J208" s="2">
        <v>1</v>
      </c>
      <c r="K208" s="2" t="s">
        <v>24</v>
      </c>
      <c r="L208" s="2">
        <v>25144</v>
      </c>
      <c r="M208" s="2" t="s">
        <v>189</v>
      </c>
      <c r="N208" s="2">
        <v>139</v>
      </c>
      <c r="O208" s="2">
        <v>5545851.6900000004</v>
      </c>
      <c r="P208" s="2">
        <v>39898.21</v>
      </c>
    </row>
    <row r="209" spans="1:16" outlineLevel="2" x14ac:dyDescent="0.2">
      <c r="A209" s="5">
        <v>46027</v>
      </c>
      <c r="B209" s="2">
        <v>155757</v>
      </c>
      <c r="C209" s="2">
        <v>2</v>
      </c>
      <c r="D209" s="2" t="s">
        <v>186</v>
      </c>
      <c r="E209" s="2" t="s">
        <v>30</v>
      </c>
      <c r="F209" s="2" t="s">
        <v>187</v>
      </c>
      <c r="G209" s="2" t="s">
        <v>22</v>
      </c>
      <c r="H209" s="2" t="s">
        <v>41</v>
      </c>
      <c r="I209" s="2" t="s">
        <v>190</v>
      </c>
      <c r="J209" s="2">
        <v>1</v>
      </c>
      <c r="K209" s="2" t="s">
        <v>24</v>
      </c>
      <c r="L209" s="2">
        <v>25144</v>
      </c>
      <c r="M209" s="2" t="s">
        <v>189</v>
      </c>
      <c r="N209" s="2">
        <v>132</v>
      </c>
      <c r="O209" s="2">
        <v>3035916.43</v>
      </c>
      <c r="P209" s="2">
        <v>22999.37</v>
      </c>
    </row>
    <row r="210" spans="1:16" outlineLevel="2" x14ac:dyDescent="0.2">
      <c r="A210" s="5">
        <v>46051</v>
      </c>
      <c r="B210" s="2">
        <v>155757</v>
      </c>
      <c r="C210" s="2">
        <v>3</v>
      </c>
      <c r="D210" s="2" t="s">
        <v>186</v>
      </c>
      <c r="E210" s="2" t="s">
        <v>30</v>
      </c>
      <c r="F210" s="2" t="s">
        <v>187</v>
      </c>
      <c r="G210" s="2" t="s">
        <v>22</v>
      </c>
      <c r="H210" s="2" t="s">
        <v>41</v>
      </c>
      <c r="I210" s="2" t="s">
        <v>191</v>
      </c>
      <c r="J210" s="2">
        <v>1</v>
      </c>
      <c r="K210" s="2" t="s">
        <v>24</v>
      </c>
      <c r="L210" s="2">
        <v>25144</v>
      </c>
      <c r="M210" s="2" t="s">
        <v>189</v>
      </c>
      <c r="N210" s="2">
        <v>35</v>
      </c>
      <c r="O210" s="2">
        <v>642132.37</v>
      </c>
      <c r="P210" s="2">
        <v>18346.64</v>
      </c>
    </row>
    <row r="211" spans="1:16" outlineLevel="2" x14ac:dyDescent="0.2">
      <c r="A211" s="5">
        <v>46041</v>
      </c>
      <c r="B211" s="2">
        <v>155757</v>
      </c>
      <c r="C211" s="2">
        <v>4</v>
      </c>
      <c r="D211" s="2" t="s">
        <v>186</v>
      </c>
      <c r="E211" s="2" t="s">
        <v>30</v>
      </c>
      <c r="F211" s="2" t="s">
        <v>187</v>
      </c>
      <c r="G211" s="2" t="s">
        <v>22</v>
      </c>
      <c r="H211" s="2" t="s">
        <v>192</v>
      </c>
      <c r="I211" s="2" t="s">
        <v>193</v>
      </c>
      <c r="J211" s="2">
        <v>1</v>
      </c>
      <c r="K211" s="2" t="s">
        <v>24</v>
      </c>
      <c r="L211" s="2">
        <v>25144</v>
      </c>
      <c r="M211" s="2" t="s">
        <v>189</v>
      </c>
      <c r="N211" s="2">
        <v>41</v>
      </c>
      <c r="O211" s="2">
        <v>1573379.26</v>
      </c>
      <c r="P211" s="2">
        <v>38375.1</v>
      </c>
    </row>
    <row r="212" spans="1:16" outlineLevel="2" x14ac:dyDescent="0.2">
      <c r="A212" s="5">
        <v>46064</v>
      </c>
      <c r="B212" s="2">
        <v>155757</v>
      </c>
      <c r="C212" s="2">
        <v>6</v>
      </c>
      <c r="D212" s="2" t="s">
        <v>186</v>
      </c>
      <c r="E212" s="2" t="s">
        <v>30</v>
      </c>
      <c r="F212" s="2" t="s">
        <v>187</v>
      </c>
      <c r="G212" s="2" t="s">
        <v>22</v>
      </c>
      <c r="H212" s="2" t="s">
        <v>23</v>
      </c>
      <c r="I212" s="2" t="s">
        <v>194</v>
      </c>
      <c r="J212" s="2">
        <v>1</v>
      </c>
      <c r="K212" s="2" t="s">
        <v>24</v>
      </c>
      <c r="L212" s="2">
        <v>25144</v>
      </c>
      <c r="M212" s="2" t="s">
        <v>189</v>
      </c>
      <c r="N212" s="2">
        <v>1</v>
      </c>
      <c r="O212" s="2">
        <v>13705.78</v>
      </c>
      <c r="P212" s="2">
        <v>13705.78</v>
      </c>
    </row>
    <row r="213" spans="1:16" outlineLevel="1" x14ac:dyDescent="0.2">
      <c r="A213" s="5"/>
      <c r="D213" s="3" t="s">
        <v>731</v>
      </c>
      <c r="N213" s="2">
        <f>SUBTOTAL(9,N208:N212)</f>
        <v>348</v>
      </c>
      <c r="O213" s="2">
        <f>SUBTOTAL(9,O208:O212)</f>
        <v>10810985.529999999</v>
      </c>
    </row>
    <row r="214" spans="1:16" outlineLevel="2" x14ac:dyDescent="0.2">
      <c r="A214" s="5">
        <v>46010</v>
      </c>
      <c r="B214" s="2">
        <v>155518</v>
      </c>
      <c r="C214" s="2">
        <v>3</v>
      </c>
      <c r="D214" s="2" t="s">
        <v>128</v>
      </c>
      <c r="E214" s="2" t="s">
        <v>23</v>
      </c>
      <c r="F214" s="2" t="s">
        <v>47</v>
      </c>
      <c r="G214" s="2" t="s">
        <v>22</v>
      </c>
      <c r="H214" s="2" t="s">
        <v>23</v>
      </c>
      <c r="I214" s="2" t="s">
        <v>23</v>
      </c>
      <c r="J214" s="2">
        <v>41</v>
      </c>
      <c r="K214" s="2" t="s">
        <v>129</v>
      </c>
      <c r="L214" s="2">
        <v>25213</v>
      </c>
      <c r="M214" s="2" t="s">
        <v>130</v>
      </c>
      <c r="N214" s="2">
        <v>0</v>
      </c>
      <c r="O214" s="2">
        <v>0</v>
      </c>
      <c r="P214" s="2">
        <v>0</v>
      </c>
    </row>
    <row r="215" spans="1:16" outlineLevel="2" x14ac:dyDescent="0.2">
      <c r="A215" s="5">
        <v>46024</v>
      </c>
      <c r="B215" s="2">
        <v>155807</v>
      </c>
      <c r="C215" s="2">
        <v>3</v>
      </c>
      <c r="D215" s="2" t="s">
        <v>128</v>
      </c>
      <c r="E215" s="2" t="s">
        <v>23</v>
      </c>
      <c r="F215" s="2" t="s">
        <v>47</v>
      </c>
      <c r="G215" s="2" t="s">
        <v>22</v>
      </c>
      <c r="H215" s="2" t="s">
        <v>23</v>
      </c>
      <c r="I215" s="2" t="s">
        <v>23</v>
      </c>
      <c r="J215" s="2">
        <v>41</v>
      </c>
      <c r="K215" s="2" t="s">
        <v>129</v>
      </c>
      <c r="L215" s="2">
        <v>25213</v>
      </c>
      <c r="M215" s="2" t="s">
        <v>130</v>
      </c>
      <c r="N215" s="2">
        <v>100</v>
      </c>
      <c r="O215" s="2">
        <v>334203.39</v>
      </c>
      <c r="P215" s="2">
        <v>3342.03</v>
      </c>
    </row>
    <row r="216" spans="1:16" outlineLevel="2" x14ac:dyDescent="0.2">
      <c r="A216" s="5">
        <v>46024</v>
      </c>
      <c r="B216" s="2">
        <v>155807</v>
      </c>
      <c r="C216" s="2">
        <v>6</v>
      </c>
      <c r="D216" s="2" t="s">
        <v>128</v>
      </c>
      <c r="E216" s="2" t="s">
        <v>23</v>
      </c>
      <c r="F216" s="2" t="s">
        <v>47</v>
      </c>
      <c r="G216" s="2" t="s">
        <v>22</v>
      </c>
      <c r="H216" s="2" t="s">
        <v>23</v>
      </c>
      <c r="I216" s="2" t="s">
        <v>23</v>
      </c>
      <c r="J216" s="2">
        <v>1</v>
      </c>
      <c r="K216" s="2" t="s">
        <v>24</v>
      </c>
      <c r="L216" s="2">
        <v>25213</v>
      </c>
      <c r="M216" s="2" t="s">
        <v>130</v>
      </c>
      <c r="N216" s="2">
        <v>6</v>
      </c>
      <c r="O216" s="2">
        <v>450044.45</v>
      </c>
      <c r="P216" s="2">
        <v>75007.41</v>
      </c>
    </row>
    <row r="217" spans="1:16" outlineLevel="1" x14ac:dyDescent="0.2">
      <c r="A217" s="5"/>
      <c r="D217" s="3" t="s">
        <v>732</v>
      </c>
      <c r="N217" s="2">
        <f>SUBTOTAL(9,N214:N216)</f>
        <v>106</v>
      </c>
      <c r="O217" s="2">
        <f>SUBTOTAL(9,O214:O216)</f>
        <v>784247.84000000008</v>
      </c>
    </row>
    <row r="218" spans="1:16" outlineLevel="2" x14ac:dyDescent="0.2">
      <c r="A218" s="5">
        <v>45790</v>
      </c>
      <c r="B218" s="2">
        <v>150150</v>
      </c>
      <c r="C218" s="2">
        <v>503</v>
      </c>
      <c r="D218" s="2" t="s">
        <v>45</v>
      </c>
      <c r="E218" s="2" t="s">
        <v>46</v>
      </c>
      <c r="F218" s="2" t="s">
        <v>47</v>
      </c>
      <c r="G218" s="2" t="s">
        <v>22</v>
      </c>
      <c r="H218" s="2" t="s">
        <v>23</v>
      </c>
      <c r="I218" s="2" t="s">
        <v>23</v>
      </c>
      <c r="J218" s="2">
        <v>2</v>
      </c>
      <c r="K218" s="2" t="s">
        <v>48</v>
      </c>
      <c r="L218" s="2">
        <v>626</v>
      </c>
      <c r="M218" s="2" t="s">
        <v>49</v>
      </c>
      <c r="N218" s="2">
        <v>0</v>
      </c>
      <c r="O218" s="2">
        <v>5600.63</v>
      </c>
      <c r="P218" s="2">
        <v>0</v>
      </c>
    </row>
    <row r="219" spans="1:16" outlineLevel="2" x14ac:dyDescent="0.2">
      <c r="A219" s="5">
        <v>46052</v>
      </c>
      <c r="B219" s="2">
        <v>154670</v>
      </c>
      <c r="C219" s="2">
        <v>315</v>
      </c>
      <c r="D219" s="2" t="s">
        <v>45</v>
      </c>
      <c r="E219" s="2" t="s">
        <v>46</v>
      </c>
      <c r="F219" s="2" t="s">
        <v>55</v>
      </c>
      <c r="G219" s="2" t="s">
        <v>23</v>
      </c>
      <c r="H219" s="2" t="s">
        <v>23</v>
      </c>
      <c r="I219" s="2" t="s">
        <v>23</v>
      </c>
      <c r="J219" s="2">
        <v>2</v>
      </c>
      <c r="K219" s="2" t="s">
        <v>48</v>
      </c>
      <c r="L219" s="2">
        <v>626</v>
      </c>
      <c r="M219" s="2" t="s">
        <v>49</v>
      </c>
      <c r="N219" s="2">
        <v>6</v>
      </c>
      <c r="O219" s="2">
        <v>34664.1</v>
      </c>
      <c r="P219" s="2">
        <v>5777.35</v>
      </c>
    </row>
    <row r="220" spans="1:16" outlineLevel="2" x14ac:dyDescent="0.2">
      <c r="A220" s="5">
        <v>46050</v>
      </c>
      <c r="B220" s="2">
        <v>155258</v>
      </c>
      <c r="C220" s="2">
        <v>315</v>
      </c>
      <c r="D220" s="2" t="s">
        <v>45</v>
      </c>
      <c r="E220" s="2" t="s">
        <v>46</v>
      </c>
      <c r="F220" s="2" t="s">
        <v>55</v>
      </c>
      <c r="G220" s="2" t="s">
        <v>23</v>
      </c>
      <c r="H220" s="2" t="s">
        <v>23</v>
      </c>
      <c r="I220" s="2" t="s">
        <v>23</v>
      </c>
      <c r="J220" s="2">
        <v>2</v>
      </c>
      <c r="K220" s="2" t="s">
        <v>48</v>
      </c>
      <c r="L220" s="2">
        <v>1557</v>
      </c>
      <c r="M220" s="2" t="s">
        <v>98</v>
      </c>
      <c r="N220" s="2">
        <v>4</v>
      </c>
      <c r="O220" s="2">
        <v>24976.28</v>
      </c>
      <c r="P220" s="2">
        <v>6244.07</v>
      </c>
    </row>
    <row r="221" spans="1:16" outlineLevel="2" x14ac:dyDescent="0.2">
      <c r="A221" s="5">
        <v>46029</v>
      </c>
      <c r="B221" s="2">
        <v>155580</v>
      </c>
      <c r="C221" s="2">
        <v>2</v>
      </c>
      <c r="D221" s="2" t="s">
        <v>45</v>
      </c>
      <c r="E221" s="2" t="s">
        <v>46</v>
      </c>
      <c r="F221" s="2" t="s">
        <v>55</v>
      </c>
      <c r="G221" s="2" t="s">
        <v>23</v>
      </c>
      <c r="H221" s="2" t="s">
        <v>23</v>
      </c>
      <c r="I221" s="2" t="s">
        <v>23</v>
      </c>
      <c r="J221" s="2">
        <v>2</v>
      </c>
      <c r="K221" s="2" t="s">
        <v>48</v>
      </c>
      <c r="L221" s="2">
        <v>2276</v>
      </c>
      <c r="M221" s="2" t="s">
        <v>156</v>
      </c>
      <c r="N221" s="2">
        <v>3</v>
      </c>
      <c r="O221" s="2">
        <v>29000.03</v>
      </c>
      <c r="P221" s="2">
        <v>9666.68</v>
      </c>
    </row>
    <row r="222" spans="1:16" outlineLevel="2" x14ac:dyDescent="0.2">
      <c r="A222" s="5">
        <v>46029</v>
      </c>
      <c r="B222" s="2">
        <v>155605</v>
      </c>
      <c r="C222" s="2">
        <v>3</v>
      </c>
      <c r="D222" s="2" t="s">
        <v>45</v>
      </c>
      <c r="E222" s="2" t="s">
        <v>46</v>
      </c>
      <c r="F222" s="2" t="s">
        <v>55</v>
      </c>
      <c r="G222" s="2" t="s">
        <v>23</v>
      </c>
      <c r="H222" s="2" t="s">
        <v>23</v>
      </c>
      <c r="I222" s="2" t="s">
        <v>23</v>
      </c>
      <c r="J222" s="2">
        <v>2</v>
      </c>
      <c r="K222" s="2" t="s">
        <v>48</v>
      </c>
      <c r="L222" s="2">
        <v>2276</v>
      </c>
      <c r="M222" s="2" t="s">
        <v>156</v>
      </c>
      <c r="N222" s="2">
        <v>6</v>
      </c>
      <c r="O222" s="2">
        <v>44931.93</v>
      </c>
      <c r="P222" s="2">
        <v>7488.66</v>
      </c>
    </row>
    <row r="223" spans="1:16" outlineLevel="2" x14ac:dyDescent="0.2">
      <c r="A223" s="5">
        <v>46043</v>
      </c>
      <c r="B223" s="2">
        <v>155697</v>
      </c>
      <c r="C223" s="2">
        <v>315</v>
      </c>
      <c r="D223" s="2" t="s">
        <v>45</v>
      </c>
      <c r="E223" s="2" t="s">
        <v>46</v>
      </c>
      <c r="F223" s="2" t="s">
        <v>55</v>
      </c>
      <c r="G223" s="2" t="s">
        <v>23</v>
      </c>
      <c r="H223" s="2" t="s">
        <v>23</v>
      </c>
      <c r="I223" s="2" t="s">
        <v>23</v>
      </c>
      <c r="J223" s="2">
        <v>2</v>
      </c>
      <c r="K223" s="2" t="s">
        <v>48</v>
      </c>
      <c r="L223" s="2">
        <v>600</v>
      </c>
      <c r="M223" s="2" t="s">
        <v>112</v>
      </c>
      <c r="N223" s="2">
        <v>15</v>
      </c>
      <c r="O223" s="2">
        <v>205673.7</v>
      </c>
      <c r="P223" s="2">
        <v>13711.58</v>
      </c>
    </row>
    <row r="224" spans="1:16" outlineLevel="2" x14ac:dyDescent="0.2">
      <c r="A224" s="5">
        <v>46029</v>
      </c>
      <c r="B224" s="2">
        <v>155784</v>
      </c>
      <c r="C224" s="2">
        <v>300</v>
      </c>
      <c r="D224" s="2" t="s">
        <v>45</v>
      </c>
      <c r="E224" s="2" t="s">
        <v>46</v>
      </c>
      <c r="F224" s="2" t="s">
        <v>55</v>
      </c>
      <c r="G224" s="2" t="s">
        <v>23</v>
      </c>
      <c r="H224" s="2" t="s">
        <v>23</v>
      </c>
      <c r="I224" s="2" t="s">
        <v>23</v>
      </c>
      <c r="J224" s="2">
        <v>2</v>
      </c>
      <c r="K224" s="2" t="s">
        <v>48</v>
      </c>
      <c r="L224" s="2">
        <v>2276</v>
      </c>
      <c r="M224" s="2" t="s">
        <v>156</v>
      </c>
      <c r="N224" s="2">
        <v>10</v>
      </c>
      <c r="O224" s="2">
        <v>68041.34</v>
      </c>
      <c r="P224" s="2">
        <v>6804.13</v>
      </c>
    </row>
    <row r="225" spans="1:16" outlineLevel="2" x14ac:dyDescent="0.2">
      <c r="A225" s="5">
        <v>46043</v>
      </c>
      <c r="B225" s="2">
        <v>155784</v>
      </c>
      <c r="C225" s="2">
        <v>315</v>
      </c>
      <c r="D225" s="2" t="s">
        <v>45</v>
      </c>
      <c r="E225" s="2" t="s">
        <v>46</v>
      </c>
      <c r="F225" s="2" t="s">
        <v>55</v>
      </c>
      <c r="G225" s="2" t="s">
        <v>23</v>
      </c>
      <c r="H225" s="2" t="s">
        <v>23</v>
      </c>
      <c r="I225" s="2" t="s">
        <v>23</v>
      </c>
      <c r="J225" s="2">
        <v>2</v>
      </c>
      <c r="K225" s="2" t="s">
        <v>48</v>
      </c>
      <c r="L225" s="2">
        <v>2276</v>
      </c>
      <c r="M225" s="2" t="s">
        <v>156</v>
      </c>
      <c r="N225" s="2">
        <v>1</v>
      </c>
      <c r="O225" s="2">
        <v>16511.900000000001</v>
      </c>
      <c r="P225" s="2">
        <v>16511.900000000001</v>
      </c>
    </row>
    <row r="226" spans="1:16" outlineLevel="2" x14ac:dyDescent="0.2">
      <c r="A226" s="5">
        <v>46043</v>
      </c>
      <c r="B226" s="2">
        <v>155788</v>
      </c>
      <c r="C226" s="2">
        <v>315</v>
      </c>
      <c r="D226" s="2" t="s">
        <v>45</v>
      </c>
      <c r="E226" s="2" t="s">
        <v>46</v>
      </c>
      <c r="F226" s="2" t="s">
        <v>55</v>
      </c>
      <c r="G226" s="2" t="s">
        <v>23</v>
      </c>
      <c r="H226" s="2" t="s">
        <v>23</v>
      </c>
      <c r="I226" s="2" t="s">
        <v>23</v>
      </c>
      <c r="J226" s="2">
        <v>2</v>
      </c>
      <c r="K226" s="2" t="s">
        <v>48</v>
      </c>
      <c r="L226" s="2">
        <v>600</v>
      </c>
      <c r="M226" s="2" t="s">
        <v>112</v>
      </c>
      <c r="N226" s="2">
        <v>2</v>
      </c>
      <c r="O226" s="2">
        <v>33023.800000000003</v>
      </c>
      <c r="P226" s="2">
        <v>16511.900000000001</v>
      </c>
    </row>
    <row r="227" spans="1:16" outlineLevel="2" x14ac:dyDescent="0.2">
      <c r="A227" s="5">
        <v>46029</v>
      </c>
      <c r="B227" s="2">
        <v>155788</v>
      </c>
      <c r="C227" s="2">
        <v>325</v>
      </c>
      <c r="D227" s="2" t="s">
        <v>45</v>
      </c>
      <c r="E227" s="2" t="s">
        <v>46</v>
      </c>
      <c r="F227" s="2" t="s">
        <v>55</v>
      </c>
      <c r="G227" s="2" t="s">
        <v>23</v>
      </c>
      <c r="H227" s="2" t="s">
        <v>23</v>
      </c>
      <c r="I227" s="2" t="s">
        <v>23</v>
      </c>
      <c r="J227" s="2">
        <v>2</v>
      </c>
      <c r="K227" s="2" t="s">
        <v>48</v>
      </c>
      <c r="L227" s="2">
        <v>600</v>
      </c>
      <c r="M227" s="2" t="s">
        <v>112</v>
      </c>
      <c r="N227" s="2">
        <v>13</v>
      </c>
      <c r="O227" s="2">
        <v>81172.91</v>
      </c>
      <c r="P227" s="2">
        <v>6244.07</v>
      </c>
    </row>
    <row r="228" spans="1:16" outlineLevel="2" x14ac:dyDescent="0.2">
      <c r="A228" s="5">
        <v>46029</v>
      </c>
      <c r="B228" s="2">
        <v>155804</v>
      </c>
      <c r="C228" s="2">
        <v>3</v>
      </c>
      <c r="D228" s="2" t="s">
        <v>45</v>
      </c>
      <c r="E228" s="2" t="s">
        <v>46</v>
      </c>
      <c r="F228" s="2" t="s">
        <v>55</v>
      </c>
      <c r="G228" s="2" t="s">
        <v>23</v>
      </c>
      <c r="H228" s="2" t="s">
        <v>23</v>
      </c>
      <c r="I228" s="2" t="s">
        <v>23</v>
      </c>
      <c r="J228" s="2">
        <v>2</v>
      </c>
      <c r="K228" s="2" t="s">
        <v>48</v>
      </c>
      <c r="L228" s="2">
        <v>2276</v>
      </c>
      <c r="M228" s="2" t="s">
        <v>156</v>
      </c>
      <c r="N228" s="2">
        <v>5</v>
      </c>
      <c r="O228" s="2">
        <v>31220.35</v>
      </c>
      <c r="P228" s="2">
        <v>6244.07</v>
      </c>
    </row>
    <row r="229" spans="1:16" outlineLevel="2" x14ac:dyDescent="0.2">
      <c r="A229" s="5">
        <v>46029</v>
      </c>
      <c r="B229" s="2">
        <v>155804</v>
      </c>
      <c r="C229" s="2">
        <v>320</v>
      </c>
      <c r="D229" s="2" t="s">
        <v>45</v>
      </c>
      <c r="E229" s="2" t="s">
        <v>46</v>
      </c>
      <c r="F229" s="2" t="s">
        <v>55</v>
      </c>
      <c r="G229" s="2" t="s">
        <v>23</v>
      </c>
      <c r="H229" s="2" t="s">
        <v>23</v>
      </c>
      <c r="I229" s="2" t="s">
        <v>23</v>
      </c>
      <c r="J229" s="2">
        <v>2</v>
      </c>
      <c r="K229" s="2" t="s">
        <v>48</v>
      </c>
      <c r="L229" s="2">
        <v>2276</v>
      </c>
      <c r="M229" s="2" t="s">
        <v>156</v>
      </c>
      <c r="N229" s="2">
        <v>25</v>
      </c>
      <c r="O229" s="2">
        <v>156101.75</v>
      </c>
      <c r="P229" s="2">
        <v>6244.07</v>
      </c>
    </row>
    <row r="230" spans="1:16" outlineLevel="2" x14ac:dyDescent="0.2">
      <c r="A230" s="5">
        <v>46045</v>
      </c>
      <c r="B230" s="2">
        <v>155497</v>
      </c>
      <c r="C230" s="2">
        <v>1</v>
      </c>
      <c r="D230" s="2" t="s">
        <v>45</v>
      </c>
      <c r="E230" s="2" t="s">
        <v>125</v>
      </c>
      <c r="F230" s="2" t="s">
        <v>55</v>
      </c>
      <c r="G230" s="2" t="s">
        <v>23</v>
      </c>
      <c r="H230" s="2" t="s">
        <v>23</v>
      </c>
      <c r="I230" s="2" t="s">
        <v>23</v>
      </c>
      <c r="J230" s="2">
        <v>2</v>
      </c>
      <c r="K230" s="2" t="s">
        <v>48</v>
      </c>
      <c r="L230" s="2">
        <v>1557</v>
      </c>
      <c r="M230" s="2" t="s">
        <v>98</v>
      </c>
      <c r="N230" s="2">
        <v>1</v>
      </c>
      <c r="O230" s="2">
        <v>9044.39</v>
      </c>
      <c r="P230" s="2">
        <v>9044.39</v>
      </c>
    </row>
    <row r="231" spans="1:16" outlineLevel="2" x14ac:dyDescent="0.2">
      <c r="A231" s="5">
        <v>46045</v>
      </c>
      <c r="B231" s="2">
        <v>155498</v>
      </c>
      <c r="C231" s="2">
        <v>1</v>
      </c>
      <c r="D231" s="2" t="s">
        <v>45</v>
      </c>
      <c r="E231" s="2" t="s">
        <v>125</v>
      </c>
      <c r="F231" s="2" t="s">
        <v>55</v>
      </c>
      <c r="G231" s="2" t="s">
        <v>23</v>
      </c>
      <c r="H231" s="2" t="s">
        <v>23</v>
      </c>
      <c r="I231" s="2" t="s">
        <v>23</v>
      </c>
      <c r="J231" s="2">
        <v>2</v>
      </c>
      <c r="K231" s="2" t="s">
        <v>48</v>
      </c>
      <c r="L231" s="2">
        <v>724</v>
      </c>
      <c r="M231" s="2" t="s">
        <v>126</v>
      </c>
      <c r="N231" s="2">
        <v>1</v>
      </c>
      <c r="O231" s="2">
        <v>4377.1899999999996</v>
      </c>
      <c r="P231" s="2">
        <v>4377.1899999999996</v>
      </c>
    </row>
    <row r="232" spans="1:16" outlineLevel="2" x14ac:dyDescent="0.2">
      <c r="A232" s="5">
        <v>46045</v>
      </c>
      <c r="B232" s="2">
        <v>155606</v>
      </c>
      <c r="C232" s="2">
        <v>3</v>
      </c>
      <c r="D232" s="2" t="s">
        <v>45</v>
      </c>
      <c r="E232" s="2" t="s">
        <v>125</v>
      </c>
      <c r="F232" s="2" t="s">
        <v>55</v>
      </c>
      <c r="G232" s="2" t="s">
        <v>23</v>
      </c>
      <c r="H232" s="2" t="s">
        <v>23</v>
      </c>
      <c r="I232" s="2" t="s">
        <v>23</v>
      </c>
      <c r="J232" s="2">
        <v>2</v>
      </c>
      <c r="K232" s="2" t="s">
        <v>48</v>
      </c>
      <c r="L232" s="2">
        <v>626</v>
      </c>
      <c r="M232" s="2" t="s">
        <v>49</v>
      </c>
      <c r="N232" s="2">
        <v>8</v>
      </c>
      <c r="O232" s="2">
        <v>40618.160000000003</v>
      </c>
      <c r="P232" s="2">
        <v>5077.2700000000004</v>
      </c>
    </row>
    <row r="233" spans="1:16" outlineLevel="2" x14ac:dyDescent="0.2">
      <c r="A233" s="5">
        <v>46030</v>
      </c>
      <c r="B233" s="2">
        <v>155618</v>
      </c>
      <c r="C233" s="2">
        <v>1</v>
      </c>
      <c r="D233" s="2" t="s">
        <v>45</v>
      </c>
      <c r="E233" s="2" t="s">
        <v>125</v>
      </c>
      <c r="F233" s="2" t="s">
        <v>55</v>
      </c>
      <c r="G233" s="2" t="s">
        <v>23</v>
      </c>
      <c r="H233" s="2" t="s">
        <v>23</v>
      </c>
      <c r="I233" s="2" t="s">
        <v>23</v>
      </c>
      <c r="J233" s="2">
        <v>2</v>
      </c>
      <c r="K233" s="2" t="s">
        <v>48</v>
      </c>
      <c r="L233" s="2">
        <v>942</v>
      </c>
      <c r="M233" s="2" t="s">
        <v>164</v>
      </c>
      <c r="N233" s="2">
        <v>25</v>
      </c>
      <c r="O233" s="2">
        <v>222375.98</v>
      </c>
      <c r="P233" s="2">
        <v>8895.0400000000009</v>
      </c>
    </row>
    <row r="234" spans="1:16" outlineLevel="2" x14ac:dyDescent="0.2">
      <c r="A234" s="5">
        <v>46038</v>
      </c>
      <c r="B234" s="2">
        <v>155784</v>
      </c>
      <c r="C234" s="2">
        <v>1</v>
      </c>
      <c r="D234" s="2" t="s">
        <v>45</v>
      </c>
      <c r="E234" s="2" t="s">
        <v>125</v>
      </c>
      <c r="F234" s="2" t="s">
        <v>55</v>
      </c>
      <c r="G234" s="2" t="s">
        <v>23</v>
      </c>
      <c r="H234" s="2" t="s">
        <v>23</v>
      </c>
      <c r="I234" s="2" t="s">
        <v>23</v>
      </c>
      <c r="J234" s="2">
        <v>2</v>
      </c>
      <c r="K234" s="2" t="s">
        <v>48</v>
      </c>
      <c r="L234" s="2">
        <v>2276</v>
      </c>
      <c r="M234" s="2" t="s">
        <v>156</v>
      </c>
      <c r="N234" s="2">
        <v>18</v>
      </c>
      <c r="O234" s="2">
        <v>213204.64</v>
      </c>
      <c r="P234" s="2">
        <v>11844.7</v>
      </c>
    </row>
    <row r="235" spans="1:16" outlineLevel="2" x14ac:dyDescent="0.2">
      <c r="A235" s="5">
        <v>46030</v>
      </c>
      <c r="B235" s="2">
        <v>155785</v>
      </c>
      <c r="C235" s="2">
        <v>1</v>
      </c>
      <c r="D235" s="2" t="s">
        <v>45</v>
      </c>
      <c r="E235" s="2" t="s">
        <v>125</v>
      </c>
      <c r="F235" s="2" t="s">
        <v>55</v>
      </c>
      <c r="G235" s="2" t="s">
        <v>23</v>
      </c>
      <c r="H235" s="2" t="s">
        <v>23</v>
      </c>
      <c r="I235" s="2" t="s">
        <v>23</v>
      </c>
      <c r="J235" s="2">
        <v>2</v>
      </c>
      <c r="K235" s="2" t="s">
        <v>48</v>
      </c>
      <c r="L235" s="2">
        <v>1557</v>
      </c>
      <c r="M235" s="2" t="s">
        <v>98</v>
      </c>
      <c r="N235" s="2">
        <v>140</v>
      </c>
      <c r="O235" s="2">
        <v>697749.8</v>
      </c>
      <c r="P235" s="2">
        <v>4983.93</v>
      </c>
    </row>
    <row r="236" spans="1:16" outlineLevel="2" x14ac:dyDescent="0.2">
      <c r="A236" s="5">
        <v>46045</v>
      </c>
      <c r="B236" s="2">
        <v>155791</v>
      </c>
      <c r="C236" s="2">
        <v>1</v>
      </c>
      <c r="D236" s="2" t="s">
        <v>45</v>
      </c>
      <c r="E236" s="2" t="s">
        <v>125</v>
      </c>
      <c r="F236" s="2" t="s">
        <v>55</v>
      </c>
      <c r="G236" s="2" t="s">
        <v>23</v>
      </c>
      <c r="H236" s="2" t="s">
        <v>23</v>
      </c>
      <c r="I236" s="2" t="s">
        <v>23</v>
      </c>
      <c r="J236" s="2">
        <v>2</v>
      </c>
      <c r="K236" s="2" t="s">
        <v>48</v>
      </c>
      <c r="L236" s="2">
        <v>2276</v>
      </c>
      <c r="M236" s="2" t="s">
        <v>156</v>
      </c>
      <c r="N236" s="2">
        <v>15</v>
      </c>
      <c r="O236" s="2">
        <v>66591.320000000007</v>
      </c>
      <c r="P236" s="2">
        <v>4439.42</v>
      </c>
    </row>
    <row r="237" spans="1:16" outlineLevel="1" x14ac:dyDescent="0.2">
      <c r="A237" s="5"/>
      <c r="D237" s="3" t="s">
        <v>733</v>
      </c>
      <c r="N237" s="2">
        <f>SUBTOTAL(9,N218:N236)</f>
        <v>298</v>
      </c>
      <c r="O237" s="2">
        <f>SUBTOTAL(9,O218:O236)</f>
        <v>1984880.2000000002</v>
      </c>
    </row>
    <row r="238" spans="1:16" outlineLevel="2" x14ac:dyDescent="0.2">
      <c r="A238" s="5">
        <v>46021</v>
      </c>
      <c r="B238" s="2">
        <v>155772</v>
      </c>
      <c r="C238" s="2">
        <v>1</v>
      </c>
      <c r="D238" s="2" t="s">
        <v>197</v>
      </c>
      <c r="E238" s="2" t="s">
        <v>198</v>
      </c>
      <c r="F238" s="2" t="s">
        <v>199</v>
      </c>
      <c r="G238" s="2" t="s">
        <v>22</v>
      </c>
      <c r="H238" s="2" t="s">
        <v>23</v>
      </c>
      <c r="I238" s="2" t="s">
        <v>23</v>
      </c>
      <c r="J238" s="2">
        <v>2</v>
      </c>
      <c r="K238" s="2" t="s">
        <v>48</v>
      </c>
      <c r="L238" s="2">
        <v>25166</v>
      </c>
      <c r="M238" s="2" t="s">
        <v>200</v>
      </c>
      <c r="N238" s="2">
        <v>371</v>
      </c>
      <c r="O238" s="2">
        <v>8786186.3800000008</v>
      </c>
      <c r="P238" s="2">
        <v>23682.44</v>
      </c>
    </row>
    <row r="239" spans="1:16" outlineLevel="1" x14ac:dyDescent="0.2">
      <c r="A239" s="5"/>
      <c r="D239" s="3" t="s">
        <v>734</v>
      </c>
      <c r="N239" s="2">
        <f>SUBTOTAL(9,N238:N238)</f>
        <v>371</v>
      </c>
      <c r="O239" s="2">
        <f>SUBTOTAL(9,O238:O238)</f>
        <v>8786186.3800000008</v>
      </c>
    </row>
    <row r="240" spans="1:16" outlineLevel="2" x14ac:dyDescent="0.2">
      <c r="A240" s="5">
        <v>46027</v>
      </c>
      <c r="B240" s="2">
        <v>155783</v>
      </c>
      <c r="C240" s="2">
        <v>325</v>
      </c>
      <c r="D240" s="2" t="s">
        <v>203</v>
      </c>
      <c r="E240" s="2" t="s">
        <v>125</v>
      </c>
      <c r="F240" s="2" t="s">
        <v>55</v>
      </c>
      <c r="G240" s="2" t="s">
        <v>23</v>
      </c>
      <c r="H240" s="2" t="s">
        <v>23</v>
      </c>
      <c r="I240" s="2" t="s">
        <v>23</v>
      </c>
      <c r="J240" s="2">
        <v>2</v>
      </c>
      <c r="K240" s="2" t="s">
        <v>48</v>
      </c>
      <c r="L240" s="2">
        <v>626</v>
      </c>
      <c r="M240" s="2" t="s">
        <v>49</v>
      </c>
      <c r="N240" s="2">
        <v>10</v>
      </c>
      <c r="O240" s="2">
        <v>18569.11</v>
      </c>
      <c r="P240" s="2">
        <v>1856.91</v>
      </c>
    </row>
    <row r="241" spans="1:16" outlineLevel="2" x14ac:dyDescent="0.2">
      <c r="A241" s="5">
        <v>46031</v>
      </c>
      <c r="B241" s="2">
        <v>155790</v>
      </c>
      <c r="C241" s="2">
        <v>327</v>
      </c>
      <c r="D241" s="2" t="s">
        <v>203</v>
      </c>
      <c r="E241" s="2" t="s">
        <v>125</v>
      </c>
      <c r="F241" s="2" t="s">
        <v>55</v>
      </c>
      <c r="G241" s="2" t="s">
        <v>23</v>
      </c>
      <c r="H241" s="2" t="s">
        <v>23</v>
      </c>
      <c r="I241" s="2" t="s">
        <v>23</v>
      </c>
      <c r="J241" s="2">
        <v>2</v>
      </c>
      <c r="K241" s="2" t="s">
        <v>48</v>
      </c>
      <c r="L241" s="2">
        <v>626</v>
      </c>
      <c r="M241" s="2" t="s">
        <v>49</v>
      </c>
      <c r="N241" s="2">
        <v>5</v>
      </c>
      <c r="O241" s="2">
        <v>17218.8</v>
      </c>
      <c r="P241" s="2">
        <v>3443.76</v>
      </c>
    </row>
    <row r="242" spans="1:16" outlineLevel="2" x14ac:dyDescent="0.2">
      <c r="A242" s="5">
        <v>46036</v>
      </c>
      <c r="B242" s="2">
        <v>155802</v>
      </c>
      <c r="C242" s="2">
        <v>315</v>
      </c>
      <c r="D242" s="2" t="s">
        <v>203</v>
      </c>
      <c r="E242" s="2" t="s">
        <v>125</v>
      </c>
      <c r="F242" s="2" t="s">
        <v>55</v>
      </c>
      <c r="G242" s="2" t="s">
        <v>23</v>
      </c>
      <c r="H242" s="2" t="s">
        <v>23</v>
      </c>
      <c r="I242" s="2" t="s">
        <v>23</v>
      </c>
      <c r="J242" s="2">
        <v>2</v>
      </c>
      <c r="K242" s="2" t="s">
        <v>48</v>
      </c>
      <c r="L242" s="2">
        <v>1857</v>
      </c>
      <c r="M242" s="2" t="s">
        <v>206</v>
      </c>
      <c r="N242" s="2">
        <v>18</v>
      </c>
      <c r="O242" s="2">
        <v>49852.94</v>
      </c>
      <c r="P242" s="2">
        <v>2769.61</v>
      </c>
    </row>
    <row r="243" spans="1:16" outlineLevel="1" x14ac:dyDescent="0.2">
      <c r="A243" s="5"/>
      <c r="D243" s="3" t="s">
        <v>735</v>
      </c>
      <c r="N243" s="2">
        <f>SUBTOTAL(9,N240:N242)</f>
        <v>33</v>
      </c>
      <c r="O243" s="2">
        <f>SUBTOTAL(9,O240:O242)</f>
        <v>85640.85</v>
      </c>
    </row>
    <row r="244" spans="1:16" outlineLevel="2" x14ac:dyDescent="0.2">
      <c r="A244" s="5">
        <v>46034</v>
      </c>
      <c r="B244" s="2">
        <v>155819</v>
      </c>
      <c r="C244" s="2">
        <v>1</v>
      </c>
      <c r="D244" s="2" t="s">
        <v>160</v>
      </c>
      <c r="E244" s="2" t="s">
        <v>222</v>
      </c>
      <c r="F244" s="2" t="s">
        <v>40</v>
      </c>
      <c r="G244" s="2" t="s">
        <v>22</v>
      </c>
      <c r="H244" s="2" t="s">
        <v>23</v>
      </c>
      <c r="I244" s="2" t="s">
        <v>23</v>
      </c>
      <c r="J244" s="2">
        <v>1</v>
      </c>
      <c r="K244" s="2" t="s">
        <v>24</v>
      </c>
      <c r="L244" s="2">
        <v>25211</v>
      </c>
      <c r="M244" s="2" t="s">
        <v>28</v>
      </c>
      <c r="N244" s="2">
        <v>170</v>
      </c>
      <c r="O244" s="2">
        <v>5618096.8899999997</v>
      </c>
      <c r="P244" s="2">
        <v>33047.629999999997</v>
      </c>
    </row>
    <row r="245" spans="1:16" outlineLevel="1" x14ac:dyDescent="0.2">
      <c r="A245" s="5"/>
      <c r="D245" s="3" t="s">
        <v>709</v>
      </c>
      <c r="N245" s="2">
        <f>SUBTOTAL(9,N244:N244)</f>
        <v>170</v>
      </c>
      <c r="O245" s="2">
        <f>SUBTOTAL(9,O244:O244)</f>
        <v>5618096.8899999997</v>
      </c>
    </row>
    <row r="246" spans="1:16" outlineLevel="2" x14ac:dyDescent="0.2">
      <c r="A246" s="5">
        <v>46029</v>
      </c>
      <c r="B246" s="2">
        <v>155820</v>
      </c>
      <c r="C246" s="2">
        <v>2</v>
      </c>
      <c r="D246" s="2" t="s">
        <v>131</v>
      </c>
      <c r="E246" s="2" t="s">
        <v>132</v>
      </c>
      <c r="F246" s="2" t="s">
        <v>40</v>
      </c>
      <c r="G246" s="2" t="s">
        <v>22</v>
      </c>
      <c r="H246" s="2" t="s">
        <v>23</v>
      </c>
      <c r="I246" s="2" t="s">
        <v>23</v>
      </c>
      <c r="J246" s="2">
        <v>1</v>
      </c>
      <c r="K246" s="2" t="s">
        <v>24</v>
      </c>
      <c r="L246" s="2">
        <v>2521</v>
      </c>
      <c r="M246" s="2" t="s">
        <v>82</v>
      </c>
      <c r="N246" s="2">
        <v>181</v>
      </c>
      <c r="O246" s="2">
        <v>5556203.7800000003</v>
      </c>
      <c r="P246" s="2">
        <v>30697.26</v>
      </c>
    </row>
    <row r="247" spans="1:16" outlineLevel="1" x14ac:dyDescent="0.2">
      <c r="A247" s="5"/>
      <c r="D247" s="3" t="s">
        <v>713</v>
      </c>
      <c r="N247" s="2">
        <f>SUBTOTAL(9,N246:N246)</f>
        <v>181</v>
      </c>
      <c r="O247" s="2">
        <f>SUBTOTAL(9,O246:O246)</f>
        <v>5556203.7800000003</v>
      </c>
    </row>
    <row r="248" spans="1:16" outlineLevel="2" x14ac:dyDescent="0.2">
      <c r="A248" s="5">
        <v>46024</v>
      </c>
      <c r="B248" s="2">
        <v>155821</v>
      </c>
      <c r="C248" s="2">
        <v>1</v>
      </c>
      <c r="D248" s="2" t="s">
        <v>143</v>
      </c>
      <c r="E248" s="2" t="s">
        <v>23</v>
      </c>
      <c r="F248" s="2" t="s">
        <v>144</v>
      </c>
      <c r="G248" s="2" t="s">
        <v>22</v>
      </c>
      <c r="H248" s="2" t="s">
        <v>23</v>
      </c>
      <c r="I248" s="2" t="s">
        <v>23</v>
      </c>
      <c r="J248" s="2">
        <v>1</v>
      </c>
      <c r="K248" s="2" t="s">
        <v>24</v>
      </c>
      <c r="L248" s="2">
        <v>2101</v>
      </c>
      <c r="M248" s="2" t="s">
        <v>145</v>
      </c>
      <c r="N248" s="2">
        <v>371</v>
      </c>
      <c r="O248" s="2">
        <v>402534.92</v>
      </c>
      <c r="P248" s="2">
        <v>1085</v>
      </c>
    </row>
    <row r="249" spans="1:16" outlineLevel="1" x14ac:dyDescent="0.2">
      <c r="A249" s="5"/>
      <c r="D249" s="3" t="s">
        <v>706</v>
      </c>
      <c r="N249" s="2">
        <f>SUBTOTAL(9,N248:N248)</f>
        <v>371</v>
      </c>
      <c r="O249" s="2">
        <f>SUBTOTAL(9,O248:O248)</f>
        <v>402534.92</v>
      </c>
    </row>
    <row r="250" spans="1:16" outlineLevel="2" x14ac:dyDescent="0.2">
      <c r="A250" s="5">
        <v>46024</v>
      </c>
      <c r="B250" s="2">
        <v>155822</v>
      </c>
      <c r="C250" s="2">
        <v>1</v>
      </c>
      <c r="D250" s="2" t="s">
        <v>150</v>
      </c>
      <c r="E250" s="2" t="s">
        <v>224</v>
      </c>
      <c r="F250" s="2" t="s">
        <v>199</v>
      </c>
      <c r="G250" s="2" t="s">
        <v>22</v>
      </c>
      <c r="H250" s="2" t="s">
        <v>23</v>
      </c>
      <c r="I250" s="2" t="s">
        <v>23</v>
      </c>
      <c r="J250" s="2">
        <v>1</v>
      </c>
      <c r="K250" s="2" t="s">
        <v>24</v>
      </c>
      <c r="L250" s="2">
        <v>25017</v>
      </c>
      <c r="M250" s="2" t="s">
        <v>225</v>
      </c>
      <c r="N250" s="2">
        <v>131</v>
      </c>
      <c r="O250" s="2">
        <v>3366911.24</v>
      </c>
      <c r="P250" s="2">
        <v>25701.61</v>
      </c>
    </row>
    <row r="251" spans="1:16" outlineLevel="1" x14ac:dyDescent="0.2">
      <c r="A251" s="5"/>
      <c r="D251" s="3" t="s">
        <v>718</v>
      </c>
      <c r="N251" s="2">
        <f>SUBTOTAL(9,N250:N250)</f>
        <v>131</v>
      </c>
      <c r="O251" s="2">
        <f>SUBTOTAL(9,O250:O250)</f>
        <v>3366911.24</v>
      </c>
    </row>
    <row r="252" spans="1:16" outlineLevel="2" x14ac:dyDescent="0.2">
      <c r="A252" s="5">
        <v>46036</v>
      </c>
      <c r="B252" s="2">
        <v>155823</v>
      </c>
      <c r="C252" s="2">
        <v>315</v>
      </c>
      <c r="D252" s="2" t="s">
        <v>110</v>
      </c>
      <c r="E252" s="2" t="s">
        <v>111</v>
      </c>
      <c r="F252" s="2" t="s">
        <v>55</v>
      </c>
      <c r="G252" s="2" t="s">
        <v>23</v>
      </c>
      <c r="H252" s="2" t="s">
        <v>23</v>
      </c>
      <c r="I252" s="2" t="s">
        <v>23</v>
      </c>
      <c r="J252" s="2">
        <v>2</v>
      </c>
      <c r="K252" s="2" t="s">
        <v>48</v>
      </c>
      <c r="L252" s="2">
        <v>626</v>
      </c>
      <c r="M252" s="2" t="s">
        <v>49</v>
      </c>
      <c r="N252" s="2">
        <v>14</v>
      </c>
      <c r="O252" s="2">
        <v>37944.769999999997</v>
      </c>
      <c r="P252" s="2">
        <v>2710.34</v>
      </c>
    </row>
    <row r="253" spans="1:16" outlineLevel="1" x14ac:dyDescent="0.2">
      <c r="A253" s="5"/>
      <c r="D253" s="3" t="s">
        <v>697</v>
      </c>
      <c r="N253" s="2">
        <f>SUBTOTAL(9,N252:N252)</f>
        <v>14</v>
      </c>
      <c r="O253" s="2">
        <f>SUBTOTAL(9,O252:O252)</f>
        <v>37944.769999999997</v>
      </c>
    </row>
    <row r="254" spans="1:16" outlineLevel="2" x14ac:dyDescent="0.2">
      <c r="A254" s="5">
        <v>46029</v>
      </c>
      <c r="B254" s="2">
        <v>155824</v>
      </c>
      <c r="C254" s="2">
        <v>301</v>
      </c>
      <c r="D254" s="2" t="s">
        <v>203</v>
      </c>
      <c r="E254" s="2" t="s">
        <v>125</v>
      </c>
      <c r="F254" s="2" t="s">
        <v>55</v>
      </c>
      <c r="G254" s="2" t="s">
        <v>23</v>
      </c>
      <c r="H254" s="2" t="s">
        <v>23</v>
      </c>
      <c r="I254" s="2" t="s">
        <v>23</v>
      </c>
      <c r="J254" s="2">
        <v>2</v>
      </c>
      <c r="K254" s="2" t="s">
        <v>48</v>
      </c>
      <c r="L254" s="2">
        <v>626</v>
      </c>
      <c r="M254" s="2" t="s">
        <v>49</v>
      </c>
      <c r="N254" s="2">
        <v>3</v>
      </c>
      <c r="O254" s="2">
        <v>7530.96</v>
      </c>
      <c r="P254" s="2">
        <v>2510.3200000000002</v>
      </c>
    </row>
    <row r="255" spans="1:16" outlineLevel="2" x14ac:dyDescent="0.2">
      <c r="A255" s="5">
        <v>46031</v>
      </c>
      <c r="B255" s="2">
        <v>155824</v>
      </c>
      <c r="C255" s="2">
        <v>325</v>
      </c>
      <c r="D255" s="2" t="s">
        <v>203</v>
      </c>
      <c r="E255" s="2" t="s">
        <v>125</v>
      </c>
      <c r="F255" s="2" t="s">
        <v>55</v>
      </c>
      <c r="G255" s="2" t="s">
        <v>23</v>
      </c>
      <c r="H255" s="2" t="s">
        <v>23</v>
      </c>
      <c r="I255" s="2" t="s">
        <v>23</v>
      </c>
      <c r="J255" s="2">
        <v>2</v>
      </c>
      <c r="K255" s="2" t="s">
        <v>48</v>
      </c>
      <c r="L255" s="2">
        <v>626</v>
      </c>
      <c r="M255" s="2" t="s">
        <v>49</v>
      </c>
      <c r="N255" s="2">
        <v>17</v>
      </c>
      <c r="O255" s="2">
        <v>58543.92</v>
      </c>
      <c r="P255" s="2">
        <v>3443.76</v>
      </c>
    </row>
    <row r="256" spans="1:16" outlineLevel="1" x14ac:dyDescent="0.2">
      <c r="A256" s="5"/>
      <c r="D256" s="3" t="s">
        <v>735</v>
      </c>
      <c r="N256" s="2">
        <f>SUBTOTAL(9,N254:N255)</f>
        <v>20</v>
      </c>
      <c r="O256" s="2">
        <f>SUBTOTAL(9,O254:O255)</f>
        <v>66074.880000000005</v>
      </c>
    </row>
    <row r="257" spans="1:16" outlineLevel="2" x14ac:dyDescent="0.2">
      <c r="A257" s="5">
        <v>46036</v>
      </c>
      <c r="B257" s="2">
        <v>155825</v>
      </c>
      <c r="C257" s="2">
        <v>1</v>
      </c>
      <c r="D257" s="2" t="s">
        <v>45</v>
      </c>
      <c r="E257" s="2" t="s">
        <v>125</v>
      </c>
      <c r="F257" s="2" t="s">
        <v>55</v>
      </c>
      <c r="G257" s="2" t="s">
        <v>23</v>
      </c>
      <c r="H257" s="2" t="s">
        <v>23</v>
      </c>
      <c r="I257" s="2" t="s">
        <v>23</v>
      </c>
      <c r="J257" s="2">
        <v>2</v>
      </c>
      <c r="K257" s="2" t="s">
        <v>48</v>
      </c>
      <c r="L257" s="2">
        <v>2276</v>
      </c>
      <c r="M257" s="2" t="s">
        <v>156</v>
      </c>
      <c r="N257" s="2">
        <v>46</v>
      </c>
      <c r="O257" s="2">
        <v>416975.16</v>
      </c>
      <c r="P257" s="2">
        <v>9064.68</v>
      </c>
    </row>
    <row r="258" spans="1:16" outlineLevel="2" x14ac:dyDescent="0.2">
      <c r="A258" s="5">
        <v>46029</v>
      </c>
      <c r="B258" s="2">
        <v>155828</v>
      </c>
      <c r="C258" s="2">
        <v>325</v>
      </c>
      <c r="D258" s="2" t="s">
        <v>45</v>
      </c>
      <c r="E258" s="2" t="s">
        <v>46</v>
      </c>
      <c r="F258" s="2" t="s">
        <v>55</v>
      </c>
      <c r="G258" s="2" t="s">
        <v>23</v>
      </c>
      <c r="H258" s="2" t="s">
        <v>23</v>
      </c>
      <c r="I258" s="2" t="s">
        <v>23</v>
      </c>
      <c r="J258" s="2">
        <v>2</v>
      </c>
      <c r="K258" s="2" t="s">
        <v>48</v>
      </c>
      <c r="L258" s="2">
        <v>600</v>
      </c>
      <c r="M258" s="2" t="s">
        <v>112</v>
      </c>
      <c r="N258" s="2">
        <v>34</v>
      </c>
      <c r="O258" s="2">
        <v>313109.87</v>
      </c>
      <c r="P258" s="2">
        <v>9209.11</v>
      </c>
    </row>
    <row r="259" spans="1:16" outlineLevel="1" x14ac:dyDescent="0.2">
      <c r="A259" s="5"/>
      <c r="D259" s="3" t="s">
        <v>733</v>
      </c>
      <c r="N259" s="2">
        <f>SUBTOTAL(9,N257:N258)</f>
        <v>80</v>
      </c>
      <c r="O259" s="2">
        <f>SUBTOTAL(9,O257:O258)</f>
        <v>730085.03</v>
      </c>
    </row>
    <row r="260" spans="1:16" outlineLevel="2" x14ac:dyDescent="0.2">
      <c r="A260" s="5">
        <v>46031</v>
      </c>
      <c r="B260" s="2">
        <v>155837</v>
      </c>
      <c r="C260" s="2">
        <v>1</v>
      </c>
      <c r="D260" s="2" t="s">
        <v>140</v>
      </c>
      <c r="E260" s="2" t="s">
        <v>141</v>
      </c>
      <c r="F260" s="2" t="s">
        <v>55</v>
      </c>
      <c r="G260" s="2" t="s">
        <v>23</v>
      </c>
      <c r="H260" s="2" t="s">
        <v>23</v>
      </c>
      <c r="I260" s="2" t="s">
        <v>23</v>
      </c>
      <c r="J260" s="2">
        <v>1</v>
      </c>
      <c r="K260" s="2" t="s">
        <v>24</v>
      </c>
      <c r="L260" s="2">
        <v>1833</v>
      </c>
      <c r="M260" s="2" t="s">
        <v>142</v>
      </c>
      <c r="N260" s="2">
        <v>4</v>
      </c>
      <c r="O260" s="2">
        <v>59160.08</v>
      </c>
      <c r="P260" s="2">
        <v>14790.02</v>
      </c>
    </row>
    <row r="261" spans="1:16" outlineLevel="2" x14ac:dyDescent="0.2">
      <c r="A261" s="5">
        <v>46027</v>
      </c>
      <c r="B261" s="2">
        <v>155838</v>
      </c>
      <c r="C261" s="2">
        <v>1</v>
      </c>
      <c r="D261" s="2" t="s">
        <v>140</v>
      </c>
      <c r="E261" s="2" t="s">
        <v>141</v>
      </c>
      <c r="F261" s="2" t="s">
        <v>108</v>
      </c>
      <c r="G261" s="2" t="s">
        <v>22</v>
      </c>
      <c r="H261" s="2" t="s">
        <v>23</v>
      </c>
      <c r="I261" s="2" t="s">
        <v>23</v>
      </c>
      <c r="J261" s="2">
        <v>1</v>
      </c>
      <c r="K261" s="2" t="s">
        <v>24</v>
      </c>
      <c r="L261" s="2">
        <v>1833</v>
      </c>
      <c r="M261" s="2" t="s">
        <v>142</v>
      </c>
      <c r="N261" s="2">
        <v>52</v>
      </c>
      <c r="O261" s="2">
        <v>1642514.28</v>
      </c>
      <c r="P261" s="2">
        <v>31586.81</v>
      </c>
    </row>
    <row r="262" spans="1:16" outlineLevel="1" x14ac:dyDescent="0.2">
      <c r="A262" s="5"/>
      <c r="D262" s="3" t="s">
        <v>696</v>
      </c>
      <c r="N262" s="2">
        <f>SUBTOTAL(9,N260:N261)</f>
        <v>56</v>
      </c>
      <c r="O262" s="2">
        <f>SUBTOTAL(9,O260:O261)</f>
        <v>1701674.36</v>
      </c>
    </row>
    <row r="263" spans="1:16" outlineLevel="2" x14ac:dyDescent="0.2">
      <c r="A263" s="5">
        <v>46027</v>
      </c>
      <c r="B263" s="2">
        <v>155839</v>
      </c>
      <c r="C263" s="2">
        <v>1</v>
      </c>
      <c r="D263" s="2" t="s">
        <v>226</v>
      </c>
      <c r="E263" s="2" t="s">
        <v>227</v>
      </c>
      <c r="F263" s="2" t="s">
        <v>47</v>
      </c>
      <c r="G263" s="2" t="s">
        <v>22</v>
      </c>
      <c r="H263" s="2" t="s">
        <v>23</v>
      </c>
      <c r="I263" s="2" t="s">
        <v>23</v>
      </c>
      <c r="J263" s="2">
        <v>2</v>
      </c>
      <c r="K263" s="2" t="s">
        <v>48</v>
      </c>
      <c r="L263" s="2">
        <v>1964</v>
      </c>
      <c r="M263" s="2" t="s">
        <v>49</v>
      </c>
      <c r="N263" s="2">
        <v>50</v>
      </c>
      <c r="O263" s="2">
        <v>855688.07</v>
      </c>
      <c r="P263" s="2">
        <v>17113.759999999998</v>
      </c>
    </row>
    <row r="264" spans="1:16" outlineLevel="1" x14ac:dyDescent="0.2">
      <c r="A264" s="5"/>
      <c r="D264" s="3" t="s">
        <v>736</v>
      </c>
      <c r="N264" s="2">
        <f>SUBTOTAL(9,N263:N263)</f>
        <v>50</v>
      </c>
      <c r="O264" s="2">
        <f>SUBTOTAL(9,O263:O263)</f>
        <v>855688.07</v>
      </c>
    </row>
    <row r="265" spans="1:16" outlineLevel="2" x14ac:dyDescent="0.2">
      <c r="A265" s="5">
        <v>46027</v>
      </c>
      <c r="B265" s="2">
        <v>155839</v>
      </c>
      <c r="C265" s="2">
        <v>2</v>
      </c>
      <c r="D265" s="2" t="s">
        <v>45</v>
      </c>
      <c r="E265" s="2" t="s">
        <v>227</v>
      </c>
      <c r="F265" s="2" t="s">
        <v>47</v>
      </c>
      <c r="G265" s="2" t="s">
        <v>22</v>
      </c>
      <c r="H265" s="2" t="s">
        <v>23</v>
      </c>
      <c r="I265" s="2" t="s">
        <v>23</v>
      </c>
      <c r="J265" s="2">
        <v>2</v>
      </c>
      <c r="K265" s="2" t="s">
        <v>48</v>
      </c>
      <c r="L265" s="2">
        <v>1964</v>
      </c>
      <c r="M265" s="2" t="s">
        <v>49</v>
      </c>
      <c r="N265" s="2">
        <v>50</v>
      </c>
      <c r="O265" s="2">
        <v>548744.80000000005</v>
      </c>
      <c r="P265" s="2">
        <v>10974.9</v>
      </c>
    </row>
    <row r="266" spans="1:16" outlineLevel="2" x14ac:dyDescent="0.2">
      <c r="A266" s="5">
        <v>46027</v>
      </c>
      <c r="B266" s="2">
        <v>155839</v>
      </c>
      <c r="C266" s="2">
        <v>3</v>
      </c>
      <c r="D266" s="2" t="s">
        <v>45</v>
      </c>
      <c r="E266" s="2" t="s">
        <v>228</v>
      </c>
      <c r="F266" s="2" t="s">
        <v>47</v>
      </c>
      <c r="G266" s="2" t="s">
        <v>22</v>
      </c>
      <c r="H266" s="2" t="s">
        <v>23</v>
      </c>
      <c r="I266" s="2" t="s">
        <v>23</v>
      </c>
      <c r="J266" s="2">
        <v>2</v>
      </c>
      <c r="K266" s="2" t="s">
        <v>48</v>
      </c>
      <c r="L266" s="2">
        <v>1964</v>
      </c>
      <c r="M266" s="2" t="s">
        <v>49</v>
      </c>
      <c r="N266" s="2">
        <v>2</v>
      </c>
      <c r="O266" s="2">
        <v>21822.52</v>
      </c>
      <c r="P266" s="2">
        <v>10911.26</v>
      </c>
    </row>
    <row r="267" spans="1:16" outlineLevel="1" x14ac:dyDescent="0.2">
      <c r="A267" s="5"/>
      <c r="D267" s="3" t="s">
        <v>733</v>
      </c>
      <c r="N267" s="2">
        <f>SUBTOTAL(9,N265:N266)</f>
        <v>52</v>
      </c>
      <c r="O267" s="2">
        <f>SUBTOTAL(9,O265:O266)</f>
        <v>570567.32000000007</v>
      </c>
    </row>
    <row r="268" spans="1:16" outlineLevel="2" x14ac:dyDescent="0.2">
      <c r="A268" s="5">
        <v>46027</v>
      </c>
      <c r="B268" s="2">
        <v>155840</v>
      </c>
      <c r="C268" s="2">
        <v>1</v>
      </c>
      <c r="D268" s="2" t="s">
        <v>229</v>
      </c>
      <c r="E268" s="2" t="s">
        <v>230</v>
      </c>
      <c r="F268" s="2" t="s">
        <v>231</v>
      </c>
      <c r="G268" s="2" t="s">
        <v>22</v>
      </c>
      <c r="H268" s="2" t="s">
        <v>23</v>
      </c>
      <c r="I268" s="2" t="s">
        <v>23</v>
      </c>
      <c r="J268" s="2">
        <v>1</v>
      </c>
      <c r="K268" s="2" t="s">
        <v>24</v>
      </c>
      <c r="L268" s="2">
        <v>819</v>
      </c>
      <c r="M268" s="2" t="s">
        <v>232</v>
      </c>
      <c r="N268" s="2">
        <v>191</v>
      </c>
      <c r="O268" s="2">
        <v>2077118.52</v>
      </c>
      <c r="P268" s="2">
        <v>10874.97</v>
      </c>
    </row>
    <row r="269" spans="1:16" outlineLevel="1" x14ac:dyDescent="0.2">
      <c r="A269" s="5"/>
      <c r="D269" s="3" t="s">
        <v>737</v>
      </c>
      <c r="N269" s="2">
        <f>SUBTOTAL(9,N268:N268)</f>
        <v>191</v>
      </c>
      <c r="O269" s="2">
        <f>SUBTOTAL(9,O268:O268)</f>
        <v>2077118.52</v>
      </c>
    </row>
    <row r="270" spans="1:16" outlineLevel="2" x14ac:dyDescent="0.2">
      <c r="A270" s="5">
        <v>46027</v>
      </c>
      <c r="B270" s="2">
        <v>155841</v>
      </c>
      <c r="C270" s="2">
        <v>1</v>
      </c>
      <c r="D270" s="2" t="s">
        <v>88</v>
      </c>
      <c r="E270" s="2" t="s">
        <v>89</v>
      </c>
      <c r="F270" s="2" t="s">
        <v>31</v>
      </c>
      <c r="G270" s="2" t="s">
        <v>22</v>
      </c>
      <c r="H270" s="2" t="s">
        <v>23</v>
      </c>
      <c r="I270" s="2" t="s">
        <v>23</v>
      </c>
      <c r="J270" s="2">
        <v>1</v>
      </c>
      <c r="K270" s="2" t="s">
        <v>24</v>
      </c>
      <c r="L270" s="2">
        <v>2355</v>
      </c>
      <c r="M270" s="2" t="s">
        <v>213</v>
      </c>
      <c r="N270" s="2">
        <v>26</v>
      </c>
      <c r="O270" s="2">
        <v>671070.23</v>
      </c>
      <c r="P270" s="2">
        <v>25810.39</v>
      </c>
    </row>
    <row r="271" spans="1:16" outlineLevel="2" x14ac:dyDescent="0.2">
      <c r="A271" s="5">
        <v>46027</v>
      </c>
      <c r="B271" s="2">
        <v>155841</v>
      </c>
      <c r="C271" s="2">
        <v>2</v>
      </c>
      <c r="D271" s="2" t="s">
        <v>88</v>
      </c>
      <c r="E271" s="2" t="s">
        <v>233</v>
      </c>
      <c r="F271" s="2" t="s">
        <v>31</v>
      </c>
      <c r="G271" s="2" t="s">
        <v>22</v>
      </c>
      <c r="H271" s="2" t="s">
        <v>23</v>
      </c>
      <c r="I271" s="2" t="s">
        <v>169</v>
      </c>
      <c r="J271" s="2">
        <v>1</v>
      </c>
      <c r="K271" s="2" t="s">
        <v>24</v>
      </c>
      <c r="L271" s="2">
        <v>2355</v>
      </c>
      <c r="M271" s="2" t="s">
        <v>213</v>
      </c>
      <c r="N271" s="2">
        <v>184</v>
      </c>
      <c r="O271" s="2">
        <v>8033719.5599999996</v>
      </c>
      <c r="P271" s="2">
        <v>43661.52</v>
      </c>
    </row>
    <row r="272" spans="1:16" outlineLevel="2" x14ac:dyDescent="0.2">
      <c r="A272" s="5">
        <v>46027</v>
      </c>
      <c r="B272" s="2">
        <v>155841</v>
      </c>
      <c r="C272" s="2">
        <v>3</v>
      </c>
      <c r="D272" s="2" t="s">
        <v>88</v>
      </c>
      <c r="E272" s="2" t="s">
        <v>89</v>
      </c>
      <c r="F272" s="2" t="s">
        <v>31</v>
      </c>
      <c r="G272" s="2" t="s">
        <v>22</v>
      </c>
      <c r="H272" s="2" t="s">
        <v>23</v>
      </c>
      <c r="I272" s="2" t="s">
        <v>90</v>
      </c>
      <c r="J272" s="2">
        <v>1</v>
      </c>
      <c r="K272" s="2" t="s">
        <v>24</v>
      </c>
      <c r="L272" s="2">
        <v>2355</v>
      </c>
      <c r="M272" s="2" t="s">
        <v>213</v>
      </c>
      <c r="N272" s="2">
        <v>7</v>
      </c>
      <c r="O272" s="2">
        <v>223862.23</v>
      </c>
      <c r="P272" s="2">
        <v>31980.32</v>
      </c>
    </row>
    <row r="273" spans="1:16" outlineLevel="2" x14ac:dyDescent="0.2">
      <c r="A273" s="5">
        <v>46027</v>
      </c>
      <c r="B273" s="2">
        <v>155841</v>
      </c>
      <c r="C273" s="2">
        <v>4</v>
      </c>
      <c r="D273" s="2" t="s">
        <v>88</v>
      </c>
      <c r="E273" s="2" t="s">
        <v>89</v>
      </c>
      <c r="F273" s="2" t="s">
        <v>31</v>
      </c>
      <c r="G273" s="2" t="s">
        <v>22</v>
      </c>
      <c r="H273" s="2" t="s">
        <v>23</v>
      </c>
      <c r="I273" s="2" t="s">
        <v>168</v>
      </c>
      <c r="J273" s="2">
        <v>1</v>
      </c>
      <c r="K273" s="2" t="s">
        <v>24</v>
      </c>
      <c r="L273" s="2">
        <v>2355</v>
      </c>
      <c r="M273" s="2" t="s">
        <v>213</v>
      </c>
      <c r="N273" s="2">
        <v>409</v>
      </c>
      <c r="O273" s="2">
        <v>10257496.789999999</v>
      </c>
      <c r="P273" s="2">
        <v>25079.45</v>
      </c>
    </row>
    <row r="274" spans="1:16" outlineLevel="2" x14ac:dyDescent="0.2">
      <c r="A274" s="5">
        <v>46027</v>
      </c>
      <c r="B274" s="2">
        <v>155841</v>
      </c>
      <c r="C274" s="2">
        <v>5</v>
      </c>
      <c r="D274" s="2" t="s">
        <v>88</v>
      </c>
      <c r="E274" s="2" t="s">
        <v>23</v>
      </c>
      <c r="F274" s="2" t="s">
        <v>31</v>
      </c>
      <c r="G274" s="2" t="s">
        <v>22</v>
      </c>
      <c r="H274" s="2" t="s">
        <v>23</v>
      </c>
      <c r="I274" s="2" t="s">
        <v>234</v>
      </c>
      <c r="J274" s="2">
        <v>1</v>
      </c>
      <c r="K274" s="2" t="s">
        <v>24</v>
      </c>
      <c r="L274" s="2">
        <v>2355</v>
      </c>
      <c r="M274" s="2" t="s">
        <v>213</v>
      </c>
      <c r="N274" s="2">
        <v>230</v>
      </c>
      <c r="O274" s="2">
        <v>9804933.3100000005</v>
      </c>
      <c r="P274" s="2">
        <v>42630.14</v>
      </c>
    </row>
    <row r="275" spans="1:16" outlineLevel="2" x14ac:dyDescent="0.2">
      <c r="A275" s="5">
        <v>46027</v>
      </c>
      <c r="B275" s="2">
        <v>155841</v>
      </c>
      <c r="C275" s="2">
        <v>6</v>
      </c>
      <c r="D275" s="2" t="s">
        <v>88</v>
      </c>
      <c r="E275" s="2" t="s">
        <v>235</v>
      </c>
      <c r="F275" s="2" t="s">
        <v>31</v>
      </c>
      <c r="G275" s="2" t="s">
        <v>22</v>
      </c>
      <c r="H275" s="2" t="s">
        <v>23</v>
      </c>
      <c r="I275" s="2" t="s">
        <v>214</v>
      </c>
      <c r="J275" s="2">
        <v>1</v>
      </c>
      <c r="K275" s="2" t="s">
        <v>24</v>
      </c>
      <c r="L275" s="2">
        <v>2355</v>
      </c>
      <c r="M275" s="2" t="s">
        <v>213</v>
      </c>
      <c r="N275" s="2">
        <v>184</v>
      </c>
      <c r="O275" s="2">
        <v>4101159.96</v>
      </c>
      <c r="P275" s="2">
        <v>22288.91</v>
      </c>
    </row>
    <row r="276" spans="1:16" outlineLevel="1" x14ac:dyDescent="0.2">
      <c r="A276" s="5"/>
      <c r="D276" s="3" t="s">
        <v>698</v>
      </c>
      <c r="N276" s="2">
        <f>SUBTOTAL(9,N270:N275)</f>
        <v>1040</v>
      </c>
      <c r="O276" s="2">
        <f>SUBTOTAL(9,O270:O275)</f>
        <v>33092242.079999998</v>
      </c>
    </row>
    <row r="277" spans="1:16" outlineLevel="2" x14ac:dyDescent="0.2">
      <c r="A277" s="5">
        <v>46027</v>
      </c>
      <c r="B277" s="2">
        <v>155842</v>
      </c>
      <c r="C277" s="2">
        <v>1</v>
      </c>
      <c r="D277" s="2" t="s">
        <v>207</v>
      </c>
      <c r="E277" s="2" t="s">
        <v>23</v>
      </c>
      <c r="F277" s="2" t="s">
        <v>47</v>
      </c>
      <c r="G277" s="2" t="s">
        <v>22</v>
      </c>
      <c r="H277" s="2" t="s">
        <v>208</v>
      </c>
      <c r="I277" s="2" t="s">
        <v>23</v>
      </c>
      <c r="J277" s="2">
        <v>41</v>
      </c>
      <c r="K277" s="2" t="s">
        <v>129</v>
      </c>
      <c r="L277" s="2">
        <v>25213</v>
      </c>
      <c r="M277" s="2" t="s">
        <v>130</v>
      </c>
      <c r="N277" s="2">
        <v>100</v>
      </c>
      <c r="O277" s="2">
        <v>325729</v>
      </c>
      <c r="P277" s="2">
        <v>3257.29</v>
      </c>
    </row>
    <row r="278" spans="1:16" outlineLevel="2" x14ac:dyDescent="0.2">
      <c r="A278" s="5">
        <v>46027</v>
      </c>
      <c r="B278" s="2">
        <v>155842</v>
      </c>
      <c r="C278" s="2">
        <v>2</v>
      </c>
      <c r="D278" s="2" t="s">
        <v>207</v>
      </c>
      <c r="E278" s="2" t="s">
        <v>23</v>
      </c>
      <c r="F278" s="2" t="s">
        <v>47</v>
      </c>
      <c r="G278" s="2" t="s">
        <v>22</v>
      </c>
      <c r="H278" s="2" t="s">
        <v>23</v>
      </c>
      <c r="I278" s="2" t="s">
        <v>23</v>
      </c>
      <c r="J278" s="2">
        <v>1</v>
      </c>
      <c r="K278" s="2" t="s">
        <v>24</v>
      </c>
      <c r="L278" s="2">
        <v>25213</v>
      </c>
      <c r="M278" s="2" t="s">
        <v>130</v>
      </c>
      <c r="N278" s="2">
        <v>3</v>
      </c>
      <c r="O278" s="2">
        <v>188633.63</v>
      </c>
      <c r="P278" s="2">
        <v>62877.88</v>
      </c>
    </row>
    <row r="279" spans="1:16" outlineLevel="2" x14ac:dyDescent="0.2">
      <c r="A279" s="5">
        <v>46027</v>
      </c>
      <c r="B279" s="2">
        <v>155842</v>
      </c>
      <c r="C279" s="2">
        <v>3</v>
      </c>
      <c r="D279" s="2" t="s">
        <v>207</v>
      </c>
      <c r="E279" s="2" t="s">
        <v>23</v>
      </c>
      <c r="F279" s="2" t="s">
        <v>47</v>
      </c>
      <c r="G279" s="2" t="s">
        <v>210</v>
      </c>
      <c r="H279" s="2" t="s">
        <v>23</v>
      </c>
      <c r="I279" s="2" t="s">
        <v>23</v>
      </c>
      <c r="J279" s="2">
        <v>1</v>
      </c>
      <c r="K279" s="2" t="s">
        <v>24</v>
      </c>
      <c r="L279" s="2">
        <v>25213</v>
      </c>
      <c r="M279" s="2" t="s">
        <v>130</v>
      </c>
      <c r="N279" s="2">
        <v>2</v>
      </c>
      <c r="O279" s="2">
        <v>64760.72</v>
      </c>
      <c r="P279" s="2">
        <v>32380.36</v>
      </c>
    </row>
    <row r="280" spans="1:16" outlineLevel="1" x14ac:dyDescent="0.2">
      <c r="A280" s="5"/>
      <c r="D280" s="3" t="s">
        <v>699</v>
      </c>
      <c r="N280" s="2">
        <f>SUBTOTAL(9,N277:N279)</f>
        <v>105</v>
      </c>
      <c r="O280" s="2">
        <f>SUBTOTAL(9,O277:O279)</f>
        <v>579123.35</v>
      </c>
    </row>
    <row r="281" spans="1:16" outlineLevel="2" x14ac:dyDescent="0.2">
      <c r="A281" s="5">
        <v>46027</v>
      </c>
      <c r="B281" s="2">
        <v>155843</v>
      </c>
      <c r="C281" s="2">
        <v>1</v>
      </c>
      <c r="D281" s="2" t="s">
        <v>229</v>
      </c>
      <c r="E281" s="2" t="s">
        <v>230</v>
      </c>
      <c r="F281" s="2" t="s">
        <v>231</v>
      </c>
      <c r="G281" s="2" t="s">
        <v>22</v>
      </c>
      <c r="H281" s="2" t="s">
        <v>23</v>
      </c>
      <c r="I281" s="2" t="s">
        <v>23</v>
      </c>
      <c r="J281" s="2">
        <v>1</v>
      </c>
      <c r="K281" s="2" t="s">
        <v>24</v>
      </c>
      <c r="L281" s="2">
        <v>25094</v>
      </c>
      <c r="M281" s="2" t="s">
        <v>236</v>
      </c>
      <c r="N281" s="2">
        <v>271</v>
      </c>
      <c r="O281" s="2">
        <v>6580690</v>
      </c>
      <c r="P281" s="2">
        <v>24282.99</v>
      </c>
    </row>
    <row r="282" spans="1:16" outlineLevel="2" x14ac:dyDescent="0.2">
      <c r="A282" s="5">
        <v>46036</v>
      </c>
      <c r="B282" s="2">
        <v>155843</v>
      </c>
      <c r="C282" s="2">
        <v>501</v>
      </c>
      <c r="D282" s="2" t="s">
        <v>229</v>
      </c>
      <c r="E282" s="2" t="s">
        <v>230</v>
      </c>
      <c r="F282" s="2" t="s">
        <v>144</v>
      </c>
      <c r="G282" s="2" t="s">
        <v>22</v>
      </c>
      <c r="H282" s="2" t="s">
        <v>23</v>
      </c>
      <c r="I282" s="2" t="s">
        <v>23</v>
      </c>
      <c r="J282" s="2">
        <v>2</v>
      </c>
      <c r="K282" s="2" t="s">
        <v>48</v>
      </c>
      <c r="L282" s="2">
        <v>0</v>
      </c>
      <c r="M282" s="2" t="s">
        <v>237</v>
      </c>
      <c r="N282" s="2">
        <v>4</v>
      </c>
      <c r="O282" s="2">
        <v>43645.04</v>
      </c>
      <c r="P282" s="2">
        <v>10911.26</v>
      </c>
    </row>
    <row r="283" spans="1:16" outlineLevel="1" x14ac:dyDescent="0.2">
      <c r="A283" s="5"/>
      <c r="D283" s="3" t="s">
        <v>737</v>
      </c>
      <c r="N283" s="2">
        <f>SUBTOTAL(9,N281:N282)</f>
        <v>275</v>
      </c>
      <c r="O283" s="2">
        <f>SUBTOTAL(9,O281:O282)</f>
        <v>6624335.04</v>
      </c>
    </row>
    <row r="284" spans="1:16" outlineLevel="2" x14ac:dyDescent="0.2">
      <c r="A284" s="5">
        <v>46045</v>
      </c>
      <c r="B284" s="2">
        <v>155844</v>
      </c>
      <c r="C284" s="2">
        <v>4</v>
      </c>
      <c r="D284" s="2" t="s">
        <v>107</v>
      </c>
      <c r="E284" s="2" t="s">
        <v>224</v>
      </c>
      <c r="F284" s="2" t="s">
        <v>55</v>
      </c>
      <c r="G284" s="2" t="s">
        <v>23</v>
      </c>
      <c r="H284" s="2" t="s">
        <v>23</v>
      </c>
      <c r="I284" s="2" t="s">
        <v>23</v>
      </c>
      <c r="J284" s="2">
        <v>1</v>
      </c>
      <c r="K284" s="2" t="s">
        <v>24</v>
      </c>
      <c r="L284" s="2">
        <v>600</v>
      </c>
      <c r="M284" s="2" t="s">
        <v>112</v>
      </c>
      <c r="N284" s="2">
        <v>6</v>
      </c>
      <c r="O284" s="2">
        <v>37464.42</v>
      </c>
      <c r="P284" s="2">
        <v>6244.07</v>
      </c>
    </row>
    <row r="285" spans="1:16" outlineLevel="1" x14ac:dyDescent="0.2">
      <c r="A285" s="5"/>
      <c r="D285" s="3" t="s">
        <v>726</v>
      </c>
      <c r="N285" s="2">
        <f>SUBTOTAL(9,N284:N284)</f>
        <v>6</v>
      </c>
      <c r="O285" s="2">
        <f>SUBTOTAL(9,O284:O284)</f>
        <v>37464.42</v>
      </c>
    </row>
    <row r="286" spans="1:16" outlineLevel="2" x14ac:dyDescent="0.2">
      <c r="A286" s="5">
        <v>46043</v>
      </c>
      <c r="B286" s="2">
        <v>155844</v>
      </c>
      <c r="C286" s="2">
        <v>300</v>
      </c>
      <c r="D286" s="2" t="s">
        <v>29</v>
      </c>
      <c r="E286" s="2" t="s">
        <v>224</v>
      </c>
      <c r="F286" s="2" t="s">
        <v>55</v>
      </c>
      <c r="G286" s="2" t="s">
        <v>23</v>
      </c>
      <c r="H286" s="2" t="s">
        <v>23</v>
      </c>
      <c r="I286" s="2" t="s">
        <v>23</v>
      </c>
      <c r="J286" s="2">
        <v>40</v>
      </c>
      <c r="K286" s="2" t="s">
        <v>43</v>
      </c>
      <c r="L286" s="2">
        <v>25092</v>
      </c>
      <c r="M286" s="2" t="s">
        <v>96</v>
      </c>
      <c r="N286" s="2">
        <v>45</v>
      </c>
      <c r="O286" s="2">
        <v>514337.14</v>
      </c>
      <c r="P286" s="2">
        <v>11429.71</v>
      </c>
    </row>
    <row r="287" spans="1:16" outlineLevel="1" x14ac:dyDescent="0.2">
      <c r="A287" s="5"/>
      <c r="D287" s="3" t="s">
        <v>703</v>
      </c>
      <c r="N287" s="2">
        <f>SUBTOTAL(9,N286:N286)</f>
        <v>45</v>
      </c>
      <c r="O287" s="2">
        <f>SUBTOTAL(9,O286:O286)</f>
        <v>514337.14</v>
      </c>
    </row>
    <row r="288" spans="1:16" outlineLevel="2" x14ac:dyDescent="0.2">
      <c r="A288" s="5">
        <v>46036</v>
      </c>
      <c r="B288" s="2">
        <v>155847</v>
      </c>
      <c r="C288" s="2">
        <v>315</v>
      </c>
      <c r="D288" s="2" t="s">
        <v>203</v>
      </c>
      <c r="E288" s="2" t="s">
        <v>238</v>
      </c>
      <c r="F288" s="2" t="s">
        <v>55</v>
      </c>
      <c r="G288" s="2" t="s">
        <v>23</v>
      </c>
      <c r="H288" s="2" t="s">
        <v>23</v>
      </c>
      <c r="I288" s="2" t="s">
        <v>23</v>
      </c>
      <c r="J288" s="2">
        <v>2</v>
      </c>
      <c r="K288" s="2" t="s">
        <v>48</v>
      </c>
      <c r="L288" s="2">
        <v>626</v>
      </c>
      <c r="M288" s="2" t="s">
        <v>49</v>
      </c>
      <c r="N288" s="2">
        <v>6</v>
      </c>
      <c r="O288" s="2">
        <v>15061.92</v>
      </c>
      <c r="P288" s="2">
        <v>2510.3200000000002</v>
      </c>
    </row>
    <row r="289" spans="1:16" outlineLevel="2" x14ac:dyDescent="0.2">
      <c r="A289" s="5">
        <v>46031</v>
      </c>
      <c r="B289" s="2">
        <v>155847</v>
      </c>
      <c r="C289" s="2">
        <v>325</v>
      </c>
      <c r="D289" s="2" t="s">
        <v>203</v>
      </c>
      <c r="E289" s="2" t="s">
        <v>238</v>
      </c>
      <c r="F289" s="2" t="s">
        <v>55</v>
      </c>
      <c r="G289" s="2" t="s">
        <v>23</v>
      </c>
      <c r="H289" s="2" t="s">
        <v>23</v>
      </c>
      <c r="I289" s="2" t="s">
        <v>23</v>
      </c>
      <c r="J289" s="2">
        <v>2</v>
      </c>
      <c r="K289" s="2" t="s">
        <v>48</v>
      </c>
      <c r="L289" s="2">
        <v>626</v>
      </c>
      <c r="M289" s="2" t="s">
        <v>49</v>
      </c>
      <c r="N289" s="2">
        <v>3</v>
      </c>
      <c r="O289" s="2">
        <v>10331.280000000001</v>
      </c>
      <c r="P289" s="2">
        <v>3443.76</v>
      </c>
    </row>
    <row r="290" spans="1:16" outlineLevel="1" x14ac:dyDescent="0.2">
      <c r="A290" s="5"/>
      <c r="D290" s="3" t="s">
        <v>735</v>
      </c>
      <c r="N290" s="2">
        <f>SUBTOTAL(9,N288:N289)</f>
        <v>9</v>
      </c>
      <c r="O290" s="2">
        <f>SUBTOTAL(9,O288:O289)</f>
        <v>25393.200000000001</v>
      </c>
    </row>
    <row r="291" spans="1:16" outlineLevel="2" x14ac:dyDescent="0.2">
      <c r="A291" s="5">
        <v>46045</v>
      </c>
      <c r="B291" s="2">
        <v>155849</v>
      </c>
      <c r="C291" s="2">
        <v>1</v>
      </c>
      <c r="D291" s="2" t="s">
        <v>54</v>
      </c>
      <c r="E291" s="2" t="s">
        <v>30</v>
      </c>
      <c r="F291" s="2" t="s">
        <v>55</v>
      </c>
      <c r="G291" s="2" t="s">
        <v>23</v>
      </c>
      <c r="H291" s="2" t="s">
        <v>23</v>
      </c>
      <c r="I291" s="2" t="s">
        <v>23</v>
      </c>
      <c r="J291" s="2">
        <v>2</v>
      </c>
      <c r="K291" s="2" t="s">
        <v>48</v>
      </c>
      <c r="L291" s="2">
        <v>25223</v>
      </c>
      <c r="M291" s="2" t="s">
        <v>97</v>
      </c>
      <c r="N291" s="2">
        <v>1</v>
      </c>
      <c r="O291" s="2">
        <v>5310.63</v>
      </c>
      <c r="P291" s="2">
        <v>5310.63</v>
      </c>
    </row>
    <row r="292" spans="1:16" outlineLevel="1" x14ac:dyDescent="0.2">
      <c r="A292" s="5"/>
      <c r="D292" s="3" t="s">
        <v>719</v>
      </c>
      <c r="N292" s="2">
        <f>SUBTOTAL(9,N291:N291)</f>
        <v>1</v>
      </c>
      <c r="O292" s="2">
        <f>SUBTOTAL(9,O291:O291)</f>
        <v>5310.63</v>
      </c>
    </row>
    <row r="293" spans="1:16" outlineLevel="2" x14ac:dyDescent="0.2">
      <c r="A293" s="5">
        <v>46029</v>
      </c>
      <c r="B293" s="2">
        <v>155861</v>
      </c>
      <c r="C293" s="2">
        <v>320</v>
      </c>
      <c r="D293" s="2" t="s">
        <v>45</v>
      </c>
      <c r="E293" s="2" t="s">
        <v>228</v>
      </c>
      <c r="F293" s="2" t="s">
        <v>47</v>
      </c>
      <c r="G293" s="2" t="s">
        <v>22</v>
      </c>
      <c r="H293" s="2" t="s">
        <v>23</v>
      </c>
      <c r="I293" s="2" t="s">
        <v>23</v>
      </c>
      <c r="J293" s="2">
        <v>1</v>
      </c>
      <c r="K293" s="2" t="s">
        <v>24</v>
      </c>
      <c r="L293" s="2">
        <v>141</v>
      </c>
      <c r="M293" s="2" t="s">
        <v>239</v>
      </c>
      <c r="N293" s="2">
        <v>4</v>
      </c>
      <c r="O293" s="2">
        <v>29643.47</v>
      </c>
      <c r="P293" s="2">
        <v>7410.87</v>
      </c>
    </row>
    <row r="294" spans="1:16" outlineLevel="1" x14ac:dyDescent="0.2">
      <c r="A294" s="5"/>
      <c r="D294" s="3" t="s">
        <v>733</v>
      </c>
      <c r="N294" s="2">
        <f>SUBTOTAL(9,N293:N293)</f>
        <v>4</v>
      </c>
      <c r="O294" s="2">
        <f>SUBTOTAL(9,O293:O293)</f>
        <v>29643.47</v>
      </c>
    </row>
    <row r="295" spans="1:16" outlineLevel="2" x14ac:dyDescent="0.2">
      <c r="A295" s="5">
        <v>46055</v>
      </c>
      <c r="B295" s="2">
        <v>155864</v>
      </c>
      <c r="C295" s="2">
        <v>325</v>
      </c>
      <c r="D295" s="2" t="s">
        <v>203</v>
      </c>
      <c r="E295" s="2" t="s">
        <v>125</v>
      </c>
      <c r="F295" s="2" t="s">
        <v>55</v>
      </c>
      <c r="G295" s="2" t="s">
        <v>23</v>
      </c>
      <c r="H295" s="2" t="s">
        <v>23</v>
      </c>
      <c r="I295" s="2" t="s">
        <v>23</v>
      </c>
      <c r="J295" s="2">
        <v>2</v>
      </c>
      <c r="K295" s="2" t="s">
        <v>48</v>
      </c>
      <c r="L295" s="2">
        <v>2102</v>
      </c>
      <c r="M295" s="2" t="s">
        <v>240</v>
      </c>
      <c r="N295" s="2">
        <v>3</v>
      </c>
      <c r="O295" s="2">
        <v>10313.85</v>
      </c>
      <c r="P295" s="2">
        <v>3437.95</v>
      </c>
    </row>
    <row r="296" spans="1:16" outlineLevel="1" x14ac:dyDescent="0.2">
      <c r="A296" s="5"/>
      <c r="D296" s="3" t="s">
        <v>735</v>
      </c>
      <c r="N296" s="2">
        <f>SUBTOTAL(9,N295:N295)</f>
        <v>3</v>
      </c>
      <c r="O296" s="2">
        <f>SUBTOTAL(9,O295:O295)</f>
        <v>10313.85</v>
      </c>
    </row>
    <row r="297" spans="1:16" outlineLevel="2" x14ac:dyDescent="0.2">
      <c r="A297" s="5">
        <v>46043</v>
      </c>
      <c r="B297" s="2">
        <v>155868</v>
      </c>
      <c r="C297" s="2">
        <v>315</v>
      </c>
      <c r="D297" s="2" t="s">
        <v>54</v>
      </c>
      <c r="E297" s="2" t="s">
        <v>20</v>
      </c>
      <c r="F297" s="2" t="s">
        <v>55</v>
      </c>
      <c r="G297" s="2" t="s">
        <v>23</v>
      </c>
      <c r="H297" s="2" t="s">
        <v>23</v>
      </c>
      <c r="I297" s="2" t="s">
        <v>23</v>
      </c>
      <c r="J297" s="2">
        <v>2</v>
      </c>
      <c r="K297" s="2" t="s">
        <v>48</v>
      </c>
      <c r="L297" s="2">
        <v>25095</v>
      </c>
      <c r="M297" s="2" t="s">
        <v>216</v>
      </c>
      <c r="N297" s="2">
        <v>10</v>
      </c>
      <c r="O297" s="2">
        <v>30703.79</v>
      </c>
      <c r="P297" s="2">
        <v>3070.38</v>
      </c>
    </row>
    <row r="298" spans="1:16" outlineLevel="1" x14ac:dyDescent="0.2">
      <c r="A298" s="5"/>
      <c r="D298" s="3" t="s">
        <v>719</v>
      </c>
      <c r="N298" s="2">
        <f>SUBTOTAL(9,N297:N297)</f>
        <v>10</v>
      </c>
      <c r="O298" s="2">
        <f>SUBTOTAL(9,O297:O297)</f>
        <v>30703.79</v>
      </c>
    </row>
    <row r="299" spans="1:16" outlineLevel="2" x14ac:dyDescent="0.2">
      <c r="A299" s="5">
        <v>46036</v>
      </c>
      <c r="B299" s="2">
        <v>155870</v>
      </c>
      <c r="C299" s="2">
        <v>2</v>
      </c>
      <c r="D299" s="2" t="s">
        <v>38</v>
      </c>
      <c r="E299" s="2" t="s">
        <v>39</v>
      </c>
      <c r="F299" s="2" t="s">
        <v>63</v>
      </c>
      <c r="G299" s="2" t="s">
        <v>22</v>
      </c>
      <c r="H299" s="2" t="s">
        <v>41</v>
      </c>
      <c r="I299" s="2" t="s">
        <v>133</v>
      </c>
      <c r="J299" s="2">
        <v>1</v>
      </c>
      <c r="K299" s="2" t="s">
        <v>24</v>
      </c>
      <c r="L299" s="2">
        <v>817</v>
      </c>
      <c r="M299" s="2" t="s">
        <v>117</v>
      </c>
      <c r="N299" s="2">
        <v>89</v>
      </c>
      <c r="O299" s="2">
        <v>4350541.13</v>
      </c>
      <c r="P299" s="2">
        <v>48882.48</v>
      </c>
    </row>
    <row r="300" spans="1:16" outlineLevel="2" x14ac:dyDescent="0.2">
      <c r="A300" s="5">
        <v>46030</v>
      </c>
      <c r="B300" s="2">
        <v>155870</v>
      </c>
      <c r="C300" s="2">
        <v>3</v>
      </c>
      <c r="D300" s="2" t="s">
        <v>38</v>
      </c>
      <c r="E300" s="2" t="s">
        <v>39</v>
      </c>
      <c r="F300" s="2" t="s">
        <v>63</v>
      </c>
      <c r="G300" s="2" t="s">
        <v>22</v>
      </c>
      <c r="H300" s="2" t="s">
        <v>23</v>
      </c>
      <c r="I300" s="2" t="s">
        <v>23</v>
      </c>
      <c r="J300" s="2">
        <v>124</v>
      </c>
      <c r="K300" s="2" t="s">
        <v>155</v>
      </c>
      <c r="L300" s="2">
        <v>817</v>
      </c>
      <c r="M300" s="2" t="s">
        <v>117</v>
      </c>
      <c r="N300" s="2">
        <v>120</v>
      </c>
      <c r="O300" s="2">
        <v>8374071.04</v>
      </c>
      <c r="P300" s="2">
        <v>69783.929999999993</v>
      </c>
    </row>
    <row r="301" spans="1:16" outlineLevel="2" x14ac:dyDescent="0.2">
      <c r="A301" s="5">
        <v>46036</v>
      </c>
      <c r="B301" s="2">
        <v>155871</v>
      </c>
      <c r="C301" s="2">
        <v>2</v>
      </c>
      <c r="D301" s="2" t="s">
        <v>38</v>
      </c>
      <c r="E301" s="2" t="s">
        <v>39</v>
      </c>
      <c r="F301" s="2" t="s">
        <v>63</v>
      </c>
      <c r="G301" s="2" t="s">
        <v>22</v>
      </c>
      <c r="H301" s="2" t="s">
        <v>41</v>
      </c>
      <c r="I301" s="2" t="s">
        <v>116</v>
      </c>
      <c r="J301" s="2">
        <v>1</v>
      </c>
      <c r="K301" s="2" t="s">
        <v>24</v>
      </c>
      <c r="L301" s="2">
        <v>1846</v>
      </c>
      <c r="M301" s="2" t="s">
        <v>134</v>
      </c>
      <c r="N301" s="2">
        <v>261</v>
      </c>
      <c r="O301" s="2">
        <v>16295423.720000001</v>
      </c>
      <c r="P301" s="2">
        <v>62434.57</v>
      </c>
    </row>
    <row r="302" spans="1:16" outlineLevel="2" x14ac:dyDescent="0.2">
      <c r="A302" s="5">
        <v>46043</v>
      </c>
      <c r="B302" s="2">
        <v>155871</v>
      </c>
      <c r="C302" s="2">
        <v>3</v>
      </c>
      <c r="D302" s="2" t="s">
        <v>38</v>
      </c>
      <c r="E302" s="2" t="s">
        <v>39</v>
      </c>
      <c r="F302" s="2" t="s">
        <v>63</v>
      </c>
      <c r="G302" s="2" t="s">
        <v>22</v>
      </c>
      <c r="H302" s="2" t="s">
        <v>41</v>
      </c>
      <c r="I302" s="2" t="s">
        <v>135</v>
      </c>
      <c r="J302" s="2">
        <v>1</v>
      </c>
      <c r="K302" s="2" t="s">
        <v>24</v>
      </c>
      <c r="L302" s="2">
        <v>1846</v>
      </c>
      <c r="M302" s="2" t="s">
        <v>134</v>
      </c>
      <c r="N302" s="2">
        <v>176</v>
      </c>
      <c r="O302" s="2">
        <v>10821502.130000001</v>
      </c>
      <c r="P302" s="2">
        <v>61485.81</v>
      </c>
    </row>
    <row r="303" spans="1:16" outlineLevel="2" x14ac:dyDescent="0.2">
      <c r="A303" s="5">
        <v>46027</v>
      </c>
      <c r="B303" s="2">
        <v>155872</v>
      </c>
      <c r="C303" s="2">
        <v>1</v>
      </c>
      <c r="D303" s="2" t="s">
        <v>38</v>
      </c>
      <c r="E303" s="2" t="s">
        <v>39</v>
      </c>
      <c r="F303" s="2" t="s">
        <v>63</v>
      </c>
      <c r="G303" s="2" t="s">
        <v>22</v>
      </c>
      <c r="H303" s="2" t="s">
        <v>41</v>
      </c>
      <c r="I303" s="2" t="s">
        <v>116</v>
      </c>
      <c r="J303" s="2">
        <v>1</v>
      </c>
      <c r="K303" s="2" t="s">
        <v>24</v>
      </c>
      <c r="L303" s="2">
        <v>1846</v>
      </c>
      <c r="M303" s="2" t="s">
        <v>134</v>
      </c>
      <c r="N303" s="2">
        <v>484</v>
      </c>
      <c r="O303" s="2">
        <v>32165482.68</v>
      </c>
      <c r="P303" s="2">
        <v>66457.61</v>
      </c>
    </row>
    <row r="304" spans="1:16" outlineLevel="2" x14ac:dyDescent="0.2">
      <c r="A304" s="5">
        <v>46027</v>
      </c>
      <c r="B304" s="2">
        <v>155872</v>
      </c>
      <c r="C304" s="2">
        <v>2</v>
      </c>
      <c r="D304" s="2" t="s">
        <v>38</v>
      </c>
      <c r="E304" s="2" t="s">
        <v>39</v>
      </c>
      <c r="F304" s="2" t="s">
        <v>63</v>
      </c>
      <c r="G304" s="2" t="s">
        <v>22</v>
      </c>
      <c r="H304" s="2" t="s">
        <v>41</v>
      </c>
      <c r="I304" s="2" t="s">
        <v>135</v>
      </c>
      <c r="J304" s="2">
        <v>1</v>
      </c>
      <c r="K304" s="2" t="s">
        <v>24</v>
      </c>
      <c r="L304" s="2">
        <v>1846</v>
      </c>
      <c r="M304" s="2" t="s">
        <v>134</v>
      </c>
      <c r="N304" s="2">
        <v>552</v>
      </c>
      <c r="O304" s="2">
        <v>36545435.219999999</v>
      </c>
      <c r="P304" s="2">
        <v>66205.5</v>
      </c>
    </row>
    <row r="305" spans="1:16" outlineLevel="2" x14ac:dyDescent="0.2">
      <c r="A305" s="5">
        <v>46029</v>
      </c>
      <c r="B305" s="2">
        <v>155872</v>
      </c>
      <c r="C305" s="2">
        <v>3</v>
      </c>
      <c r="D305" s="2" t="s">
        <v>38</v>
      </c>
      <c r="E305" s="2" t="s">
        <v>39</v>
      </c>
      <c r="F305" s="2" t="s">
        <v>63</v>
      </c>
      <c r="G305" s="2" t="s">
        <v>22</v>
      </c>
      <c r="H305" s="2" t="s">
        <v>41</v>
      </c>
      <c r="I305" s="2" t="s">
        <v>133</v>
      </c>
      <c r="J305" s="2">
        <v>1</v>
      </c>
      <c r="K305" s="2" t="s">
        <v>24</v>
      </c>
      <c r="L305" s="2">
        <v>1846</v>
      </c>
      <c r="M305" s="2" t="s">
        <v>134</v>
      </c>
      <c r="N305" s="2">
        <v>446</v>
      </c>
      <c r="O305" s="2">
        <v>24090499.16</v>
      </c>
      <c r="P305" s="2">
        <v>54014.57</v>
      </c>
    </row>
    <row r="306" spans="1:16" outlineLevel="1" x14ac:dyDescent="0.2">
      <c r="A306" s="5"/>
      <c r="D306" s="3" t="s">
        <v>721</v>
      </c>
      <c r="N306" s="2">
        <f>SUBTOTAL(9,N299:N305)</f>
        <v>2128</v>
      </c>
      <c r="O306" s="2">
        <f>SUBTOTAL(9,O299:O305)</f>
        <v>132642955.08</v>
      </c>
    </row>
    <row r="307" spans="1:16" outlineLevel="2" x14ac:dyDescent="0.2">
      <c r="A307" s="5">
        <v>46157</v>
      </c>
      <c r="B307" s="2">
        <v>155873</v>
      </c>
      <c r="C307" s="2">
        <v>303</v>
      </c>
      <c r="D307" s="2" t="s">
        <v>186</v>
      </c>
      <c r="E307" s="2" t="s">
        <v>30</v>
      </c>
      <c r="F307" s="2" t="s">
        <v>187</v>
      </c>
      <c r="G307" s="2" t="s">
        <v>22</v>
      </c>
      <c r="H307" s="2" t="s">
        <v>23</v>
      </c>
      <c r="I307" s="2" t="s">
        <v>23</v>
      </c>
      <c r="J307" s="2">
        <v>2</v>
      </c>
      <c r="K307" s="2" t="s">
        <v>48</v>
      </c>
      <c r="L307" s="2">
        <v>25144</v>
      </c>
      <c r="M307" s="2" t="s">
        <v>189</v>
      </c>
      <c r="N307" s="2">
        <v>38</v>
      </c>
      <c r="O307" s="2">
        <v>176145.06</v>
      </c>
      <c r="P307" s="2">
        <v>4635.3999999999996</v>
      </c>
    </row>
    <row r="308" spans="1:16" outlineLevel="1" x14ac:dyDescent="0.2">
      <c r="A308" s="5"/>
      <c r="D308" s="3" t="s">
        <v>731</v>
      </c>
      <c r="N308" s="2">
        <f>SUBTOTAL(9,N307:N307)</f>
        <v>38</v>
      </c>
      <c r="O308" s="2">
        <f>SUBTOTAL(9,O307:O307)</f>
        <v>176145.06</v>
      </c>
    </row>
    <row r="309" spans="1:16" outlineLevel="2" x14ac:dyDescent="0.2">
      <c r="A309" s="5">
        <v>46031</v>
      </c>
      <c r="B309" s="2">
        <v>155911</v>
      </c>
      <c r="C309" s="2">
        <v>1</v>
      </c>
      <c r="D309" s="2" t="s">
        <v>70</v>
      </c>
      <c r="E309" s="2" t="s">
        <v>23</v>
      </c>
      <c r="F309" s="2" t="s">
        <v>72</v>
      </c>
      <c r="G309" s="2" t="s">
        <v>22</v>
      </c>
      <c r="H309" s="2" t="s">
        <v>23</v>
      </c>
      <c r="I309" s="2" t="s">
        <v>23</v>
      </c>
      <c r="J309" s="2">
        <v>86</v>
      </c>
      <c r="K309" s="2" t="s">
        <v>73</v>
      </c>
      <c r="L309" s="2">
        <v>25073</v>
      </c>
      <c r="M309" s="2" t="s">
        <v>148</v>
      </c>
      <c r="N309" s="2">
        <v>499</v>
      </c>
      <c r="O309" s="2">
        <v>3115134.77</v>
      </c>
      <c r="P309" s="2">
        <v>6242.76</v>
      </c>
    </row>
    <row r="310" spans="1:16" outlineLevel="2" x14ac:dyDescent="0.2">
      <c r="A310" s="5">
        <v>46036</v>
      </c>
      <c r="B310" s="2">
        <v>155911</v>
      </c>
      <c r="C310" s="2">
        <v>2</v>
      </c>
      <c r="D310" s="2" t="s">
        <v>70</v>
      </c>
      <c r="E310" s="2" t="s">
        <v>23</v>
      </c>
      <c r="F310" s="2" t="s">
        <v>72</v>
      </c>
      <c r="G310" s="2" t="s">
        <v>22</v>
      </c>
      <c r="H310" s="2" t="s">
        <v>23</v>
      </c>
      <c r="I310" s="2" t="s">
        <v>23</v>
      </c>
      <c r="J310" s="2">
        <v>86</v>
      </c>
      <c r="K310" s="2" t="s">
        <v>73</v>
      </c>
      <c r="L310" s="2">
        <v>25073</v>
      </c>
      <c r="M310" s="2" t="s">
        <v>148</v>
      </c>
      <c r="N310" s="2">
        <v>25</v>
      </c>
      <c r="O310" s="2">
        <v>192505.89</v>
      </c>
      <c r="P310" s="2">
        <v>7700.24</v>
      </c>
    </row>
    <row r="311" spans="1:16" outlineLevel="2" x14ac:dyDescent="0.2">
      <c r="A311" s="5">
        <v>46029</v>
      </c>
      <c r="B311" s="2">
        <v>155911</v>
      </c>
      <c r="C311" s="2">
        <v>3</v>
      </c>
      <c r="D311" s="2" t="s">
        <v>70</v>
      </c>
      <c r="E311" s="2" t="s">
        <v>23</v>
      </c>
      <c r="F311" s="2" t="s">
        <v>72</v>
      </c>
      <c r="G311" s="2" t="s">
        <v>22</v>
      </c>
      <c r="H311" s="2" t="s">
        <v>23</v>
      </c>
      <c r="I311" s="2" t="s">
        <v>23</v>
      </c>
      <c r="J311" s="2">
        <v>86</v>
      </c>
      <c r="K311" s="2" t="s">
        <v>73</v>
      </c>
      <c r="L311" s="2">
        <v>25073</v>
      </c>
      <c r="M311" s="2" t="s">
        <v>148</v>
      </c>
      <c r="N311" s="2">
        <v>170</v>
      </c>
      <c r="O311" s="2">
        <v>962547.72</v>
      </c>
      <c r="P311" s="2">
        <v>5662.05</v>
      </c>
    </row>
    <row r="312" spans="1:16" outlineLevel="1" x14ac:dyDescent="0.2">
      <c r="A312" s="5"/>
      <c r="D312" s="3" t="s">
        <v>695</v>
      </c>
      <c r="N312" s="2">
        <f>SUBTOTAL(9,N309:N311)</f>
        <v>694</v>
      </c>
      <c r="O312" s="2">
        <f>SUBTOTAL(9,O309:O311)</f>
        <v>4270188.38</v>
      </c>
    </row>
    <row r="313" spans="1:16" outlineLevel="2" x14ac:dyDescent="0.2">
      <c r="A313" s="5">
        <v>46031</v>
      </c>
      <c r="B313" s="2">
        <v>155915</v>
      </c>
      <c r="C313" s="2">
        <v>5</v>
      </c>
      <c r="D313" s="2" t="s">
        <v>38</v>
      </c>
      <c r="E313" s="2" t="s">
        <v>39</v>
      </c>
      <c r="F313" s="2" t="s">
        <v>63</v>
      </c>
      <c r="G313" s="2" t="s">
        <v>22</v>
      </c>
      <c r="H313" s="2" t="s">
        <v>23</v>
      </c>
      <c r="I313" s="2" t="s">
        <v>23</v>
      </c>
      <c r="J313" s="2">
        <v>124</v>
      </c>
      <c r="K313" s="2" t="s">
        <v>155</v>
      </c>
      <c r="L313" s="2">
        <v>1846</v>
      </c>
      <c r="M313" s="2" t="s">
        <v>134</v>
      </c>
      <c r="N313" s="2">
        <v>55</v>
      </c>
      <c r="O313" s="2">
        <v>3834485.6</v>
      </c>
      <c r="P313" s="2">
        <v>69717.919999999998</v>
      </c>
    </row>
    <row r="314" spans="1:16" outlineLevel="1" x14ac:dyDescent="0.2">
      <c r="A314" s="5"/>
      <c r="D314" s="3" t="s">
        <v>721</v>
      </c>
      <c r="N314" s="2">
        <f>SUBTOTAL(9,N313:N313)</f>
        <v>55</v>
      </c>
      <c r="O314" s="2">
        <f>SUBTOTAL(9,O313:O313)</f>
        <v>3834485.6</v>
      </c>
    </row>
    <row r="315" spans="1:16" outlineLevel="2" x14ac:dyDescent="0.2">
      <c r="A315" s="5">
        <v>46036</v>
      </c>
      <c r="B315" s="2">
        <v>155920</v>
      </c>
      <c r="C315" s="2">
        <v>315</v>
      </c>
      <c r="D315" s="2" t="s">
        <v>110</v>
      </c>
      <c r="E315" s="2" t="s">
        <v>111</v>
      </c>
      <c r="F315" s="2" t="s">
        <v>55</v>
      </c>
      <c r="G315" s="2" t="s">
        <v>23</v>
      </c>
      <c r="H315" s="2" t="s">
        <v>23</v>
      </c>
      <c r="I315" s="2" t="s">
        <v>23</v>
      </c>
      <c r="J315" s="2">
        <v>2</v>
      </c>
      <c r="K315" s="2" t="s">
        <v>48</v>
      </c>
      <c r="L315" s="2">
        <v>600</v>
      </c>
      <c r="M315" s="2" t="s">
        <v>112</v>
      </c>
      <c r="N315" s="2">
        <v>2</v>
      </c>
      <c r="O315" s="2">
        <v>5020.6400000000003</v>
      </c>
      <c r="P315" s="2">
        <v>2510.3200000000002</v>
      </c>
    </row>
    <row r="316" spans="1:16" outlineLevel="1" x14ac:dyDescent="0.2">
      <c r="A316" s="5"/>
      <c r="D316" s="3" t="s">
        <v>697</v>
      </c>
      <c r="N316" s="2">
        <f>SUBTOTAL(9,N315:N315)</f>
        <v>2</v>
      </c>
      <c r="O316" s="2">
        <f>SUBTOTAL(9,O315:O315)</f>
        <v>5020.6400000000003</v>
      </c>
    </row>
    <row r="317" spans="1:16" outlineLevel="2" x14ac:dyDescent="0.2">
      <c r="A317" s="5">
        <v>46031</v>
      </c>
      <c r="B317" s="2">
        <v>155923</v>
      </c>
      <c r="C317" s="2">
        <v>325</v>
      </c>
      <c r="D317" s="2" t="s">
        <v>45</v>
      </c>
      <c r="E317" s="2" t="s">
        <v>46</v>
      </c>
      <c r="F317" s="2" t="s">
        <v>55</v>
      </c>
      <c r="G317" s="2" t="s">
        <v>23</v>
      </c>
      <c r="H317" s="2" t="s">
        <v>23</v>
      </c>
      <c r="I317" s="2" t="s">
        <v>23</v>
      </c>
      <c r="J317" s="2">
        <v>2</v>
      </c>
      <c r="K317" s="2" t="s">
        <v>48</v>
      </c>
      <c r="L317" s="2">
        <v>1557</v>
      </c>
      <c r="M317" s="2" t="s">
        <v>98</v>
      </c>
      <c r="N317" s="2">
        <v>1</v>
      </c>
      <c r="O317" s="2">
        <v>7177.51</v>
      </c>
      <c r="P317" s="2">
        <v>7177.51</v>
      </c>
    </row>
    <row r="318" spans="1:16" outlineLevel="2" x14ac:dyDescent="0.2">
      <c r="A318" s="5">
        <v>46038</v>
      </c>
      <c r="B318" s="2">
        <v>155924</v>
      </c>
      <c r="C318" s="2">
        <v>302</v>
      </c>
      <c r="D318" s="2" t="s">
        <v>45</v>
      </c>
      <c r="E318" s="2" t="s">
        <v>46</v>
      </c>
      <c r="F318" s="2" t="s">
        <v>55</v>
      </c>
      <c r="G318" s="2" t="s">
        <v>23</v>
      </c>
      <c r="H318" s="2" t="s">
        <v>23</v>
      </c>
      <c r="I318" s="2" t="s">
        <v>23</v>
      </c>
      <c r="J318" s="2">
        <v>2</v>
      </c>
      <c r="K318" s="2" t="s">
        <v>48</v>
      </c>
      <c r="L318" s="2">
        <v>2276</v>
      </c>
      <c r="M318" s="2" t="s">
        <v>156</v>
      </c>
      <c r="N318" s="2">
        <v>5</v>
      </c>
      <c r="O318" s="2">
        <v>49889.15</v>
      </c>
      <c r="P318" s="2">
        <v>9977.83</v>
      </c>
    </row>
    <row r="319" spans="1:16" outlineLevel="2" x14ac:dyDescent="0.2">
      <c r="A319" s="5">
        <v>46050</v>
      </c>
      <c r="B319" s="2">
        <v>155924</v>
      </c>
      <c r="C319" s="2">
        <v>315</v>
      </c>
      <c r="D319" s="2" t="s">
        <v>45</v>
      </c>
      <c r="E319" s="2" t="s">
        <v>46</v>
      </c>
      <c r="F319" s="2" t="s">
        <v>55</v>
      </c>
      <c r="G319" s="2" t="s">
        <v>23</v>
      </c>
      <c r="H319" s="2" t="s">
        <v>23</v>
      </c>
      <c r="I319" s="2" t="s">
        <v>23</v>
      </c>
      <c r="J319" s="2">
        <v>2</v>
      </c>
      <c r="K319" s="2" t="s">
        <v>48</v>
      </c>
      <c r="L319" s="2">
        <v>2276</v>
      </c>
      <c r="M319" s="2" t="s">
        <v>156</v>
      </c>
      <c r="N319" s="2">
        <v>5</v>
      </c>
      <c r="O319" s="2">
        <v>31220.35</v>
      </c>
      <c r="P319" s="2">
        <v>6244.07</v>
      </c>
    </row>
    <row r="320" spans="1:16" outlineLevel="1" x14ac:dyDescent="0.2">
      <c r="A320" s="5"/>
      <c r="D320" s="3" t="s">
        <v>733</v>
      </c>
      <c r="N320" s="2">
        <f>SUBTOTAL(9,N317:N319)</f>
        <v>11</v>
      </c>
      <c r="O320" s="2">
        <f>SUBTOTAL(9,O317:O319)</f>
        <v>88287.010000000009</v>
      </c>
    </row>
    <row r="321" spans="1:16" outlineLevel="2" x14ac:dyDescent="0.2">
      <c r="A321" s="5">
        <v>46029</v>
      </c>
      <c r="B321" s="2">
        <v>155926</v>
      </c>
      <c r="C321" s="2">
        <v>1</v>
      </c>
      <c r="D321" s="2" t="s">
        <v>140</v>
      </c>
      <c r="E321" s="2" t="s">
        <v>141</v>
      </c>
      <c r="F321" s="2" t="s">
        <v>108</v>
      </c>
      <c r="G321" s="2" t="s">
        <v>22</v>
      </c>
      <c r="H321" s="2" t="s">
        <v>23</v>
      </c>
      <c r="I321" s="2" t="s">
        <v>23</v>
      </c>
      <c r="J321" s="2">
        <v>1</v>
      </c>
      <c r="K321" s="2" t="s">
        <v>24</v>
      </c>
      <c r="L321" s="2">
        <v>1833</v>
      </c>
      <c r="M321" s="2" t="s">
        <v>142</v>
      </c>
      <c r="N321" s="2">
        <v>54</v>
      </c>
      <c r="O321" s="2">
        <v>1771812.71</v>
      </c>
      <c r="P321" s="2">
        <v>32811.35</v>
      </c>
    </row>
    <row r="322" spans="1:16" outlineLevel="1" x14ac:dyDescent="0.2">
      <c r="A322" s="5"/>
      <c r="D322" s="3" t="s">
        <v>696</v>
      </c>
      <c r="N322" s="2">
        <f>SUBTOTAL(9,N321:N321)</f>
        <v>54</v>
      </c>
      <c r="O322" s="2">
        <f>SUBTOTAL(9,O321:O321)</f>
        <v>1771812.71</v>
      </c>
    </row>
    <row r="323" spans="1:16" outlineLevel="2" x14ac:dyDescent="0.2">
      <c r="A323" s="5">
        <v>46029</v>
      </c>
      <c r="B323" s="2">
        <v>155927</v>
      </c>
      <c r="C323" s="2">
        <v>1</v>
      </c>
      <c r="D323" s="2" t="s">
        <v>207</v>
      </c>
      <c r="E323" s="2" t="s">
        <v>23</v>
      </c>
      <c r="F323" s="2" t="s">
        <v>47</v>
      </c>
      <c r="G323" s="2" t="s">
        <v>22</v>
      </c>
      <c r="H323" s="2" t="s">
        <v>23</v>
      </c>
      <c r="I323" s="2" t="s">
        <v>23</v>
      </c>
      <c r="J323" s="2">
        <v>1</v>
      </c>
      <c r="K323" s="2" t="s">
        <v>24</v>
      </c>
      <c r="L323" s="2">
        <v>25213</v>
      </c>
      <c r="M323" s="2" t="s">
        <v>130</v>
      </c>
      <c r="N323" s="2">
        <v>3</v>
      </c>
      <c r="O323" s="2">
        <v>195152.19</v>
      </c>
      <c r="P323" s="2">
        <v>65050.73</v>
      </c>
    </row>
    <row r="324" spans="1:16" outlineLevel="1" x14ac:dyDescent="0.2">
      <c r="A324" s="5"/>
      <c r="D324" s="3" t="s">
        <v>699</v>
      </c>
      <c r="N324" s="2">
        <f>SUBTOTAL(9,N323:N323)</f>
        <v>3</v>
      </c>
      <c r="O324" s="2">
        <f>SUBTOTAL(9,O323:O323)</f>
        <v>195152.19</v>
      </c>
    </row>
    <row r="325" spans="1:16" outlineLevel="2" x14ac:dyDescent="0.2">
      <c r="A325" s="5">
        <v>46029</v>
      </c>
      <c r="B325" s="2">
        <v>155927</v>
      </c>
      <c r="C325" s="2">
        <v>2</v>
      </c>
      <c r="D325" s="2" t="s">
        <v>128</v>
      </c>
      <c r="E325" s="2" t="s">
        <v>23</v>
      </c>
      <c r="F325" s="2" t="s">
        <v>47</v>
      </c>
      <c r="G325" s="2" t="s">
        <v>22</v>
      </c>
      <c r="H325" s="2" t="s">
        <v>23</v>
      </c>
      <c r="I325" s="2" t="s">
        <v>23</v>
      </c>
      <c r="J325" s="2">
        <v>41</v>
      </c>
      <c r="K325" s="2" t="s">
        <v>129</v>
      </c>
      <c r="L325" s="2">
        <v>25213</v>
      </c>
      <c r="M325" s="2" t="s">
        <v>130</v>
      </c>
      <c r="N325" s="2">
        <v>100</v>
      </c>
      <c r="O325" s="2">
        <v>340361.28</v>
      </c>
      <c r="P325" s="2">
        <v>3403.61</v>
      </c>
    </row>
    <row r="326" spans="1:16" outlineLevel="1" x14ac:dyDescent="0.2">
      <c r="A326" s="5"/>
      <c r="D326" s="3" t="s">
        <v>732</v>
      </c>
      <c r="N326" s="2">
        <f>SUBTOTAL(9,N325:N325)</f>
        <v>100</v>
      </c>
      <c r="O326" s="2">
        <f>SUBTOTAL(9,O325:O325)</f>
        <v>340361.28</v>
      </c>
    </row>
    <row r="327" spans="1:16" outlineLevel="2" x14ac:dyDescent="0.2">
      <c r="A327" s="5">
        <v>46029</v>
      </c>
      <c r="B327" s="2">
        <v>155927</v>
      </c>
      <c r="C327" s="2">
        <v>3</v>
      </c>
      <c r="D327" s="2" t="s">
        <v>207</v>
      </c>
      <c r="E327" s="2" t="s">
        <v>23</v>
      </c>
      <c r="F327" s="2" t="s">
        <v>47</v>
      </c>
      <c r="G327" s="2" t="s">
        <v>22</v>
      </c>
      <c r="H327" s="2" t="s">
        <v>209</v>
      </c>
      <c r="I327" s="2" t="s">
        <v>23</v>
      </c>
      <c r="J327" s="2">
        <v>41</v>
      </c>
      <c r="K327" s="2" t="s">
        <v>129</v>
      </c>
      <c r="L327" s="2">
        <v>25213</v>
      </c>
      <c r="M327" s="2" t="s">
        <v>130</v>
      </c>
      <c r="N327" s="2">
        <v>75</v>
      </c>
      <c r="O327" s="2">
        <v>199411.84</v>
      </c>
      <c r="P327" s="2">
        <v>2658.82</v>
      </c>
    </row>
    <row r="328" spans="1:16" outlineLevel="2" x14ac:dyDescent="0.2">
      <c r="A328" s="5">
        <v>46036</v>
      </c>
      <c r="B328" s="2">
        <v>155927</v>
      </c>
      <c r="C328" s="2">
        <v>4</v>
      </c>
      <c r="D328" s="2" t="s">
        <v>207</v>
      </c>
      <c r="E328" s="2" t="s">
        <v>23</v>
      </c>
      <c r="F328" s="2" t="s">
        <v>47</v>
      </c>
      <c r="G328" s="2" t="s">
        <v>22</v>
      </c>
      <c r="H328" s="2" t="s">
        <v>208</v>
      </c>
      <c r="I328" s="2" t="s">
        <v>23</v>
      </c>
      <c r="J328" s="2">
        <v>41</v>
      </c>
      <c r="K328" s="2" t="s">
        <v>129</v>
      </c>
      <c r="L328" s="2">
        <v>25213</v>
      </c>
      <c r="M328" s="2" t="s">
        <v>130</v>
      </c>
      <c r="N328" s="2">
        <v>22</v>
      </c>
      <c r="O328" s="2">
        <v>40758.67</v>
      </c>
      <c r="P328" s="2">
        <v>1852.67</v>
      </c>
    </row>
    <row r="329" spans="1:16" outlineLevel="1" x14ac:dyDescent="0.2">
      <c r="A329" s="5"/>
      <c r="D329" s="3" t="s">
        <v>699</v>
      </c>
      <c r="N329" s="2">
        <f>SUBTOTAL(9,N327:N328)</f>
        <v>97</v>
      </c>
      <c r="O329" s="2">
        <f>SUBTOTAL(9,O327:O328)</f>
        <v>240170.51</v>
      </c>
    </row>
    <row r="330" spans="1:16" outlineLevel="2" x14ac:dyDescent="0.2">
      <c r="A330" s="5">
        <v>46029</v>
      </c>
      <c r="B330" s="2">
        <v>155928</v>
      </c>
      <c r="C330" s="2">
        <v>1</v>
      </c>
      <c r="D330" s="2" t="s">
        <v>45</v>
      </c>
      <c r="E330" s="2" t="s">
        <v>228</v>
      </c>
      <c r="F330" s="2" t="s">
        <v>47</v>
      </c>
      <c r="G330" s="2" t="s">
        <v>22</v>
      </c>
      <c r="H330" s="2" t="s">
        <v>23</v>
      </c>
      <c r="I330" s="2" t="s">
        <v>23</v>
      </c>
      <c r="J330" s="2">
        <v>41</v>
      </c>
      <c r="K330" s="2" t="s">
        <v>129</v>
      </c>
      <c r="L330" s="2">
        <v>1964</v>
      </c>
      <c r="M330" s="2" t="s">
        <v>49</v>
      </c>
      <c r="N330" s="2">
        <v>9</v>
      </c>
      <c r="O330" s="2">
        <v>143296.46</v>
      </c>
      <c r="P330" s="2">
        <v>15921.83</v>
      </c>
    </row>
    <row r="331" spans="1:16" outlineLevel="2" x14ac:dyDescent="0.2">
      <c r="A331" s="5">
        <v>46029</v>
      </c>
      <c r="B331" s="2">
        <v>155928</v>
      </c>
      <c r="C331" s="2">
        <v>2</v>
      </c>
      <c r="D331" s="2" t="s">
        <v>45</v>
      </c>
      <c r="E331" s="2" t="s">
        <v>227</v>
      </c>
      <c r="F331" s="2" t="s">
        <v>47</v>
      </c>
      <c r="G331" s="2" t="s">
        <v>22</v>
      </c>
      <c r="H331" s="2" t="s">
        <v>23</v>
      </c>
      <c r="I331" s="2" t="s">
        <v>23</v>
      </c>
      <c r="J331" s="2">
        <v>41</v>
      </c>
      <c r="K331" s="2" t="s">
        <v>129</v>
      </c>
      <c r="L331" s="2">
        <v>1964</v>
      </c>
      <c r="M331" s="2" t="s">
        <v>49</v>
      </c>
      <c r="N331" s="2">
        <v>47</v>
      </c>
      <c r="O331" s="2">
        <v>492293.74</v>
      </c>
      <c r="P331" s="2">
        <v>10474.33</v>
      </c>
    </row>
    <row r="332" spans="1:16" outlineLevel="1" x14ac:dyDescent="0.2">
      <c r="A332" s="5"/>
      <c r="D332" s="3" t="s">
        <v>733</v>
      </c>
      <c r="N332" s="2">
        <f>SUBTOTAL(9,N330:N331)</f>
        <v>56</v>
      </c>
      <c r="O332" s="2">
        <f>SUBTOTAL(9,O330:O331)</f>
        <v>635590.19999999995</v>
      </c>
    </row>
    <row r="333" spans="1:16" outlineLevel="2" x14ac:dyDescent="0.2">
      <c r="A333" s="5">
        <v>46029</v>
      </c>
      <c r="B333" s="2">
        <v>155928</v>
      </c>
      <c r="C333" s="2">
        <v>3</v>
      </c>
      <c r="D333" s="2" t="s">
        <v>226</v>
      </c>
      <c r="E333" s="2" t="s">
        <v>227</v>
      </c>
      <c r="F333" s="2" t="s">
        <v>47</v>
      </c>
      <c r="G333" s="2" t="s">
        <v>22</v>
      </c>
      <c r="H333" s="2" t="s">
        <v>23</v>
      </c>
      <c r="I333" s="2" t="s">
        <v>23</v>
      </c>
      <c r="J333" s="2">
        <v>41</v>
      </c>
      <c r="K333" s="2" t="s">
        <v>129</v>
      </c>
      <c r="L333" s="2">
        <v>1964</v>
      </c>
      <c r="M333" s="2" t="s">
        <v>49</v>
      </c>
      <c r="N333" s="2">
        <v>48</v>
      </c>
      <c r="O333" s="2">
        <v>905453.68</v>
      </c>
      <c r="P333" s="2">
        <v>18863.62</v>
      </c>
    </row>
    <row r="334" spans="1:16" outlineLevel="1" x14ac:dyDescent="0.2">
      <c r="A334" s="5"/>
      <c r="D334" s="3" t="s">
        <v>736</v>
      </c>
      <c r="N334" s="2">
        <f>SUBTOTAL(9,N333:N333)</f>
        <v>48</v>
      </c>
      <c r="O334" s="2">
        <f>SUBTOTAL(9,O333:O333)</f>
        <v>905453.68</v>
      </c>
    </row>
    <row r="335" spans="1:16" outlineLevel="2" x14ac:dyDescent="0.2">
      <c r="A335" s="5">
        <v>46036</v>
      </c>
      <c r="B335" s="2">
        <v>155934</v>
      </c>
      <c r="C335" s="2">
        <v>315</v>
      </c>
      <c r="D335" s="2" t="s">
        <v>54</v>
      </c>
      <c r="E335" s="2" t="s">
        <v>30</v>
      </c>
      <c r="F335" s="2" t="s">
        <v>55</v>
      </c>
      <c r="G335" s="2" t="s">
        <v>23</v>
      </c>
      <c r="H335" s="2" t="s">
        <v>23</v>
      </c>
      <c r="I335" s="2" t="s">
        <v>23</v>
      </c>
      <c r="J335" s="2">
        <v>2</v>
      </c>
      <c r="K335" s="2" t="s">
        <v>48</v>
      </c>
      <c r="L335" s="2">
        <v>626</v>
      </c>
      <c r="M335" s="2" t="s">
        <v>49</v>
      </c>
      <c r="N335" s="2">
        <v>19</v>
      </c>
      <c r="O335" s="2">
        <v>73832.210000000006</v>
      </c>
      <c r="P335" s="2">
        <v>3885.91</v>
      </c>
    </row>
    <row r="336" spans="1:16" outlineLevel="2" x14ac:dyDescent="0.2">
      <c r="A336" s="5">
        <v>46036</v>
      </c>
      <c r="B336" s="2">
        <v>155935</v>
      </c>
      <c r="C336" s="2">
        <v>315</v>
      </c>
      <c r="D336" s="2" t="s">
        <v>54</v>
      </c>
      <c r="E336" s="2" t="s">
        <v>30</v>
      </c>
      <c r="F336" s="2" t="s">
        <v>55</v>
      </c>
      <c r="G336" s="2" t="s">
        <v>23</v>
      </c>
      <c r="H336" s="2" t="s">
        <v>23</v>
      </c>
      <c r="I336" s="2" t="s">
        <v>23</v>
      </c>
      <c r="J336" s="2">
        <v>2</v>
      </c>
      <c r="K336" s="2" t="s">
        <v>48</v>
      </c>
      <c r="L336" s="2">
        <v>534</v>
      </c>
      <c r="M336" s="2" t="s">
        <v>241</v>
      </c>
      <c r="N336" s="2">
        <v>41</v>
      </c>
      <c r="O336" s="2">
        <v>229870.55</v>
      </c>
      <c r="P336" s="2">
        <v>5606.6</v>
      </c>
    </row>
    <row r="337" spans="1:16" outlineLevel="1" x14ac:dyDescent="0.2">
      <c r="A337" s="5"/>
      <c r="D337" s="3" t="s">
        <v>719</v>
      </c>
      <c r="N337" s="2">
        <f>SUBTOTAL(9,N335:N336)</f>
        <v>60</v>
      </c>
      <c r="O337" s="2">
        <f>SUBTOTAL(9,O335:O336)</f>
        <v>303702.76</v>
      </c>
    </row>
    <row r="338" spans="1:16" outlineLevel="2" x14ac:dyDescent="0.2">
      <c r="A338" s="5">
        <v>46031</v>
      </c>
      <c r="B338" s="2">
        <v>155941</v>
      </c>
      <c r="C338" s="2">
        <v>1</v>
      </c>
      <c r="D338" s="2" t="s">
        <v>45</v>
      </c>
      <c r="E338" s="2" t="s">
        <v>125</v>
      </c>
      <c r="F338" s="2" t="s">
        <v>55</v>
      </c>
      <c r="G338" s="2" t="s">
        <v>23</v>
      </c>
      <c r="H338" s="2" t="s">
        <v>23</v>
      </c>
      <c r="I338" s="2" t="s">
        <v>23</v>
      </c>
      <c r="J338" s="2">
        <v>2</v>
      </c>
      <c r="K338" s="2" t="s">
        <v>48</v>
      </c>
      <c r="L338" s="2">
        <v>25223</v>
      </c>
      <c r="M338" s="2" t="s">
        <v>97</v>
      </c>
      <c r="N338" s="2">
        <v>25</v>
      </c>
      <c r="O338" s="2">
        <v>188772.15</v>
      </c>
      <c r="P338" s="2">
        <v>7550.89</v>
      </c>
    </row>
    <row r="339" spans="1:16" outlineLevel="1" x14ac:dyDescent="0.2">
      <c r="A339" s="5"/>
      <c r="D339" s="3" t="s">
        <v>733</v>
      </c>
      <c r="N339" s="2">
        <f>SUBTOTAL(9,N338:N338)</f>
        <v>25</v>
      </c>
      <c r="O339" s="2">
        <f>SUBTOTAL(9,O338:O338)</f>
        <v>188772.15</v>
      </c>
    </row>
    <row r="340" spans="1:16" outlineLevel="2" x14ac:dyDescent="0.2">
      <c r="A340" s="5">
        <v>46036</v>
      </c>
      <c r="B340" s="2">
        <v>155945</v>
      </c>
      <c r="C340" s="2">
        <v>1</v>
      </c>
      <c r="D340" s="2" t="s">
        <v>83</v>
      </c>
      <c r="E340" s="2" t="s">
        <v>23</v>
      </c>
      <c r="F340" s="2" t="s">
        <v>55</v>
      </c>
      <c r="G340" s="2" t="s">
        <v>23</v>
      </c>
      <c r="H340" s="2" t="s">
        <v>23</v>
      </c>
      <c r="I340" s="2" t="s">
        <v>23</v>
      </c>
      <c r="J340" s="2">
        <v>2</v>
      </c>
      <c r="K340" s="2" t="s">
        <v>48</v>
      </c>
      <c r="L340" s="2">
        <v>1944</v>
      </c>
      <c r="M340" s="2" t="s">
        <v>242</v>
      </c>
      <c r="N340" s="2">
        <v>12</v>
      </c>
      <c r="O340" s="2">
        <v>228012.86</v>
      </c>
      <c r="P340" s="2">
        <v>19001.07</v>
      </c>
    </row>
    <row r="341" spans="1:16" outlineLevel="1" x14ac:dyDescent="0.2">
      <c r="A341" s="5"/>
      <c r="D341" s="3" t="s">
        <v>701</v>
      </c>
      <c r="N341" s="2">
        <f>SUBTOTAL(9,N340:N340)</f>
        <v>12</v>
      </c>
      <c r="O341" s="2">
        <f>SUBTOTAL(9,O340:O340)</f>
        <v>228012.86</v>
      </c>
    </row>
    <row r="342" spans="1:16" outlineLevel="2" x14ac:dyDescent="0.2">
      <c r="A342" s="5">
        <v>46043</v>
      </c>
      <c r="B342" s="2">
        <v>155949</v>
      </c>
      <c r="C342" s="2">
        <v>305</v>
      </c>
      <c r="D342" s="2" t="s">
        <v>54</v>
      </c>
      <c r="E342" s="2" t="s">
        <v>20</v>
      </c>
      <c r="F342" s="2" t="s">
        <v>55</v>
      </c>
      <c r="G342" s="2" t="s">
        <v>23</v>
      </c>
      <c r="H342" s="2" t="s">
        <v>23</v>
      </c>
      <c r="I342" s="2" t="s">
        <v>23</v>
      </c>
      <c r="J342" s="2">
        <v>2</v>
      </c>
      <c r="K342" s="2" t="s">
        <v>48</v>
      </c>
      <c r="L342" s="2">
        <v>25095</v>
      </c>
      <c r="M342" s="2" t="s">
        <v>216</v>
      </c>
      <c r="N342" s="2">
        <v>4</v>
      </c>
      <c r="O342" s="2">
        <v>30576.91</v>
      </c>
      <c r="P342" s="2">
        <v>7644.23</v>
      </c>
    </row>
    <row r="343" spans="1:16" outlineLevel="1" x14ac:dyDescent="0.2">
      <c r="A343" s="5"/>
      <c r="D343" s="3" t="s">
        <v>719</v>
      </c>
      <c r="N343" s="2">
        <f>SUBTOTAL(9,N342:N342)</f>
        <v>4</v>
      </c>
      <c r="O343" s="2">
        <f>SUBTOTAL(9,O342:O342)</f>
        <v>30576.91</v>
      </c>
    </row>
    <row r="344" spans="1:16" outlineLevel="2" x14ac:dyDescent="0.2">
      <c r="A344" s="5">
        <v>46052</v>
      </c>
      <c r="B344" s="2">
        <v>155949</v>
      </c>
      <c r="C344" s="2">
        <v>315</v>
      </c>
      <c r="D344" s="2" t="s">
        <v>215</v>
      </c>
      <c r="E344" s="2" t="s">
        <v>23</v>
      </c>
      <c r="F344" s="2" t="s">
        <v>55</v>
      </c>
      <c r="G344" s="2" t="s">
        <v>23</v>
      </c>
      <c r="H344" s="2" t="s">
        <v>23</v>
      </c>
      <c r="I344" s="2" t="s">
        <v>23</v>
      </c>
      <c r="J344" s="2">
        <v>2</v>
      </c>
      <c r="K344" s="2" t="s">
        <v>48</v>
      </c>
      <c r="L344" s="2">
        <v>25095</v>
      </c>
      <c r="M344" s="2" t="s">
        <v>216</v>
      </c>
      <c r="N344" s="2">
        <v>3</v>
      </c>
      <c r="O344" s="2">
        <v>7530.96</v>
      </c>
      <c r="P344" s="2">
        <v>2510.3200000000002</v>
      </c>
    </row>
    <row r="345" spans="1:16" outlineLevel="1" x14ac:dyDescent="0.2">
      <c r="A345" s="5"/>
      <c r="D345" s="3" t="s">
        <v>727</v>
      </c>
      <c r="N345" s="2">
        <f>SUBTOTAL(9,N344:N344)</f>
        <v>3</v>
      </c>
      <c r="O345" s="2">
        <f>SUBTOTAL(9,O344:O344)</f>
        <v>7530.96</v>
      </c>
    </row>
    <row r="346" spans="1:16" outlineLevel="2" x14ac:dyDescent="0.2">
      <c r="A346" s="5">
        <v>46034</v>
      </c>
      <c r="B346" s="2">
        <v>155951</v>
      </c>
      <c r="C346" s="2">
        <v>1</v>
      </c>
      <c r="D346" s="2" t="s">
        <v>38</v>
      </c>
      <c r="E346" s="2" t="s">
        <v>39</v>
      </c>
      <c r="F346" s="2" t="s">
        <v>63</v>
      </c>
      <c r="G346" s="2" t="s">
        <v>22</v>
      </c>
      <c r="H346" s="2" t="s">
        <v>23</v>
      </c>
      <c r="I346" s="2" t="s">
        <v>243</v>
      </c>
      <c r="J346" s="2">
        <v>1</v>
      </c>
      <c r="K346" s="2" t="s">
        <v>24</v>
      </c>
      <c r="L346" s="2">
        <v>1846</v>
      </c>
      <c r="M346" s="2" t="s">
        <v>134</v>
      </c>
      <c r="N346" s="2">
        <v>88</v>
      </c>
      <c r="O346" s="2">
        <v>5611780.7999999998</v>
      </c>
      <c r="P346" s="2">
        <v>63770.239999999998</v>
      </c>
    </row>
    <row r="347" spans="1:16" outlineLevel="2" x14ac:dyDescent="0.2">
      <c r="A347" s="5">
        <v>46034</v>
      </c>
      <c r="B347" s="2">
        <v>155951</v>
      </c>
      <c r="C347" s="2">
        <v>2</v>
      </c>
      <c r="D347" s="2" t="s">
        <v>38</v>
      </c>
      <c r="E347" s="2" t="s">
        <v>39</v>
      </c>
      <c r="F347" s="2" t="s">
        <v>63</v>
      </c>
      <c r="G347" s="2" t="s">
        <v>22</v>
      </c>
      <c r="H347" s="2" t="s">
        <v>23</v>
      </c>
      <c r="I347" s="2" t="s">
        <v>116</v>
      </c>
      <c r="J347" s="2">
        <v>1</v>
      </c>
      <c r="K347" s="2" t="s">
        <v>24</v>
      </c>
      <c r="L347" s="2">
        <v>1846</v>
      </c>
      <c r="M347" s="2" t="s">
        <v>134</v>
      </c>
      <c r="N347" s="2">
        <v>308</v>
      </c>
      <c r="O347" s="2">
        <v>19976528.120000001</v>
      </c>
      <c r="P347" s="2">
        <v>64858.86</v>
      </c>
    </row>
    <row r="348" spans="1:16" outlineLevel="2" x14ac:dyDescent="0.2">
      <c r="A348" s="5">
        <v>46031</v>
      </c>
      <c r="B348" s="2">
        <v>155951</v>
      </c>
      <c r="C348" s="2">
        <v>3</v>
      </c>
      <c r="D348" s="2" t="s">
        <v>38</v>
      </c>
      <c r="E348" s="2" t="s">
        <v>39</v>
      </c>
      <c r="F348" s="2" t="s">
        <v>63</v>
      </c>
      <c r="G348" s="2" t="s">
        <v>22</v>
      </c>
      <c r="H348" s="2" t="s">
        <v>23</v>
      </c>
      <c r="I348" s="2" t="s">
        <v>135</v>
      </c>
      <c r="J348" s="2">
        <v>1</v>
      </c>
      <c r="K348" s="2" t="s">
        <v>24</v>
      </c>
      <c r="L348" s="2">
        <v>1846</v>
      </c>
      <c r="M348" s="2" t="s">
        <v>134</v>
      </c>
      <c r="N348" s="2">
        <v>190</v>
      </c>
      <c r="O348" s="2">
        <v>12434096.380000001</v>
      </c>
      <c r="P348" s="2">
        <v>65442.61</v>
      </c>
    </row>
    <row r="349" spans="1:16" outlineLevel="2" x14ac:dyDescent="0.2">
      <c r="A349" s="5">
        <v>46034</v>
      </c>
      <c r="B349" s="2">
        <v>155951</v>
      </c>
      <c r="C349" s="2">
        <v>4</v>
      </c>
      <c r="D349" s="2" t="s">
        <v>38</v>
      </c>
      <c r="E349" s="2" t="s">
        <v>39</v>
      </c>
      <c r="F349" s="2" t="s">
        <v>63</v>
      </c>
      <c r="G349" s="2" t="s">
        <v>22</v>
      </c>
      <c r="H349" s="2" t="s">
        <v>23</v>
      </c>
      <c r="I349" s="2" t="s">
        <v>133</v>
      </c>
      <c r="J349" s="2">
        <v>1</v>
      </c>
      <c r="K349" s="2" t="s">
        <v>24</v>
      </c>
      <c r="L349" s="2">
        <v>1846</v>
      </c>
      <c r="M349" s="2" t="s">
        <v>134</v>
      </c>
      <c r="N349" s="2">
        <v>324</v>
      </c>
      <c r="O349" s="2">
        <v>17075361.09</v>
      </c>
      <c r="P349" s="2">
        <v>52701.73</v>
      </c>
    </row>
    <row r="350" spans="1:16" outlineLevel="1" x14ac:dyDescent="0.2">
      <c r="A350" s="5"/>
      <c r="D350" s="3" t="s">
        <v>721</v>
      </c>
      <c r="N350" s="2">
        <f>SUBTOTAL(9,N346:N349)</f>
        <v>910</v>
      </c>
      <c r="O350" s="2">
        <f>SUBTOTAL(9,O346:O349)</f>
        <v>55097766.390000001</v>
      </c>
    </row>
    <row r="351" spans="1:16" outlineLevel="2" x14ac:dyDescent="0.2">
      <c r="A351" s="5">
        <v>46030</v>
      </c>
      <c r="B351" s="2">
        <v>155952</v>
      </c>
      <c r="C351" s="2">
        <v>1</v>
      </c>
      <c r="D351" s="2" t="s">
        <v>197</v>
      </c>
      <c r="E351" s="2" t="s">
        <v>198</v>
      </c>
      <c r="F351" s="2" t="s">
        <v>199</v>
      </c>
      <c r="G351" s="2" t="s">
        <v>22</v>
      </c>
      <c r="H351" s="2" t="s">
        <v>23</v>
      </c>
      <c r="I351" s="2" t="s">
        <v>23</v>
      </c>
      <c r="J351" s="2">
        <v>2</v>
      </c>
      <c r="K351" s="2" t="s">
        <v>48</v>
      </c>
      <c r="L351" s="2">
        <v>25166</v>
      </c>
      <c r="M351" s="2" t="s">
        <v>200</v>
      </c>
      <c r="N351" s="2">
        <v>159</v>
      </c>
      <c r="O351" s="2">
        <v>3667466.98</v>
      </c>
      <c r="P351" s="2">
        <v>23065.83</v>
      </c>
    </row>
    <row r="352" spans="1:16" outlineLevel="2" x14ac:dyDescent="0.2">
      <c r="A352" s="5">
        <v>46073</v>
      </c>
      <c r="B352" s="2">
        <v>155953</v>
      </c>
      <c r="C352" s="2">
        <v>301</v>
      </c>
      <c r="D352" s="2" t="s">
        <v>197</v>
      </c>
      <c r="E352" s="2" t="s">
        <v>244</v>
      </c>
      <c r="F352" s="2" t="s">
        <v>245</v>
      </c>
      <c r="G352" s="2" t="s">
        <v>22</v>
      </c>
      <c r="H352" s="2" t="s">
        <v>23</v>
      </c>
      <c r="I352" s="2" t="s">
        <v>23</v>
      </c>
      <c r="J352" s="2">
        <v>86</v>
      </c>
      <c r="K352" s="2" t="s">
        <v>73</v>
      </c>
      <c r="L352" s="2">
        <v>25166</v>
      </c>
      <c r="M352" s="2" t="s">
        <v>200</v>
      </c>
      <c r="N352" s="2">
        <v>20</v>
      </c>
      <c r="O352" s="2">
        <v>162103</v>
      </c>
      <c r="P352" s="2">
        <v>8105.15</v>
      </c>
    </row>
    <row r="353" spans="1:16" outlineLevel="2" x14ac:dyDescent="0.2">
      <c r="A353" s="5">
        <v>46031</v>
      </c>
      <c r="B353" s="2">
        <v>155954</v>
      </c>
      <c r="C353" s="2">
        <v>1</v>
      </c>
      <c r="D353" s="2" t="s">
        <v>197</v>
      </c>
      <c r="E353" s="2" t="s">
        <v>198</v>
      </c>
      <c r="F353" s="2" t="s">
        <v>199</v>
      </c>
      <c r="G353" s="2" t="s">
        <v>22</v>
      </c>
      <c r="H353" s="2" t="s">
        <v>23</v>
      </c>
      <c r="I353" s="2" t="s">
        <v>23</v>
      </c>
      <c r="J353" s="2">
        <v>2</v>
      </c>
      <c r="K353" s="2" t="s">
        <v>48</v>
      </c>
      <c r="L353" s="2">
        <v>25166</v>
      </c>
      <c r="M353" s="2" t="s">
        <v>200</v>
      </c>
      <c r="N353" s="2">
        <v>204</v>
      </c>
      <c r="O353" s="2">
        <v>4772194.12</v>
      </c>
      <c r="P353" s="2">
        <v>23393.11</v>
      </c>
    </row>
    <row r="354" spans="1:16" outlineLevel="1" x14ac:dyDescent="0.2">
      <c r="A354" s="5"/>
      <c r="D354" s="3" t="s">
        <v>734</v>
      </c>
      <c r="N354" s="2">
        <f>SUBTOTAL(9,N351:N353)</f>
        <v>383</v>
      </c>
      <c r="O354" s="2">
        <f>SUBTOTAL(9,O351:O353)</f>
        <v>8601764.0999999996</v>
      </c>
    </row>
    <row r="355" spans="1:16" outlineLevel="2" x14ac:dyDescent="0.2">
      <c r="A355" s="5">
        <v>46036</v>
      </c>
      <c r="B355" s="2">
        <v>155964</v>
      </c>
      <c r="C355" s="2">
        <v>309</v>
      </c>
      <c r="D355" s="2" t="s">
        <v>54</v>
      </c>
      <c r="E355" s="2" t="s">
        <v>20</v>
      </c>
      <c r="F355" s="2" t="s">
        <v>55</v>
      </c>
      <c r="G355" s="2" t="s">
        <v>23</v>
      </c>
      <c r="H355" s="2" t="s">
        <v>23</v>
      </c>
      <c r="I355" s="2" t="s">
        <v>23</v>
      </c>
      <c r="J355" s="2">
        <v>2</v>
      </c>
      <c r="K355" s="2" t="s">
        <v>48</v>
      </c>
      <c r="L355" s="2">
        <v>25095</v>
      </c>
      <c r="M355" s="2" t="s">
        <v>216</v>
      </c>
      <c r="N355" s="2">
        <v>19</v>
      </c>
      <c r="O355" s="2">
        <v>98101.65</v>
      </c>
      <c r="P355" s="2">
        <v>5163.24</v>
      </c>
    </row>
    <row r="356" spans="1:16" outlineLevel="1" x14ac:dyDescent="0.2">
      <c r="A356" s="5"/>
      <c r="D356" s="3" t="s">
        <v>719</v>
      </c>
      <c r="N356" s="2">
        <f>SUBTOTAL(9,N355:N355)</f>
        <v>19</v>
      </c>
      <c r="O356" s="2">
        <f>SUBTOTAL(9,O355:O355)</f>
        <v>98101.65</v>
      </c>
    </row>
    <row r="357" spans="1:16" outlineLevel="2" x14ac:dyDescent="0.2">
      <c r="A357" s="5">
        <v>46038</v>
      </c>
      <c r="B357" s="2">
        <v>155965</v>
      </c>
      <c r="C357" s="2">
        <v>4</v>
      </c>
      <c r="D357" s="2" t="s">
        <v>150</v>
      </c>
      <c r="E357" s="2" t="s">
        <v>151</v>
      </c>
      <c r="F357" s="2" t="s">
        <v>199</v>
      </c>
      <c r="G357" s="2" t="s">
        <v>22</v>
      </c>
      <c r="H357" s="2" t="s">
        <v>23</v>
      </c>
      <c r="I357" s="2" t="s">
        <v>23</v>
      </c>
      <c r="J357" s="2">
        <v>2</v>
      </c>
      <c r="K357" s="2" t="s">
        <v>48</v>
      </c>
      <c r="L357" s="2">
        <v>626</v>
      </c>
      <c r="M357" s="2" t="s">
        <v>49</v>
      </c>
      <c r="N357" s="2">
        <v>13</v>
      </c>
      <c r="O357" s="2">
        <v>101691.19</v>
      </c>
      <c r="P357" s="2">
        <v>7822.4</v>
      </c>
    </row>
    <row r="358" spans="1:16" outlineLevel="1" x14ac:dyDescent="0.2">
      <c r="A358" s="5"/>
      <c r="D358" s="3" t="s">
        <v>718</v>
      </c>
      <c r="N358" s="2">
        <f>SUBTOTAL(9,N357:N357)</f>
        <v>13</v>
      </c>
      <c r="O358" s="2">
        <f>SUBTOTAL(9,O357:O357)</f>
        <v>101691.19</v>
      </c>
    </row>
    <row r="359" spans="1:16" outlineLevel="2" x14ac:dyDescent="0.2">
      <c r="A359" s="5">
        <v>46038</v>
      </c>
      <c r="B359" s="2">
        <v>155965</v>
      </c>
      <c r="C359" s="2">
        <v>5</v>
      </c>
      <c r="D359" s="2" t="s">
        <v>45</v>
      </c>
      <c r="E359" s="2" t="s">
        <v>125</v>
      </c>
      <c r="F359" s="2" t="s">
        <v>55</v>
      </c>
      <c r="G359" s="2" t="s">
        <v>23</v>
      </c>
      <c r="H359" s="2" t="s">
        <v>23</v>
      </c>
      <c r="I359" s="2" t="s">
        <v>23</v>
      </c>
      <c r="J359" s="2">
        <v>2</v>
      </c>
      <c r="K359" s="2" t="s">
        <v>48</v>
      </c>
      <c r="L359" s="2">
        <v>626</v>
      </c>
      <c r="M359" s="2" t="s">
        <v>49</v>
      </c>
      <c r="N359" s="2">
        <v>5</v>
      </c>
      <c r="O359" s="2">
        <v>63890.7</v>
      </c>
      <c r="P359" s="2">
        <v>12778.14</v>
      </c>
    </row>
    <row r="360" spans="1:16" outlineLevel="1" x14ac:dyDescent="0.2">
      <c r="A360" s="5"/>
      <c r="D360" s="3" t="s">
        <v>733</v>
      </c>
      <c r="N360" s="2">
        <f>SUBTOTAL(9,N359:N359)</f>
        <v>5</v>
      </c>
      <c r="O360" s="2">
        <f>SUBTOTAL(9,O359:O359)</f>
        <v>63890.7</v>
      </c>
    </row>
    <row r="361" spans="1:16" outlineLevel="2" x14ac:dyDescent="0.2">
      <c r="A361" s="5">
        <v>46055</v>
      </c>
      <c r="B361" s="2">
        <v>155965</v>
      </c>
      <c r="C361" s="2">
        <v>325</v>
      </c>
      <c r="D361" s="2" t="s">
        <v>203</v>
      </c>
      <c r="E361" s="2" t="s">
        <v>125</v>
      </c>
      <c r="F361" s="2" t="s">
        <v>55</v>
      </c>
      <c r="G361" s="2" t="s">
        <v>23</v>
      </c>
      <c r="H361" s="2" t="s">
        <v>23</v>
      </c>
      <c r="I361" s="2" t="s">
        <v>23</v>
      </c>
      <c r="J361" s="2">
        <v>2</v>
      </c>
      <c r="K361" s="2" t="s">
        <v>48</v>
      </c>
      <c r="L361" s="2">
        <v>626</v>
      </c>
      <c r="M361" s="2" t="s">
        <v>49</v>
      </c>
      <c r="N361" s="2">
        <v>3</v>
      </c>
      <c r="O361" s="2">
        <v>10313.85</v>
      </c>
      <c r="P361" s="2">
        <v>3437.95</v>
      </c>
    </row>
    <row r="362" spans="1:16" outlineLevel="2" x14ac:dyDescent="0.2">
      <c r="A362" s="5">
        <v>46036</v>
      </c>
      <c r="B362" s="2">
        <v>155967</v>
      </c>
      <c r="C362" s="2">
        <v>315</v>
      </c>
      <c r="D362" s="2" t="s">
        <v>203</v>
      </c>
      <c r="E362" s="2" t="s">
        <v>238</v>
      </c>
      <c r="F362" s="2" t="s">
        <v>55</v>
      </c>
      <c r="G362" s="2" t="s">
        <v>23</v>
      </c>
      <c r="H362" s="2" t="s">
        <v>23</v>
      </c>
      <c r="I362" s="2" t="s">
        <v>23</v>
      </c>
      <c r="J362" s="2">
        <v>2</v>
      </c>
      <c r="K362" s="2" t="s">
        <v>48</v>
      </c>
      <c r="L362" s="2">
        <v>600</v>
      </c>
      <c r="M362" s="2" t="s">
        <v>112</v>
      </c>
      <c r="N362" s="2">
        <v>2</v>
      </c>
      <c r="O362" s="2">
        <v>5954.07</v>
      </c>
      <c r="P362" s="2">
        <v>2977.04</v>
      </c>
    </row>
    <row r="363" spans="1:16" outlineLevel="1" x14ac:dyDescent="0.2">
      <c r="A363" s="5"/>
      <c r="D363" s="3" t="s">
        <v>735</v>
      </c>
      <c r="N363" s="2">
        <f>SUBTOTAL(9,N361:N362)</f>
        <v>5</v>
      </c>
      <c r="O363" s="2">
        <f>SUBTOTAL(9,O361:O362)</f>
        <v>16267.92</v>
      </c>
    </row>
    <row r="364" spans="1:16" outlineLevel="2" x14ac:dyDescent="0.2">
      <c r="A364" s="5">
        <v>46036</v>
      </c>
      <c r="B364" s="2">
        <v>155974</v>
      </c>
      <c r="C364" s="2">
        <v>1</v>
      </c>
      <c r="D364" s="2" t="s">
        <v>83</v>
      </c>
      <c r="E364" s="2" t="s">
        <v>23</v>
      </c>
      <c r="F364" s="2" t="s">
        <v>55</v>
      </c>
      <c r="G364" s="2" t="s">
        <v>23</v>
      </c>
      <c r="H364" s="2" t="s">
        <v>23</v>
      </c>
      <c r="I364" s="2" t="s">
        <v>23</v>
      </c>
      <c r="J364" s="2">
        <v>2</v>
      </c>
      <c r="K364" s="2" t="s">
        <v>48</v>
      </c>
      <c r="L364" s="2">
        <v>792</v>
      </c>
      <c r="M364" s="2" t="s">
        <v>127</v>
      </c>
      <c r="N364" s="2">
        <v>62</v>
      </c>
      <c r="O364" s="2">
        <v>575565.25</v>
      </c>
      <c r="P364" s="2">
        <v>9283.31</v>
      </c>
    </row>
    <row r="365" spans="1:16" outlineLevel="1" x14ac:dyDescent="0.2">
      <c r="A365" s="5"/>
      <c r="D365" s="3" t="s">
        <v>701</v>
      </c>
      <c r="N365" s="2">
        <f>SUBTOTAL(9,N364:N364)</f>
        <v>62</v>
      </c>
      <c r="O365" s="2">
        <f>SUBTOTAL(9,O364:O364)</f>
        <v>575565.25</v>
      </c>
    </row>
    <row r="366" spans="1:16" outlineLevel="2" x14ac:dyDescent="0.2">
      <c r="A366" s="5">
        <v>46031</v>
      </c>
      <c r="B366" s="2">
        <v>155976</v>
      </c>
      <c r="C366" s="2">
        <v>1</v>
      </c>
      <c r="D366" s="2" t="s">
        <v>140</v>
      </c>
      <c r="E366" s="2" t="s">
        <v>141</v>
      </c>
      <c r="F366" s="2" t="s">
        <v>108</v>
      </c>
      <c r="G366" s="2" t="s">
        <v>22</v>
      </c>
      <c r="H366" s="2" t="s">
        <v>23</v>
      </c>
      <c r="I366" s="2" t="s">
        <v>23</v>
      </c>
      <c r="J366" s="2">
        <v>1</v>
      </c>
      <c r="K366" s="2" t="s">
        <v>24</v>
      </c>
      <c r="L366" s="2">
        <v>1833</v>
      </c>
      <c r="M366" s="2" t="s">
        <v>142</v>
      </c>
      <c r="N366" s="2">
        <v>39</v>
      </c>
      <c r="O366" s="2">
        <v>1127595.29</v>
      </c>
      <c r="P366" s="2">
        <v>28912.7</v>
      </c>
    </row>
    <row r="367" spans="1:16" outlineLevel="1" x14ac:dyDescent="0.2">
      <c r="A367" s="5"/>
      <c r="D367" s="3" t="s">
        <v>696</v>
      </c>
      <c r="N367" s="2">
        <f>SUBTOTAL(9,N366:N366)</f>
        <v>39</v>
      </c>
      <c r="O367" s="2">
        <f>SUBTOTAL(9,O366:O366)</f>
        <v>1127595.29</v>
      </c>
    </row>
    <row r="368" spans="1:16" outlineLevel="2" x14ac:dyDescent="0.2">
      <c r="A368" s="5">
        <v>46031</v>
      </c>
      <c r="B368" s="2">
        <v>155978</v>
      </c>
      <c r="C368" s="2">
        <v>1</v>
      </c>
      <c r="D368" s="2" t="s">
        <v>88</v>
      </c>
      <c r="E368" s="2" t="s">
        <v>246</v>
      </c>
      <c r="F368" s="2" t="s">
        <v>31</v>
      </c>
      <c r="G368" s="2" t="s">
        <v>22</v>
      </c>
      <c r="H368" s="2" t="s">
        <v>23</v>
      </c>
      <c r="I368" s="2" t="s">
        <v>211</v>
      </c>
      <c r="J368" s="2">
        <v>1</v>
      </c>
      <c r="K368" s="2" t="s">
        <v>24</v>
      </c>
      <c r="L368" s="2">
        <v>2355</v>
      </c>
      <c r="M368" s="2" t="s">
        <v>213</v>
      </c>
      <c r="N368" s="2">
        <v>361</v>
      </c>
      <c r="O368" s="2">
        <v>8477158.4600000009</v>
      </c>
      <c r="P368" s="2">
        <v>23482.43</v>
      </c>
    </row>
    <row r="369" spans="1:16" outlineLevel="2" x14ac:dyDescent="0.2">
      <c r="A369" s="5">
        <v>46031</v>
      </c>
      <c r="B369" s="2">
        <v>155978</v>
      </c>
      <c r="C369" s="2">
        <v>2</v>
      </c>
      <c r="D369" s="2" t="s">
        <v>88</v>
      </c>
      <c r="E369" s="2" t="s">
        <v>89</v>
      </c>
      <c r="F369" s="2" t="s">
        <v>31</v>
      </c>
      <c r="G369" s="2" t="s">
        <v>22</v>
      </c>
      <c r="H369" s="2" t="s">
        <v>23</v>
      </c>
      <c r="I369" s="2" t="s">
        <v>214</v>
      </c>
      <c r="J369" s="2">
        <v>1</v>
      </c>
      <c r="K369" s="2" t="s">
        <v>24</v>
      </c>
      <c r="L369" s="2">
        <v>2355</v>
      </c>
      <c r="M369" s="2" t="s">
        <v>213</v>
      </c>
      <c r="N369" s="2">
        <v>264</v>
      </c>
      <c r="O369" s="2">
        <v>6174328.2800000003</v>
      </c>
      <c r="P369" s="2">
        <v>23387.61</v>
      </c>
    </row>
    <row r="370" spans="1:16" outlineLevel="2" x14ac:dyDescent="0.2">
      <c r="A370" s="5">
        <v>46031</v>
      </c>
      <c r="B370" s="2">
        <v>155978</v>
      </c>
      <c r="C370" s="2">
        <v>4</v>
      </c>
      <c r="D370" s="2" t="s">
        <v>88</v>
      </c>
      <c r="E370" s="2" t="s">
        <v>235</v>
      </c>
      <c r="F370" s="2" t="s">
        <v>31</v>
      </c>
      <c r="G370" s="2" t="s">
        <v>22</v>
      </c>
      <c r="H370" s="2" t="s">
        <v>23</v>
      </c>
      <c r="I370" s="2" t="s">
        <v>169</v>
      </c>
      <c r="J370" s="2">
        <v>1</v>
      </c>
      <c r="K370" s="2" t="s">
        <v>24</v>
      </c>
      <c r="L370" s="2">
        <v>2355</v>
      </c>
      <c r="M370" s="2" t="s">
        <v>213</v>
      </c>
      <c r="N370" s="2">
        <v>184</v>
      </c>
      <c r="O370" s="2">
        <v>7908040.25</v>
      </c>
      <c r="P370" s="2">
        <v>42978.48</v>
      </c>
    </row>
    <row r="371" spans="1:16" outlineLevel="1" x14ac:dyDescent="0.2">
      <c r="A371" s="5"/>
      <c r="D371" s="3" t="s">
        <v>698</v>
      </c>
      <c r="N371" s="2">
        <f>SUBTOTAL(9,N368:N370)</f>
        <v>809</v>
      </c>
      <c r="O371" s="2">
        <f>SUBTOTAL(9,O368:O370)</f>
        <v>22559526.990000002</v>
      </c>
    </row>
    <row r="372" spans="1:16" outlineLevel="2" x14ac:dyDescent="0.2">
      <c r="A372" s="5">
        <v>46031</v>
      </c>
      <c r="B372" s="2">
        <v>155979</v>
      </c>
      <c r="C372" s="2">
        <v>3</v>
      </c>
      <c r="D372" s="2" t="s">
        <v>226</v>
      </c>
      <c r="E372" s="2" t="s">
        <v>227</v>
      </c>
      <c r="F372" s="2" t="s">
        <v>47</v>
      </c>
      <c r="G372" s="2" t="s">
        <v>22</v>
      </c>
      <c r="H372" s="2" t="s">
        <v>23</v>
      </c>
      <c r="I372" s="2" t="s">
        <v>23</v>
      </c>
      <c r="J372" s="2">
        <v>2</v>
      </c>
      <c r="K372" s="2" t="s">
        <v>48</v>
      </c>
      <c r="L372" s="2">
        <v>1964</v>
      </c>
      <c r="M372" s="2" t="s">
        <v>49</v>
      </c>
      <c r="N372" s="2">
        <v>73</v>
      </c>
      <c r="O372" s="2">
        <v>1441465.38</v>
      </c>
      <c r="P372" s="2">
        <v>19746.099999999999</v>
      </c>
    </row>
    <row r="373" spans="1:16" outlineLevel="1" x14ac:dyDescent="0.2">
      <c r="A373" s="5"/>
      <c r="D373" s="3" t="s">
        <v>736</v>
      </c>
      <c r="N373" s="2">
        <f>SUBTOTAL(9,N372:N372)</f>
        <v>73</v>
      </c>
      <c r="O373" s="2">
        <f>SUBTOTAL(9,O372:O372)</f>
        <v>1441465.38</v>
      </c>
    </row>
    <row r="374" spans="1:16" outlineLevel="2" x14ac:dyDescent="0.2">
      <c r="A374" s="5">
        <v>46031</v>
      </c>
      <c r="B374" s="2">
        <v>155979</v>
      </c>
      <c r="C374" s="2">
        <v>4</v>
      </c>
      <c r="D374" s="2" t="s">
        <v>45</v>
      </c>
      <c r="E374" s="2" t="s">
        <v>227</v>
      </c>
      <c r="F374" s="2" t="s">
        <v>47</v>
      </c>
      <c r="G374" s="2" t="s">
        <v>22</v>
      </c>
      <c r="H374" s="2" t="s">
        <v>23</v>
      </c>
      <c r="I374" s="2" t="s">
        <v>23</v>
      </c>
      <c r="J374" s="2">
        <v>2</v>
      </c>
      <c r="K374" s="2" t="s">
        <v>48</v>
      </c>
      <c r="L374" s="2">
        <v>1964</v>
      </c>
      <c r="M374" s="2" t="s">
        <v>49</v>
      </c>
      <c r="N374" s="2">
        <v>70</v>
      </c>
      <c r="O374" s="2">
        <v>805729.67</v>
      </c>
      <c r="P374" s="2">
        <v>11510.42</v>
      </c>
    </row>
    <row r="375" spans="1:16" outlineLevel="1" x14ac:dyDescent="0.2">
      <c r="A375" s="5"/>
      <c r="D375" s="3" t="s">
        <v>733</v>
      </c>
      <c r="N375" s="2">
        <f>SUBTOTAL(9,N374:N374)</f>
        <v>70</v>
      </c>
      <c r="O375" s="2">
        <f>SUBTOTAL(9,O374:O374)</f>
        <v>805729.67</v>
      </c>
    </row>
    <row r="376" spans="1:16" outlineLevel="2" x14ac:dyDescent="0.2">
      <c r="A376" s="5">
        <v>46031</v>
      </c>
      <c r="B376" s="2">
        <v>155980</v>
      </c>
      <c r="C376" s="2">
        <v>1</v>
      </c>
      <c r="D376" s="2" t="s">
        <v>150</v>
      </c>
      <c r="E376" s="2" t="s">
        <v>224</v>
      </c>
      <c r="F376" s="2" t="s">
        <v>199</v>
      </c>
      <c r="G376" s="2" t="s">
        <v>22</v>
      </c>
      <c r="H376" s="2" t="s">
        <v>23</v>
      </c>
      <c r="I376" s="2" t="s">
        <v>23</v>
      </c>
      <c r="J376" s="2">
        <v>1</v>
      </c>
      <c r="K376" s="2" t="s">
        <v>24</v>
      </c>
      <c r="L376" s="2">
        <v>25017</v>
      </c>
      <c r="M376" s="2" t="s">
        <v>225</v>
      </c>
      <c r="N376" s="2">
        <v>60</v>
      </c>
      <c r="O376" s="2">
        <v>978225.89</v>
      </c>
      <c r="P376" s="2">
        <v>16303.76</v>
      </c>
    </row>
    <row r="377" spans="1:16" outlineLevel="1" x14ac:dyDescent="0.2">
      <c r="A377" s="5"/>
      <c r="D377" s="3" t="s">
        <v>718</v>
      </c>
      <c r="N377" s="2">
        <f>SUBTOTAL(9,N376:N376)</f>
        <v>60</v>
      </c>
      <c r="O377" s="2">
        <f>SUBTOTAL(9,O376:O376)</f>
        <v>978225.89</v>
      </c>
    </row>
    <row r="378" spans="1:16" outlineLevel="2" x14ac:dyDescent="0.2">
      <c r="A378" s="5">
        <v>46031</v>
      </c>
      <c r="B378" s="2">
        <v>155981</v>
      </c>
      <c r="C378" s="2">
        <v>1</v>
      </c>
      <c r="D378" s="2" t="s">
        <v>128</v>
      </c>
      <c r="E378" s="2" t="s">
        <v>23</v>
      </c>
      <c r="F378" s="2" t="s">
        <v>47</v>
      </c>
      <c r="G378" s="2" t="s">
        <v>22</v>
      </c>
      <c r="H378" s="2" t="s">
        <v>23</v>
      </c>
      <c r="I378" s="2" t="s">
        <v>23</v>
      </c>
      <c r="J378" s="2">
        <v>41</v>
      </c>
      <c r="K378" s="2" t="s">
        <v>129</v>
      </c>
      <c r="L378" s="2">
        <v>25213</v>
      </c>
      <c r="M378" s="2" t="s">
        <v>130</v>
      </c>
      <c r="N378" s="2">
        <v>50</v>
      </c>
      <c r="O378" s="2">
        <v>172187.5</v>
      </c>
      <c r="P378" s="2">
        <v>3443.75</v>
      </c>
    </row>
    <row r="379" spans="1:16" outlineLevel="2" x14ac:dyDescent="0.2">
      <c r="A379" s="5">
        <v>46031</v>
      </c>
      <c r="B379" s="2">
        <v>155981</v>
      </c>
      <c r="C379" s="2">
        <v>2</v>
      </c>
      <c r="D379" s="2" t="s">
        <v>128</v>
      </c>
      <c r="E379" s="2" t="s">
        <v>23</v>
      </c>
      <c r="F379" s="2" t="s">
        <v>47</v>
      </c>
      <c r="G379" s="2" t="s">
        <v>22</v>
      </c>
      <c r="H379" s="2" t="s">
        <v>23</v>
      </c>
      <c r="I379" s="2" t="s">
        <v>23</v>
      </c>
      <c r="J379" s="2">
        <v>1</v>
      </c>
      <c r="K379" s="2" t="s">
        <v>24</v>
      </c>
      <c r="L379" s="2">
        <v>25213</v>
      </c>
      <c r="M379" s="2" t="s">
        <v>130</v>
      </c>
      <c r="N379" s="2">
        <v>5</v>
      </c>
      <c r="O379" s="2">
        <v>354190.24</v>
      </c>
      <c r="P379" s="2">
        <v>70838.05</v>
      </c>
    </row>
    <row r="380" spans="1:16" outlineLevel="1" x14ac:dyDescent="0.2">
      <c r="A380" s="5"/>
      <c r="D380" s="3" t="s">
        <v>732</v>
      </c>
      <c r="N380" s="2">
        <f>SUBTOTAL(9,N378:N379)</f>
        <v>55</v>
      </c>
      <c r="O380" s="2">
        <f>SUBTOTAL(9,O378:O379)</f>
        <v>526377.74</v>
      </c>
    </row>
    <row r="381" spans="1:16" outlineLevel="2" x14ac:dyDescent="0.2">
      <c r="A381" s="5">
        <v>46031</v>
      </c>
      <c r="B381" s="2">
        <v>155981</v>
      </c>
      <c r="C381" s="2">
        <v>3</v>
      </c>
      <c r="D381" s="2" t="s">
        <v>207</v>
      </c>
      <c r="E381" s="2" t="s">
        <v>23</v>
      </c>
      <c r="F381" s="2" t="s">
        <v>47</v>
      </c>
      <c r="G381" s="2" t="s">
        <v>22</v>
      </c>
      <c r="H381" s="2" t="s">
        <v>23</v>
      </c>
      <c r="I381" s="2" t="s">
        <v>23</v>
      </c>
      <c r="J381" s="2">
        <v>1</v>
      </c>
      <c r="K381" s="2" t="s">
        <v>24</v>
      </c>
      <c r="L381" s="2">
        <v>25213</v>
      </c>
      <c r="M381" s="2" t="s">
        <v>130</v>
      </c>
      <c r="N381" s="2">
        <v>7</v>
      </c>
      <c r="O381" s="2">
        <v>460473.65</v>
      </c>
      <c r="P381" s="2">
        <v>65781.95</v>
      </c>
    </row>
    <row r="382" spans="1:16" outlineLevel="2" x14ac:dyDescent="0.2">
      <c r="A382" s="5">
        <v>46031</v>
      </c>
      <c r="B382" s="2">
        <v>155981</v>
      </c>
      <c r="C382" s="2">
        <v>4</v>
      </c>
      <c r="D382" s="2" t="s">
        <v>207</v>
      </c>
      <c r="E382" s="2" t="s">
        <v>23</v>
      </c>
      <c r="F382" s="2" t="s">
        <v>47</v>
      </c>
      <c r="G382" s="2" t="s">
        <v>22</v>
      </c>
      <c r="H382" s="2" t="s">
        <v>209</v>
      </c>
      <c r="I382" s="2" t="s">
        <v>23</v>
      </c>
      <c r="J382" s="2">
        <v>41</v>
      </c>
      <c r="K382" s="2" t="s">
        <v>129</v>
      </c>
      <c r="L382" s="2">
        <v>25213</v>
      </c>
      <c r="M382" s="2" t="s">
        <v>130</v>
      </c>
      <c r="N382" s="2">
        <v>8</v>
      </c>
      <c r="O382" s="2">
        <v>18422.28</v>
      </c>
      <c r="P382" s="2">
        <v>2302.79</v>
      </c>
    </row>
    <row r="383" spans="1:16" outlineLevel="2" x14ac:dyDescent="0.2">
      <c r="A383" s="5">
        <v>46031</v>
      </c>
      <c r="B383" s="2">
        <v>155981</v>
      </c>
      <c r="C383" s="2">
        <v>5</v>
      </c>
      <c r="D383" s="2" t="s">
        <v>207</v>
      </c>
      <c r="E383" s="2" t="s">
        <v>23</v>
      </c>
      <c r="F383" s="2" t="s">
        <v>47</v>
      </c>
      <c r="G383" s="2" t="s">
        <v>22</v>
      </c>
      <c r="H383" s="2" t="s">
        <v>208</v>
      </c>
      <c r="I383" s="2" t="s">
        <v>23</v>
      </c>
      <c r="J383" s="2">
        <v>41</v>
      </c>
      <c r="K383" s="2" t="s">
        <v>129</v>
      </c>
      <c r="L383" s="2">
        <v>25213</v>
      </c>
      <c r="M383" s="2" t="s">
        <v>130</v>
      </c>
      <c r="N383" s="2">
        <v>65</v>
      </c>
      <c r="O383" s="2">
        <v>183239.71</v>
      </c>
      <c r="P383" s="2">
        <v>2819.07</v>
      </c>
    </row>
    <row r="384" spans="1:16" outlineLevel="1" x14ac:dyDescent="0.2">
      <c r="A384" s="5"/>
      <c r="D384" s="3" t="s">
        <v>699</v>
      </c>
      <c r="N384" s="2">
        <f>SUBTOTAL(9,N381:N383)</f>
        <v>80</v>
      </c>
      <c r="O384" s="2">
        <f>SUBTOTAL(9,O381:O383)</f>
        <v>662135.64</v>
      </c>
    </row>
    <row r="385" spans="1:16" outlineLevel="2" x14ac:dyDescent="0.2">
      <c r="A385" s="5">
        <v>46038</v>
      </c>
      <c r="B385" s="2">
        <v>155982</v>
      </c>
      <c r="C385" s="2">
        <v>1</v>
      </c>
      <c r="D385" s="2" t="s">
        <v>229</v>
      </c>
      <c r="E385" s="2" t="s">
        <v>23</v>
      </c>
      <c r="F385" s="2" t="s">
        <v>231</v>
      </c>
      <c r="G385" s="2" t="s">
        <v>22</v>
      </c>
      <c r="H385" s="2" t="s">
        <v>23</v>
      </c>
      <c r="I385" s="2" t="s">
        <v>23</v>
      </c>
      <c r="J385" s="2">
        <v>1</v>
      </c>
      <c r="K385" s="2" t="s">
        <v>24</v>
      </c>
      <c r="L385" s="2">
        <v>791</v>
      </c>
      <c r="M385" s="2" t="s">
        <v>247</v>
      </c>
      <c r="N385" s="2">
        <v>4</v>
      </c>
      <c r="O385" s="2">
        <v>43645.04</v>
      </c>
      <c r="P385" s="2">
        <v>10911.26</v>
      </c>
    </row>
    <row r="386" spans="1:16" outlineLevel="1" x14ac:dyDescent="0.2">
      <c r="A386" s="5"/>
      <c r="D386" s="3" t="s">
        <v>737</v>
      </c>
      <c r="N386" s="2">
        <f>SUBTOTAL(9,N385:N385)</f>
        <v>4</v>
      </c>
      <c r="O386" s="2">
        <f>SUBTOTAL(9,O385:O385)</f>
        <v>43645.04</v>
      </c>
    </row>
    <row r="387" spans="1:16" outlineLevel="2" x14ac:dyDescent="0.2">
      <c r="A387" s="5">
        <v>46050</v>
      </c>
      <c r="B387" s="2">
        <v>155985</v>
      </c>
      <c r="C387" s="2">
        <v>2</v>
      </c>
      <c r="D387" s="2" t="s">
        <v>107</v>
      </c>
      <c r="E387" s="2" t="s">
        <v>224</v>
      </c>
      <c r="F387" s="2" t="s">
        <v>55</v>
      </c>
      <c r="G387" s="2" t="s">
        <v>23</v>
      </c>
      <c r="H387" s="2" t="s">
        <v>23</v>
      </c>
      <c r="I387" s="2" t="s">
        <v>23</v>
      </c>
      <c r="J387" s="2">
        <v>40</v>
      </c>
      <c r="K387" s="2" t="s">
        <v>43</v>
      </c>
      <c r="L387" s="2">
        <v>25092</v>
      </c>
      <c r="M387" s="2" t="s">
        <v>96</v>
      </c>
      <c r="N387" s="2">
        <v>1</v>
      </c>
      <c r="O387" s="2">
        <v>6238.27</v>
      </c>
      <c r="P387" s="2">
        <v>6238.27</v>
      </c>
    </row>
    <row r="388" spans="1:16" outlineLevel="1" x14ac:dyDescent="0.2">
      <c r="A388" s="5"/>
      <c r="D388" s="3" t="s">
        <v>726</v>
      </c>
      <c r="N388" s="2">
        <f>SUBTOTAL(9,N387:N387)</f>
        <v>1</v>
      </c>
      <c r="O388" s="2">
        <f>SUBTOTAL(9,O387:O387)</f>
        <v>6238.27</v>
      </c>
    </row>
    <row r="389" spans="1:16" outlineLevel="2" x14ac:dyDescent="0.2">
      <c r="A389" s="5">
        <v>46031</v>
      </c>
      <c r="B389" s="2">
        <v>155986</v>
      </c>
      <c r="C389" s="2">
        <v>1</v>
      </c>
      <c r="D389" s="2" t="s">
        <v>88</v>
      </c>
      <c r="E389" s="2" t="s">
        <v>23</v>
      </c>
      <c r="F389" s="2" t="s">
        <v>23</v>
      </c>
      <c r="G389" s="2" t="s">
        <v>22</v>
      </c>
      <c r="H389" s="2" t="s">
        <v>23</v>
      </c>
      <c r="I389" s="2" t="s">
        <v>23</v>
      </c>
      <c r="J389" s="2">
        <v>40</v>
      </c>
      <c r="K389" s="2" t="s">
        <v>43</v>
      </c>
      <c r="L389" s="2">
        <v>1555</v>
      </c>
      <c r="M389" s="2" t="s">
        <v>139</v>
      </c>
      <c r="N389" s="2">
        <v>7</v>
      </c>
      <c r="O389" s="2">
        <v>390014.31</v>
      </c>
      <c r="P389" s="2">
        <v>55716.33</v>
      </c>
    </row>
    <row r="390" spans="1:16" outlineLevel="1" x14ac:dyDescent="0.2">
      <c r="A390" s="5"/>
      <c r="D390" s="3" t="s">
        <v>698</v>
      </c>
      <c r="N390" s="2">
        <f>SUBTOTAL(9,N389:N389)</f>
        <v>7</v>
      </c>
      <c r="O390" s="2">
        <f>SUBTOTAL(9,O389:O389)</f>
        <v>390014.31</v>
      </c>
    </row>
    <row r="391" spans="1:16" outlineLevel="2" x14ac:dyDescent="0.2">
      <c r="A391" s="5">
        <v>46036</v>
      </c>
      <c r="B391" s="2">
        <v>155987</v>
      </c>
      <c r="C391" s="2">
        <v>315</v>
      </c>
      <c r="D391" s="2" t="s">
        <v>110</v>
      </c>
      <c r="E391" s="2" t="s">
        <v>111</v>
      </c>
      <c r="F391" s="2" t="s">
        <v>55</v>
      </c>
      <c r="G391" s="2" t="s">
        <v>23</v>
      </c>
      <c r="H391" s="2" t="s">
        <v>23</v>
      </c>
      <c r="I391" s="2" t="s">
        <v>23</v>
      </c>
      <c r="J391" s="2">
        <v>2</v>
      </c>
      <c r="K391" s="2" t="s">
        <v>48</v>
      </c>
      <c r="L391" s="2">
        <v>626</v>
      </c>
      <c r="M391" s="2" t="s">
        <v>49</v>
      </c>
      <c r="N391" s="2">
        <v>2</v>
      </c>
      <c r="O391" s="2">
        <v>6887.5</v>
      </c>
      <c r="P391" s="2">
        <v>3443.75</v>
      </c>
    </row>
    <row r="392" spans="1:16" outlineLevel="1" x14ac:dyDescent="0.2">
      <c r="A392" s="5"/>
      <c r="D392" s="3" t="s">
        <v>697</v>
      </c>
      <c r="N392" s="2">
        <f>SUBTOTAL(9,N391:N391)</f>
        <v>2</v>
      </c>
      <c r="O392" s="2">
        <f>SUBTOTAL(9,O391:O391)</f>
        <v>6887.5</v>
      </c>
    </row>
    <row r="393" spans="1:16" outlineLevel="2" x14ac:dyDescent="0.2">
      <c r="A393" s="5">
        <v>46034</v>
      </c>
      <c r="B393" s="2">
        <v>155993</v>
      </c>
      <c r="C393" s="2">
        <v>1</v>
      </c>
      <c r="D393" s="2" t="s">
        <v>140</v>
      </c>
      <c r="E393" s="2" t="s">
        <v>141</v>
      </c>
      <c r="F393" s="2" t="s">
        <v>108</v>
      </c>
      <c r="G393" s="2" t="s">
        <v>22</v>
      </c>
      <c r="H393" s="2" t="s">
        <v>23</v>
      </c>
      <c r="I393" s="2" t="s">
        <v>23</v>
      </c>
      <c r="J393" s="2">
        <v>1</v>
      </c>
      <c r="K393" s="2" t="s">
        <v>24</v>
      </c>
      <c r="L393" s="2">
        <v>1833</v>
      </c>
      <c r="M393" s="2" t="s">
        <v>142</v>
      </c>
      <c r="N393" s="2">
        <v>54</v>
      </c>
      <c r="O393" s="2">
        <v>1735761.47</v>
      </c>
      <c r="P393" s="2">
        <v>32143.73</v>
      </c>
    </row>
    <row r="394" spans="1:16" outlineLevel="2" x14ac:dyDescent="0.2">
      <c r="A394" s="5">
        <v>46034</v>
      </c>
      <c r="B394" s="2">
        <v>155993</v>
      </c>
      <c r="C394" s="2">
        <v>2</v>
      </c>
      <c r="D394" s="2" t="s">
        <v>140</v>
      </c>
      <c r="E394" s="2" t="s">
        <v>248</v>
      </c>
      <c r="F394" s="2" t="s">
        <v>108</v>
      </c>
      <c r="G394" s="2" t="s">
        <v>22</v>
      </c>
      <c r="H394" s="2" t="s">
        <v>23</v>
      </c>
      <c r="I394" s="2" t="s">
        <v>23</v>
      </c>
      <c r="J394" s="2">
        <v>1</v>
      </c>
      <c r="K394" s="2" t="s">
        <v>24</v>
      </c>
      <c r="L394" s="2">
        <v>1833</v>
      </c>
      <c r="M394" s="2" t="s">
        <v>142</v>
      </c>
      <c r="N394" s="2">
        <v>6</v>
      </c>
      <c r="O394" s="2">
        <v>176546.84</v>
      </c>
      <c r="P394" s="2">
        <v>29424.47</v>
      </c>
    </row>
    <row r="395" spans="1:16" outlineLevel="1" x14ac:dyDescent="0.2">
      <c r="A395" s="5"/>
      <c r="D395" s="3" t="s">
        <v>696</v>
      </c>
      <c r="N395" s="2">
        <f>SUBTOTAL(9,N393:N394)</f>
        <v>60</v>
      </c>
      <c r="O395" s="2">
        <f>SUBTOTAL(9,O393:O394)</f>
        <v>1912308.31</v>
      </c>
    </row>
    <row r="396" spans="1:16" outlineLevel="2" x14ac:dyDescent="0.2">
      <c r="A396" s="5">
        <v>46034</v>
      </c>
      <c r="B396" s="2">
        <v>155994</v>
      </c>
      <c r="C396" s="2">
        <v>1</v>
      </c>
      <c r="D396" s="2" t="s">
        <v>88</v>
      </c>
      <c r="E396" s="2" t="s">
        <v>249</v>
      </c>
      <c r="F396" s="2" t="s">
        <v>31</v>
      </c>
      <c r="G396" s="2" t="s">
        <v>22</v>
      </c>
      <c r="H396" s="2" t="s">
        <v>23</v>
      </c>
      <c r="I396" s="2" t="s">
        <v>168</v>
      </c>
      <c r="J396" s="2">
        <v>1</v>
      </c>
      <c r="K396" s="2" t="s">
        <v>24</v>
      </c>
      <c r="L396" s="2">
        <v>2355</v>
      </c>
      <c r="M396" s="2" t="s">
        <v>213</v>
      </c>
      <c r="N396" s="2">
        <v>80</v>
      </c>
      <c r="O396" s="2">
        <v>960644.73</v>
      </c>
      <c r="P396" s="2">
        <v>12008.06</v>
      </c>
    </row>
    <row r="397" spans="1:16" outlineLevel="2" x14ac:dyDescent="0.2">
      <c r="A397" s="5">
        <v>46034</v>
      </c>
      <c r="B397" s="2">
        <v>155994</v>
      </c>
      <c r="C397" s="2">
        <v>2</v>
      </c>
      <c r="D397" s="2" t="s">
        <v>88</v>
      </c>
      <c r="E397" s="2" t="s">
        <v>249</v>
      </c>
      <c r="F397" s="2" t="s">
        <v>31</v>
      </c>
      <c r="G397" s="2" t="s">
        <v>22</v>
      </c>
      <c r="H397" s="2" t="s">
        <v>23</v>
      </c>
      <c r="I397" s="2" t="s">
        <v>214</v>
      </c>
      <c r="J397" s="2">
        <v>1</v>
      </c>
      <c r="K397" s="2" t="s">
        <v>24</v>
      </c>
      <c r="L397" s="2">
        <v>2355</v>
      </c>
      <c r="M397" s="2" t="s">
        <v>213</v>
      </c>
      <c r="N397" s="2">
        <v>64</v>
      </c>
      <c r="O397" s="2">
        <v>1505478.67</v>
      </c>
      <c r="P397" s="2">
        <v>23523.1</v>
      </c>
    </row>
    <row r="398" spans="1:16" outlineLevel="2" x14ac:dyDescent="0.2">
      <c r="A398" s="5">
        <v>46034</v>
      </c>
      <c r="B398" s="2">
        <v>155994</v>
      </c>
      <c r="C398" s="2">
        <v>4</v>
      </c>
      <c r="D398" s="2" t="s">
        <v>88</v>
      </c>
      <c r="E398" s="2" t="s">
        <v>249</v>
      </c>
      <c r="F398" s="2" t="s">
        <v>31</v>
      </c>
      <c r="G398" s="2" t="s">
        <v>22</v>
      </c>
      <c r="H398" s="2" t="s">
        <v>23</v>
      </c>
      <c r="I398" s="2" t="s">
        <v>169</v>
      </c>
      <c r="J398" s="2">
        <v>1</v>
      </c>
      <c r="K398" s="2" t="s">
        <v>24</v>
      </c>
      <c r="L398" s="2">
        <v>2355</v>
      </c>
      <c r="M398" s="2" t="s">
        <v>213</v>
      </c>
      <c r="N398" s="2">
        <v>184</v>
      </c>
      <c r="O398" s="2">
        <v>8108992.6600000001</v>
      </c>
      <c r="P398" s="2">
        <v>44070.61</v>
      </c>
    </row>
    <row r="399" spans="1:16" outlineLevel="1" x14ac:dyDescent="0.2">
      <c r="A399" s="5"/>
      <c r="D399" s="3" t="s">
        <v>698</v>
      </c>
      <c r="N399" s="2">
        <f>SUBTOTAL(9,N396:N398)</f>
        <v>328</v>
      </c>
      <c r="O399" s="2">
        <f>SUBTOTAL(9,O396:O398)</f>
        <v>10575116.060000001</v>
      </c>
    </row>
    <row r="400" spans="1:16" outlineLevel="2" x14ac:dyDescent="0.2">
      <c r="A400" s="5">
        <v>46034</v>
      </c>
      <c r="B400" s="2">
        <v>155998</v>
      </c>
      <c r="C400" s="2">
        <v>1</v>
      </c>
      <c r="D400" s="2" t="s">
        <v>38</v>
      </c>
      <c r="E400" s="2" t="s">
        <v>39</v>
      </c>
      <c r="F400" s="2" t="s">
        <v>63</v>
      </c>
      <c r="G400" s="2" t="s">
        <v>22</v>
      </c>
      <c r="H400" s="2" t="s">
        <v>23</v>
      </c>
      <c r="I400" s="2" t="s">
        <v>133</v>
      </c>
      <c r="J400" s="2">
        <v>1</v>
      </c>
      <c r="K400" s="2" t="s">
        <v>24</v>
      </c>
      <c r="L400" s="2">
        <v>817</v>
      </c>
      <c r="M400" s="2" t="s">
        <v>117</v>
      </c>
      <c r="N400" s="2">
        <v>138</v>
      </c>
      <c r="O400" s="2">
        <v>6373901.2699999996</v>
      </c>
      <c r="P400" s="2">
        <v>46187.69</v>
      </c>
    </row>
    <row r="401" spans="1:16" outlineLevel="2" x14ac:dyDescent="0.2">
      <c r="A401" s="5">
        <v>46034</v>
      </c>
      <c r="B401" s="2">
        <v>155998</v>
      </c>
      <c r="C401" s="2">
        <v>2</v>
      </c>
      <c r="D401" s="2" t="s">
        <v>38</v>
      </c>
      <c r="E401" s="2" t="s">
        <v>39</v>
      </c>
      <c r="F401" s="2" t="s">
        <v>63</v>
      </c>
      <c r="G401" s="2" t="s">
        <v>22</v>
      </c>
      <c r="H401" s="2" t="s">
        <v>23</v>
      </c>
      <c r="I401" s="2" t="s">
        <v>23</v>
      </c>
      <c r="J401" s="2">
        <v>124</v>
      </c>
      <c r="K401" s="2" t="s">
        <v>155</v>
      </c>
      <c r="L401" s="2">
        <v>817</v>
      </c>
      <c r="M401" s="2" t="s">
        <v>117</v>
      </c>
      <c r="N401" s="2">
        <v>300</v>
      </c>
      <c r="O401" s="2">
        <v>20085822.449999999</v>
      </c>
      <c r="P401" s="2">
        <v>66952.740000000005</v>
      </c>
    </row>
    <row r="402" spans="1:16" outlineLevel="2" x14ac:dyDescent="0.2">
      <c r="A402" s="5">
        <v>46041</v>
      </c>
      <c r="B402" s="2">
        <v>155999</v>
      </c>
      <c r="C402" s="2">
        <v>1</v>
      </c>
      <c r="D402" s="2" t="s">
        <v>38</v>
      </c>
      <c r="E402" s="2" t="s">
        <v>39</v>
      </c>
      <c r="F402" s="2" t="s">
        <v>63</v>
      </c>
      <c r="G402" s="2" t="s">
        <v>22</v>
      </c>
      <c r="H402" s="2" t="s">
        <v>23</v>
      </c>
      <c r="I402" s="2" t="s">
        <v>116</v>
      </c>
      <c r="J402" s="2">
        <v>1</v>
      </c>
      <c r="K402" s="2" t="s">
        <v>24</v>
      </c>
      <c r="L402" s="2">
        <v>1846</v>
      </c>
      <c r="M402" s="2" t="s">
        <v>134</v>
      </c>
      <c r="N402" s="2">
        <v>264</v>
      </c>
      <c r="O402" s="2">
        <v>15942881.619999999</v>
      </c>
      <c r="P402" s="2">
        <v>60389.7</v>
      </c>
    </row>
    <row r="403" spans="1:16" outlineLevel="2" x14ac:dyDescent="0.2">
      <c r="A403" s="5">
        <v>46036</v>
      </c>
      <c r="B403" s="2">
        <v>155999</v>
      </c>
      <c r="C403" s="2">
        <v>2</v>
      </c>
      <c r="D403" s="2" t="s">
        <v>38</v>
      </c>
      <c r="E403" s="2" t="s">
        <v>39</v>
      </c>
      <c r="F403" s="2" t="s">
        <v>63</v>
      </c>
      <c r="G403" s="2" t="s">
        <v>22</v>
      </c>
      <c r="H403" s="2" t="s">
        <v>23</v>
      </c>
      <c r="I403" s="2" t="s">
        <v>135</v>
      </c>
      <c r="J403" s="2">
        <v>1</v>
      </c>
      <c r="K403" s="2" t="s">
        <v>24</v>
      </c>
      <c r="L403" s="2">
        <v>1846</v>
      </c>
      <c r="M403" s="2" t="s">
        <v>134</v>
      </c>
      <c r="N403" s="2">
        <v>88</v>
      </c>
      <c r="O403" s="2">
        <v>5727336.9900000002</v>
      </c>
      <c r="P403" s="2">
        <v>65083.37</v>
      </c>
    </row>
    <row r="404" spans="1:16" outlineLevel="2" x14ac:dyDescent="0.2">
      <c r="A404" s="5">
        <v>46036</v>
      </c>
      <c r="B404" s="2">
        <v>155999</v>
      </c>
      <c r="C404" s="2">
        <v>3</v>
      </c>
      <c r="D404" s="2" t="s">
        <v>38</v>
      </c>
      <c r="E404" s="2" t="s">
        <v>39</v>
      </c>
      <c r="F404" s="2" t="s">
        <v>63</v>
      </c>
      <c r="G404" s="2" t="s">
        <v>22</v>
      </c>
      <c r="H404" s="2" t="s">
        <v>23</v>
      </c>
      <c r="I404" s="2" t="s">
        <v>133</v>
      </c>
      <c r="J404" s="2">
        <v>1</v>
      </c>
      <c r="K404" s="2" t="s">
        <v>24</v>
      </c>
      <c r="L404" s="2">
        <v>1846</v>
      </c>
      <c r="M404" s="2" t="s">
        <v>134</v>
      </c>
      <c r="N404" s="2">
        <v>352</v>
      </c>
      <c r="O404" s="2">
        <v>17461397.16</v>
      </c>
      <c r="P404" s="2">
        <v>49606.239999999998</v>
      </c>
    </row>
    <row r="405" spans="1:16" outlineLevel="2" x14ac:dyDescent="0.2">
      <c r="A405" s="5">
        <v>46034</v>
      </c>
      <c r="B405" s="2">
        <v>155999</v>
      </c>
      <c r="C405" s="2">
        <v>4</v>
      </c>
      <c r="D405" s="2" t="s">
        <v>38</v>
      </c>
      <c r="E405" s="2" t="s">
        <v>39</v>
      </c>
      <c r="F405" s="2" t="s">
        <v>63</v>
      </c>
      <c r="G405" s="2" t="s">
        <v>22</v>
      </c>
      <c r="H405" s="2" t="s">
        <v>23</v>
      </c>
      <c r="I405" s="2" t="s">
        <v>23</v>
      </c>
      <c r="J405" s="2">
        <v>124</v>
      </c>
      <c r="K405" s="2" t="s">
        <v>155</v>
      </c>
      <c r="L405" s="2">
        <v>1846</v>
      </c>
      <c r="M405" s="2" t="s">
        <v>134</v>
      </c>
      <c r="N405" s="2">
        <v>110</v>
      </c>
      <c r="O405" s="2">
        <v>7084095.0999999996</v>
      </c>
      <c r="P405" s="2">
        <v>64400.86</v>
      </c>
    </row>
    <row r="406" spans="1:16" outlineLevel="1" x14ac:dyDescent="0.2">
      <c r="A406" s="5"/>
      <c r="D406" s="3" t="s">
        <v>721</v>
      </c>
      <c r="N406" s="2">
        <f>SUBTOTAL(9,N400:N405)</f>
        <v>1252</v>
      </c>
      <c r="O406" s="2">
        <f>SUBTOTAL(9,O400:O405)</f>
        <v>72675434.589999989</v>
      </c>
    </row>
    <row r="407" spans="1:16" outlineLevel="2" x14ac:dyDescent="0.2">
      <c r="A407" s="5">
        <v>46034</v>
      </c>
      <c r="B407" s="2">
        <v>156006</v>
      </c>
      <c r="C407" s="2">
        <v>5</v>
      </c>
      <c r="D407" s="2" t="s">
        <v>83</v>
      </c>
      <c r="E407" s="2" t="s">
        <v>250</v>
      </c>
      <c r="F407" s="2" t="s">
        <v>31</v>
      </c>
      <c r="G407" s="2" t="s">
        <v>22</v>
      </c>
      <c r="H407" s="2" t="s">
        <v>23</v>
      </c>
      <c r="I407" s="2" t="s">
        <v>23</v>
      </c>
      <c r="J407" s="2">
        <v>1</v>
      </c>
      <c r="K407" s="2" t="s">
        <v>24</v>
      </c>
      <c r="L407" s="2">
        <v>226</v>
      </c>
      <c r="M407" s="2" t="s">
        <v>59</v>
      </c>
      <c r="N407" s="2">
        <v>50</v>
      </c>
      <c r="O407" s="2">
        <v>989309.47</v>
      </c>
      <c r="P407" s="2">
        <v>19786.189999999999</v>
      </c>
    </row>
    <row r="408" spans="1:16" outlineLevel="2" x14ac:dyDescent="0.2">
      <c r="A408" s="5">
        <v>46034</v>
      </c>
      <c r="B408" s="2">
        <v>156008</v>
      </c>
      <c r="C408" s="2">
        <v>1</v>
      </c>
      <c r="D408" s="2" t="s">
        <v>83</v>
      </c>
      <c r="E408" s="2" t="s">
        <v>251</v>
      </c>
      <c r="F408" s="2" t="s">
        <v>252</v>
      </c>
      <c r="G408" s="2" t="s">
        <v>22</v>
      </c>
      <c r="H408" s="2" t="s">
        <v>23</v>
      </c>
      <c r="I408" s="2" t="s">
        <v>23</v>
      </c>
      <c r="J408" s="2">
        <v>1</v>
      </c>
      <c r="K408" s="2" t="s">
        <v>24</v>
      </c>
      <c r="L408" s="2">
        <v>2538</v>
      </c>
      <c r="M408" s="2" t="s">
        <v>91</v>
      </c>
      <c r="N408" s="2">
        <v>86</v>
      </c>
      <c r="O408" s="2">
        <v>2292254.37</v>
      </c>
      <c r="P408" s="2">
        <v>26654.12</v>
      </c>
    </row>
    <row r="409" spans="1:16" outlineLevel="1" x14ac:dyDescent="0.2">
      <c r="A409" s="5"/>
      <c r="D409" s="3" t="s">
        <v>701</v>
      </c>
      <c r="N409" s="2">
        <f>SUBTOTAL(9,N407:N408)</f>
        <v>136</v>
      </c>
      <c r="O409" s="2">
        <f>SUBTOTAL(9,O407:O408)</f>
        <v>3281563.84</v>
      </c>
    </row>
    <row r="410" spans="1:16" outlineLevel="2" x14ac:dyDescent="0.2">
      <c r="A410" s="5">
        <v>46034</v>
      </c>
      <c r="B410" s="2">
        <v>156009</v>
      </c>
      <c r="C410" s="2">
        <v>1</v>
      </c>
      <c r="D410" s="2" t="s">
        <v>207</v>
      </c>
      <c r="E410" s="2" t="s">
        <v>23</v>
      </c>
      <c r="F410" s="2" t="s">
        <v>47</v>
      </c>
      <c r="G410" s="2" t="s">
        <v>22</v>
      </c>
      <c r="H410" s="2" t="s">
        <v>208</v>
      </c>
      <c r="I410" s="2" t="s">
        <v>23</v>
      </c>
      <c r="J410" s="2">
        <v>41</v>
      </c>
      <c r="K410" s="2" t="s">
        <v>129</v>
      </c>
      <c r="L410" s="2">
        <v>25213</v>
      </c>
      <c r="M410" s="2" t="s">
        <v>130</v>
      </c>
      <c r="N410" s="2">
        <v>25</v>
      </c>
      <c r="O410" s="2">
        <v>62758</v>
      </c>
      <c r="P410" s="2">
        <v>2510.3200000000002</v>
      </c>
    </row>
    <row r="411" spans="1:16" outlineLevel="2" x14ac:dyDescent="0.2">
      <c r="A411" s="5">
        <v>46034</v>
      </c>
      <c r="B411" s="2">
        <v>156009</v>
      </c>
      <c r="C411" s="2">
        <v>2</v>
      </c>
      <c r="D411" s="2" t="s">
        <v>207</v>
      </c>
      <c r="E411" s="2" t="s">
        <v>23</v>
      </c>
      <c r="F411" s="2" t="s">
        <v>47</v>
      </c>
      <c r="G411" s="2" t="s">
        <v>22</v>
      </c>
      <c r="H411" s="2" t="s">
        <v>209</v>
      </c>
      <c r="I411" s="2" t="s">
        <v>23</v>
      </c>
      <c r="J411" s="2">
        <v>41</v>
      </c>
      <c r="K411" s="2" t="s">
        <v>129</v>
      </c>
      <c r="L411" s="2">
        <v>25213</v>
      </c>
      <c r="M411" s="2" t="s">
        <v>130</v>
      </c>
      <c r="N411" s="2">
        <v>25</v>
      </c>
      <c r="O411" s="2">
        <v>51090</v>
      </c>
      <c r="P411" s="2">
        <v>2043.6</v>
      </c>
    </row>
    <row r="412" spans="1:16" outlineLevel="1" x14ac:dyDescent="0.2">
      <c r="A412" s="5"/>
      <c r="D412" s="3" t="s">
        <v>699</v>
      </c>
      <c r="N412" s="2">
        <f>SUBTOTAL(9,N410:N411)</f>
        <v>50</v>
      </c>
      <c r="O412" s="2">
        <f>SUBTOTAL(9,O410:O411)</f>
        <v>113848</v>
      </c>
    </row>
    <row r="413" spans="1:16" outlineLevel="2" x14ac:dyDescent="0.2">
      <c r="A413" s="5">
        <v>46034</v>
      </c>
      <c r="B413" s="2">
        <v>156009</v>
      </c>
      <c r="C413" s="2">
        <v>3</v>
      </c>
      <c r="D413" s="2" t="s">
        <v>128</v>
      </c>
      <c r="E413" s="2" t="s">
        <v>23</v>
      </c>
      <c r="F413" s="2" t="s">
        <v>47</v>
      </c>
      <c r="G413" s="2" t="s">
        <v>22</v>
      </c>
      <c r="H413" s="2" t="s">
        <v>23</v>
      </c>
      <c r="I413" s="2" t="s">
        <v>23</v>
      </c>
      <c r="J413" s="2">
        <v>41</v>
      </c>
      <c r="K413" s="2" t="s">
        <v>129</v>
      </c>
      <c r="L413" s="2">
        <v>25213</v>
      </c>
      <c r="M413" s="2" t="s">
        <v>130</v>
      </c>
      <c r="N413" s="2">
        <v>25</v>
      </c>
      <c r="O413" s="2">
        <v>86093.75</v>
      </c>
      <c r="P413" s="2">
        <v>3443.75</v>
      </c>
    </row>
    <row r="414" spans="1:16" outlineLevel="1" x14ac:dyDescent="0.2">
      <c r="A414" s="5"/>
      <c r="D414" s="3" t="s">
        <v>732</v>
      </c>
      <c r="N414" s="2">
        <f>SUBTOTAL(9,N413:N413)</f>
        <v>25</v>
      </c>
      <c r="O414" s="2">
        <f>SUBTOTAL(9,O413:O413)</f>
        <v>86093.75</v>
      </c>
    </row>
    <row r="415" spans="1:16" outlineLevel="2" x14ac:dyDescent="0.2">
      <c r="A415" s="5">
        <v>46034</v>
      </c>
      <c r="B415" s="2">
        <v>156009</v>
      </c>
      <c r="C415" s="2">
        <v>4</v>
      </c>
      <c r="D415" s="2" t="s">
        <v>207</v>
      </c>
      <c r="E415" s="2" t="s">
        <v>23</v>
      </c>
      <c r="F415" s="2" t="s">
        <v>47</v>
      </c>
      <c r="G415" s="2" t="s">
        <v>22</v>
      </c>
      <c r="H415" s="2" t="s">
        <v>23</v>
      </c>
      <c r="I415" s="2" t="s">
        <v>23</v>
      </c>
      <c r="J415" s="2">
        <v>1</v>
      </c>
      <c r="K415" s="2" t="s">
        <v>24</v>
      </c>
      <c r="L415" s="2">
        <v>25213</v>
      </c>
      <c r="M415" s="2" t="s">
        <v>130</v>
      </c>
      <c r="N415" s="2">
        <v>2</v>
      </c>
      <c r="O415" s="2">
        <v>111432.66</v>
      </c>
      <c r="P415" s="2">
        <v>55716.33</v>
      </c>
    </row>
    <row r="416" spans="1:16" outlineLevel="1" x14ac:dyDescent="0.2">
      <c r="A416" s="5"/>
      <c r="D416" s="3" t="s">
        <v>699</v>
      </c>
      <c r="N416" s="2">
        <f>SUBTOTAL(9,N415:N415)</f>
        <v>2</v>
      </c>
      <c r="O416" s="2">
        <f>SUBTOTAL(9,O415:O415)</f>
        <v>111432.66</v>
      </c>
    </row>
    <row r="417" spans="1:16" outlineLevel="2" x14ac:dyDescent="0.2">
      <c r="A417" s="5">
        <v>46034</v>
      </c>
      <c r="B417" s="2">
        <v>156010</v>
      </c>
      <c r="C417" s="2">
        <v>1</v>
      </c>
      <c r="D417" s="2" t="s">
        <v>60</v>
      </c>
      <c r="E417" s="2" t="s">
        <v>253</v>
      </c>
      <c r="F417" s="2" t="s">
        <v>31</v>
      </c>
      <c r="G417" s="2" t="s">
        <v>22</v>
      </c>
      <c r="H417" s="2" t="s">
        <v>23</v>
      </c>
      <c r="I417" s="2" t="s">
        <v>23</v>
      </c>
      <c r="J417" s="2">
        <v>78</v>
      </c>
      <c r="K417" s="2" t="s">
        <v>212</v>
      </c>
      <c r="L417" s="2">
        <v>226</v>
      </c>
      <c r="M417" s="2" t="s">
        <v>59</v>
      </c>
      <c r="N417" s="2">
        <v>91</v>
      </c>
      <c r="O417" s="2">
        <v>2593999.9300000002</v>
      </c>
      <c r="P417" s="2">
        <v>28505.49</v>
      </c>
    </row>
    <row r="418" spans="1:16" outlineLevel="1" x14ac:dyDescent="0.2">
      <c r="A418" s="5"/>
      <c r="D418" s="3" t="s">
        <v>728</v>
      </c>
      <c r="N418" s="2">
        <f>SUBTOTAL(9,N417:N417)</f>
        <v>91</v>
      </c>
      <c r="O418" s="2">
        <f>SUBTOTAL(9,O417:O417)</f>
        <v>2593999.9300000002</v>
      </c>
    </row>
    <row r="419" spans="1:16" outlineLevel="2" x14ac:dyDescent="0.2">
      <c r="A419" s="5">
        <v>46034</v>
      </c>
      <c r="B419" s="2">
        <v>156010</v>
      </c>
      <c r="C419" s="2">
        <v>2</v>
      </c>
      <c r="D419" s="2" t="s">
        <v>107</v>
      </c>
      <c r="E419" s="2" t="s">
        <v>254</v>
      </c>
      <c r="F419" s="2" t="s">
        <v>31</v>
      </c>
      <c r="G419" s="2" t="s">
        <v>22</v>
      </c>
      <c r="H419" s="2" t="s">
        <v>23</v>
      </c>
      <c r="I419" s="2" t="s">
        <v>23</v>
      </c>
      <c r="J419" s="2">
        <v>88</v>
      </c>
      <c r="K419" s="2" t="s">
        <v>255</v>
      </c>
      <c r="L419" s="2">
        <v>226</v>
      </c>
      <c r="M419" s="2" t="s">
        <v>59</v>
      </c>
      <c r="N419" s="2">
        <v>64</v>
      </c>
      <c r="O419" s="2">
        <v>2011026.4</v>
      </c>
      <c r="P419" s="2">
        <v>31422.29</v>
      </c>
    </row>
    <row r="420" spans="1:16" outlineLevel="1" x14ac:dyDescent="0.2">
      <c r="A420" s="5"/>
      <c r="D420" s="3" t="s">
        <v>726</v>
      </c>
      <c r="N420" s="2">
        <f>SUBTOTAL(9,N419:N419)</f>
        <v>64</v>
      </c>
      <c r="O420" s="2">
        <f>SUBTOTAL(9,O419:O419)</f>
        <v>2011026.4</v>
      </c>
    </row>
    <row r="421" spans="1:16" outlineLevel="2" x14ac:dyDescent="0.2">
      <c r="A421" s="5">
        <v>46034</v>
      </c>
      <c r="B421" s="2">
        <v>156010</v>
      </c>
      <c r="C421" s="2">
        <v>3</v>
      </c>
      <c r="D421" s="2" t="s">
        <v>29</v>
      </c>
      <c r="E421" s="2" t="s">
        <v>256</v>
      </c>
      <c r="F421" s="2" t="s">
        <v>31</v>
      </c>
      <c r="G421" s="2" t="s">
        <v>22</v>
      </c>
      <c r="H421" s="2" t="s">
        <v>23</v>
      </c>
      <c r="I421" s="2" t="s">
        <v>23</v>
      </c>
      <c r="J421" s="2">
        <v>11</v>
      </c>
      <c r="K421" s="2" t="s">
        <v>257</v>
      </c>
      <c r="L421" s="2">
        <v>226</v>
      </c>
      <c r="M421" s="2" t="s">
        <v>59</v>
      </c>
      <c r="N421" s="2">
        <v>76</v>
      </c>
      <c r="O421" s="2">
        <v>1763565.75</v>
      </c>
      <c r="P421" s="2">
        <v>23204.81</v>
      </c>
    </row>
    <row r="422" spans="1:16" outlineLevel="1" x14ac:dyDescent="0.2">
      <c r="A422" s="5"/>
      <c r="D422" s="3" t="s">
        <v>703</v>
      </c>
      <c r="N422" s="2">
        <f>SUBTOTAL(9,N421:N421)</f>
        <v>76</v>
      </c>
      <c r="O422" s="2">
        <f>SUBTOTAL(9,O421:O421)</f>
        <v>1763565.75</v>
      </c>
    </row>
    <row r="423" spans="1:16" outlineLevel="2" x14ac:dyDescent="0.2">
      <c r="A423" s="5">
        <v>46034</v>
      </c>
      <c r="B423" s="2">
        <v>156010</v>
      </c>
      <c r="C423" s="2">
        <v>4</v>
      </c>
      <c r="D423" s="2" t="s">
        <v>107</v>
      </c>
      <c r="E423" s="2" t="s">
        <v>254</v>
      </c>
      <c r="F423" s="2" t="s">
        <v>31</v>
      </c>
      <c r="G423" s="2" t="s">
        <v>22</v>
      </c>
      <c r="H423" s="2" t="s">
        <v>23</v>
      </c>
      <c r="I423" s="2" t="s">
        <v>23</v>
      </c>
      <c r="J423" s="2">
        <v>124</v>
      </c>
      <c r="K423" s="2" t="s">
        <v>155</v>
      </c>
      <c r="L423" s="2">
        <v>226</v>
      </c>
      <c r="M423" s="2" t="s">
        <v>59</v>
      </c>
      <c r="N423" s="2">
        <v>64</v>
      </c>
      <c r="O423" s="2">
        <v>1656809.36</v>
      </c>
      <c r="P423" s="2">
        <v>25887.65</v>
      </c>
    </row>
    <row r="424" spans="1:16" outlineLevel="1" x14ac:dyDescent="0.2">
      <c r="A424" s="5"/>
      <c r="D424" s="3" t="s">
        <v>726</v>
      </c>
      <c r="N424" s="2">
        <f>SUBTOTAL(9,N423:N423)</f>
        <v>64</v>
      </c>
      <c r="O424" s="2">
        <f>SUBTOTAL(9,O423:O423)</f>
        <v>1656809.36</v>
      </c>
    </row>
    <row r="425" spans="1:16" outlineLevel="2" x14ac:dyDescent="0.2">
      <c r="A425" s="5">
        <v>46034</v>
      </c>
      <c r="B425" s="2">
        <v>156011</v>
      </c>
      <c r="C425" s="2">
        <v>1</v>
      </c>
      <c r="D425" s="2" t="s">
        <v>88</v>
      </c>
      <c r="E425" s="2" t="s">
        <v>23</v>
      </c>
      <c r="F425" s="2" t="s">
        <v>31</v>
      </c>
      <c r="G425" s="2" t="s">
        <v>22</v>
      </c>
      <c r="H425" s="2" t="s">
        <v>23</v>
      </c>
      <c r="I425" s="2" t="s">
        <v>23</v>
      </c>
      <c r="J425" s="2">
        <v>1</v>
      </c>
      <c r="K425" s="2" t="s">
        <v>24</v>
      </c>
      <c r="L425" s="2">
        <v>564</v>
      </c>
      <c r="M425" s="2" t="s">
        <v>204</v>
      </c>
      <c r="N425" s="2">
        <v>158</v>
      </c>
      <c r="O425" s="2">
        <v>2846916.11</v>
      </c>
      <c r="P425" s="2">
        <v>18018.46</v>
      </c>
    </row>
    <row r="426" spans="1:16" outlineLevel="1" x14ac:dyDescent="0.2">
      <c r="A426" s="5"/>
      <c r="D426" s="3" t="s">
        <v>698</v>
      </c>
      <c r="N426" s="2">
        <f>SUBTOTAL(9,N425:N425)</f>
        <v>158</v>
      </c>
      <c r="O426" s="2">
        <f>SUBTOTAL(9,O425:O425)</f>
        <v>2846916.11</v>
      </c>
    </row>
    <row r="427" spans="1:16" outlineLevel="2" x14ac:dyDescent="0.2">
      <c r="A427" s="5">
        <v>46038</v>
      </c>
      <c r="B427" s="2">
        <v>156014</v>
      </c>
      <c r="C427" s="2">
        <v>1</v>
      </c>
      <c r="D427" s="2" t="s">
        <v>45</v>
      </c>
      <c r="E427" s="2" t="s">
        <v>125</v>
      </c>
      <c r="F427" s="2" t="s">
        <v>55</v>
      </c>
      <c r="G427" s="2" t="s">
        <v>23</v>
      </c>
      <c r="H427" s="2" t="s">
        <v>23</v>
      </c>
      <c r="I427" s="2" t="s">
        <v>23</v>
      </c>
      <c r="J427" s="2">
        <v>2</v>
      </c>
      <c r="K427" s="2" t="s">
        <v>48</v>
      </c>
      <c r="L427" s="2">
        <v>626</v>
      </c>
      <c r="M427" s="2" t="s">
        <v>49</v>
      </c>
      <c r="N427" s="2">
        <v>3</v>
      </c>
      <c r="O427" s="2">
        <v>39267.86</v>
      </c>
      <c r="P427" s="2">
        <v>13089.29</v>
      </c>
    </row>
    <row r="428" spans="1:16" outlineLevel="1" x14ac:dyDescent="0.2">
      <c r="A428" s="5"/>
      <c r="D428" s="3" t="s">
        <v>733</v>
      </c>
      <c r="N428" s="2">
        <f>SUBTOTAL(9,N427:N427)</f>
        <v>3</v>
      </c>
      <c r="O428" s="2">
        <f>SUBTOTAL(9,O427:O427)</f>
        <v>39267.86</v>
      </c>
    </row>
    <row r="429" spans="1:16" outlineLevel="2" x14ac:dyDescent="0.2">
      <c r="A429" s="5">
        <v>46034</v>
      </c>
      <c r="B429" s="2">
        <v>156015</v>
      </c>
      <c r="C429" s="2">
        <v>1</v>
      </c>
      <c r="D429" s="2" t="s">
        <v>229</v>
      </c>
      <c r="E429" s="2" t="s">
        <v>23</v>
      </c>
      <c r="F429" s="2" t="s">
        <v>144</v>
      </c>
      <c r="G429" s="2" t="s">
        <v>22</v>
      </c>
      <c r="H429" s="2" t="s">
        <v>23</v>
      </c>
      <c r="I429" s="2" t="s">
        <v>23</v>
      </c>
      <c r="J429" s="2">
        <v>1</v>
      </c>
      <c r="K429" s="2" t="s">
        <v>24</v>
      </c>
      <c r="L429" s="2">
        <v>1501</v>
      </c>
      <c r="M429" s="2" t="s">
        <v>258</v>
      </c>
      <c r="N429" s="2">
        <v>68</v>
      </c>
      <c r="O429" s="2">
        <v>1528374.94</v>
      </c>
      <c r="P429" s="2">
        <v>22476.1</v>
      </c>
    </row>
    <row r="430" spans="1:16" outlineLevel="1" x14ac:dyDescent="0.2">
      <c r="A430" s="5"/>
      <c r="D430" s="3" t="s">
        <v>737</v>
      </c>
      <c r="N430" s="2">
        <f>SUBTOTAL(9,N429:N429)</f>
        <v>68</v>
      </c>
      <c r="O430" s="2">
        <f>SUBTOTAL(9,O429:O429)</f>
        <v>1528374.94</v>
      </c>
    </row>
    <row r="431" spans="1:16" outlineLevel="2" x14ac:dyDescent="0.2">
      <c r="A431" s="5">
        <v>46038</v>
      </c>
      <c r="B431" s="2">
        <v>156017</v>
      </c>
      <c r="C431" s="2">
        <v>3</v>
      </c>
      <c r="D431" s="2" t="s">
        <v>107</v>
      </c>
      <c r="E431" s="2" t="s">
        <v>23</v>
      </c>
      <c r="F431" s="2" t="s">
        <v>31</v>
      </c>
      <c r="G431" s="2" t="s">
        <v>22</v>
      </c>
      <c r="H431" s="2" t="s">
        <v>23</v>
      </c>
      <c r="I431" s="2" t="s">
        <v>23</v>
      </c>
      <c r="J431" s="2">
        <v>2</v>
      </c>
      <c r="K431" s="2" t="s">
        <v>48</v>
      </c>
      <c r="L431" s="2">
        <v>25092</v>
      </c>
      <c r="M431" s="2" t="s">
        <v>96</v>
      </c>
      <c r="N431" s="2">
        <v>40</v>
      </c>
      <c r="O431" s="2">
        <v>543790.28</v>
      </c>
      <c r="P431" s="2">
        <v>13594.76</v>
      </c>
    </row>
    <row r="432" spans="1:16" outlineLevel="1" x14ac:dyDescent="0.2">
      <c r="A432" s="5"/>
      <c r="D432" s="3" t="s">
        <v>726</v>
      </c>
      <c r="N432" s="2">
        <f>SUBTOTAL(9,N431:N431)</f>
        <v>40</v>
      </c>
      <c r="O432" s="2">
        <f>SUBTOTAL(9,O431:O431)</f>
        <v>543790.28</v>
      </c>
    </row>
    <row r="433" spans="1:16" outlineLevel="2" x14ac:dyDescent="0.2">
      <c r="A433" s="5">
        <v>46043</v>
      </c>
      <c r="B433" s="2">
        <v>156027</v>
      </c>
      <c r="C433" s="2">
        <v>1</v>
      </c>
      <c r="D433" s="2" t="s">
        <v>57</v>
      </c>
      <c r="E433" s="2" t="s">
        <v>259</v>
      </c>
      <c r="F433" s="2" t="s">
        <v>31</v>
      </c>
      <c r="G433" s="2" t="s">
        <v>55</v>
      </c>
      <c r="H433" s="2" t="s">
        <v>23</v>
      </c>
      <c r="I433" s="2" t="s">
        <v>23</v>
      </c>
      <c r="J433" s="2">
        <v>1</v>
      </c>
      <c r="K433" s="2" t="s">
        <v>24</v>
      </c>
      <c r="L433" s="2">
        <v>986</v>
      </c>
      <c r="M433" s="2" t="s">
        <v>260</v>
      </c>
      <c r="N433" s="2">
        <v>6</v>
      </c>
      <c r="O433" s="2">
        <v>239058.21</v>
      </c>
      <c r="P433" s="2">
        <v>39843.040000000001</v>
      </c>
    </row>
    <row r="434" spans="1:16" outlineLevel="1" x14ac:dyDescent="0.2">
      <c r="A434" s="5"/>
      <c r="D434" s="3" t="s">
        <v>716</v>
      </c>
      <c r="N434" s="2">
        <f>SUBTOTAL(9,N433:N433)</f>
        <v>6</v>
      </c>
      <c r="O434" s="2">
        <f>SUBTOTAL(9,O433:O433)</f>
        <v>239058.21</v>
      </c>
    </row>
    <row r="435" spans="1:16" outlineLevel="2" x14ac:dyDescent="0.2">
      <c r="A435" s="5">
        <v>46036</v>
      </c>
      <c r="B435" s="2">
        <v>156030</v>
      </c>
      <c r="C435" s="2">
        <v>1</v>
      </c>
      <c r="D435" s="2" t="s">
        <v>67</v>
      </c>
      <c r="E435" s="2" t="s">
        <v>68</v>
      </c>
      <c r="F435" s="2" t="s">
        <v>72</v>
      </c>
      <c r="G435" s="2" t="s">
        <v>22</v>
      </c>
      <c r="H435" s="2" t="s">
        <v>23</v>
      </c>
      <c r="I435" s="2" t="s">
        <v>23</v>
      </c>
      <c r="J435" s="2">
        <v>2</v>
      </c>
      <c r="K435" s="2" t="s">
        <v>48</v>
      </c>
      <c r="L435" s="2">
        <v>281</v>
      </c>
      <c r="M435" s="2" t="s">
        <v>261</v>
      </c>
      <c r="N435" s="2">
        <v>1</v>
      </c>
      <c r="O435" s="2">
        <v>10911.26</v>
      </c>
      <c r="P435" s="2">
        <v>10911.26</v>
      </c>
    </row>
    <row r="436" spans="1:16" outlineLevel="1" x14ac:dyDescent="0.2">
      <c r="A436" s="5"/>
      <c r="D436" s="3" t="s">
        <v>720</v>
      </c>
      <c r="N436" s="2">
        <f>SUBTOTAL(9,N435:N435)</f>
        <v>1</v>
      </c>
      <c r="O436" s="2">
        <f>SUBTOTAL(9,O435:O435)</f>
        <v>10911.26</v>
      </c>
    </row>
    <row r="437" spans="1:16" outlineLevel="2" x14ac:dyDescent="0.2">
      <c r="A437" s="5">
        <v>46041</v>
      </c>
      <c r="B437" s="2">
        <v>156044</v>
      </c>
      <c r="C437" s="2">
        <v>1</v>
      </c>
      <c r="D437" s="2" t="s">
        <v>160</v>
      </c>
      <c r="E437" s="2" t="s">
        <v>222</v>
      </c>
      <c r="F437" s="2" t="s">
        <v>40</v>
      </c>
      <c r="G437" s="2" t="s">
        <v>22</v>
      </c>
      <c r="H437" s="2" t="s">
        <v>23</v>
      </c>
      <c r="I437" s="2" t="s">
        <v>23</v>
      </c>
      <c r="J437" s="2">
        <v>1</v>
      </c>
      <c r="K437" s="2" t="s">
        <v>24</v>
      </c>
      <c r="L437" s="2">
        <v>25211</v>
      </c>
      <c r="M437" s="2" t="s">
        <v>28</v>
      </c>
      <c r="N437" s="2">
        <v>81</v>
      </c>
      <c r="O437" s="2">
        <v>2649462.17</v>
      </c>
      <c r="P437" s="2">
        <v>32709.41</v>
      </c>
    </row>
    <row r="438" spans="1:16" outlineLevel="1" x14ac:dyDescent="0.2">
      <c r="A438" s="5"/>
      <c r="D438" s="3" t="s">
        <v>709</v>
      </c>
      <c r="N438" s="2">
        <f>SUBTOTAL(9,N437:N437)</f>
        <v>81</v>
      </c>
      <c r="O438" s="2">
        <f>SUBTOTAL(9,O437:O437)</f>
        <v>2649462.17</v>
      </c>
    </row>
    <row r="439" spans="1:16" outlineLevel="2" x14ac:dyDescent="0.2">
      <c r="A439" s="5">
        <v>46034</v>
      </c>
      <c r="B439" s="2">
        <v>156045</v>
      </c>
      <c r="C439" s="2">
        <v>1</v>
      </c>
      <c r="D439" s="2" t="s">
        <v>131</v>
      </c>
      <c r="E439" s="2" t="s">
        <v>132</v>
      </c>
      <c r="F439" s="2" t="s">
        <v>40</v>
      </c>
      <c r="G439" s="2" t="s">
        <v>22</v>
      </c>
      <c r="H439" s="2" t="s">
        <v>23</v>
      </c>
      <c r="I439" s="2" t="s">
        <v>23</v>
      </c>
      <c r="J439" s="2">
        <v>1</v>
      </c>
      <c r="K439" s="2" t="s">
        <v>24</v>
      </c>
      <c r="L439" s="2">
        <v>2521</v>
      </c>
      <c r="M439" s="2" t="s">
        <v>82</v>
      </c>
      <c r="N439" s="2">
        <v>262</v>
      </c>
      <c r="O439" s="2">
        <v>9080457.4900000002</v>
      </c>
      <c r="P439" s="2">
        <v>34658.230000000003</v>
      </c>
    </row>
    <row r="440" spans="1:16" outlineLevel="1" x14ac:dyDescent="0.2">
      <c r="A440" s="5"/>
      <c r="D440" s="3" t="s">
        <v>713</v>
      </c>
      <c r="N440" s="2">
        <f>SUBTOTAL(9,N439:N439)</f>
        <v>262</v>
      </c>
      <c r="O440" s="2">
        <f>SUBTOTAL(9,O439:O439)</f>
        <v>9080457.4900000002</v>
      </c>
    </row>
    <row r="441" spans="1:16" outlineLevel="2" x14ac:dyDescent="0.2">
      <c r="A441" s="5">
        <v>46036</v>
      </c>
      <c r="B441" s="2">
        <v>156076</v>
      </c>
      <c r="C441" s="2">
        <v>315</v>
      </c>
      <c r="D441" s="2" t="s">
        <v>110</v>
      </c>
      <c r="E441" s="2" t="s">
        <v>111</v>
      </c>
      <c r="F441" s="2" t="s">
        <v>55</v>
      </c>
      <c r="G441" s="2" t="s">
        <v>23</v>
      </c>
      <c r="H441" s="2" t="s">
        <v>23</v>
      </c>
      <c r="I441" s="2" t="s">
        <v>23</v>
      </c>
      <c r="J441" s="2">
        <v>2</v>
      </c>
      <c r="K441" s="2" t="s">
        <v>48</v>
      </c>
      <c r="L441" s="2">
        <v>25103</v>
      </c>
      <c r="M441" s="2" t="s">
        <v>262</v>
      </c>
      <c r="N441" s="2">
        <v>5</v>
      </c>
      <c r="O441" s="2">
        <v>14418.46</v>
      </c>
      <c r="P441" s="2">
        <v>2883.69</v>
      </c>
    </row>
    <row r="442" spans="1:16" outlineLevel="1" x14ac:dyDescent="0.2">
      <c r="A442" s="5"/>
      <c r="D442" s="3" t="s">
        <v>697</v>
      </c>
      <c r="N442" s="2">
        <f>SUBTOTAL(9,N441:N441)</f>
        <v>5</v>
      </c>
      <c r="O442" s="2">
        <f>SUBTOTAL(9,O441:O441)</f>
        <v>14418.46</v>
      </c>
    </row>
    <row r="443" spans="1:16" outlineLevel="2" x14ac:dyDescent="0.2">
      <c r="A443" s="5">
        <v>46038</v>
      </c>
      <c r="B443" s="2">
        <v>156084</v>
      </c>
      <c r="C443" s="2">
        <v>1</v>
      </c>
      <c r="D443" s="2" t="s">
        <v>197</v>
      </c>
      <c r="E443" s="2" t="s">
        <v>198</v>
      </c>
      <c r="F443" s="2" t="s">
        <v>199</v>
      </c>
      <c r="G443" s="2" t="s">
        <v>22</v>
      </c>
      <c r="H443" s="2" t="s">
        <v>23</v>
      </c>
      <c r="I443" s="2" t="s">
        <v>23</v>
      </c>
      <c r="J443" s="2">
        <v>2</v>
      </c>
      <c r="K443" s="2" t="s">
        <v>48</v>
      </c>
      <c r="L443" s="2">
        <v>182</v>
      </c>
      <c r="M443" s="2" t="s">
        <v>263</v>
      </c>
      <c r="N443" s="2">
        <v>204</v>
      </c>
      <c r="O443" s="2">
        <v>4615186.1500000004</v>
      </c>
      <c r="P443" s="2">
        <v>22623.46</v>
      </c>
    </row>
    <row r="444" spans="1:16" outlineLevel="2" x14ac:dyDescent="0.2">
      <c r="A444" s="5">
        <v>46045</v>
      </c>
      <c r="B444" s="2">
        <v>156086</v>
      </c>
      <c r="C444" s="2">
        <v>1</v>
      </c>
      <c r="D444" s="2" t="s">
        <v>197</v>
      </c>
      <c r="E444" s="2" t="s">
        <v>198</v>
      </c>
      <c r="F444" s="2" t="s">
        <v>199</v>
      </c>
      <c r="G444" s="2" t="s">
        <v>22</v>
      </c>
      <c r="H444" s="2" t="s">
        <v>23</v>
      </c>
      <c r="I444" s="2" t="s">
        <v>23</v>
      </c>
      <c r="J444" s="2">
        <v>1</v>
      </c>
      <c r="K444" s="2" t="s">
        <v>24</v>
      </c>
      <c r="L444" s="2">
        <v>25166</v>
      </c>
      <c r="M444" s="2" t="s">
        <v>200</v>
      </c>
      <c r="N444" s="2">
        <v>25</v>
      </c>
      <c r="O444" s="2">
        <v>252246.06</v>
      </c>
      <c r="P444" s="2">
        <v>10089.84</v>
      </c>
    </row>
    <row r="445" spans="1:16" outlineLevel="1" x14ac:dyDescent="0.2">
      <c r="A445" s="5"/>
      <c r="D445" s="3" t="s">
        <v>734</v>
      </c>
      <c r="N445" s="2">
        <f>SUBTOTAL(9,N443:N444)</f>
        <v>229</v>
      </c>
      <c r="O445" s="2">
        <f>SUBTOTAL(9,O443:O444)</f>
        <v>4867432.21</v>
      </c>
    </row>
    <row r="446" spans="1:16" outlineLevel="2" x14ac:dyDescent="0.2">
      <c r="A446" s="5">
        <v>46036</v>
      </c>
      <c r="B446" s="2">
        <v>156099</v>
      </c>
      <c r="C446" s="2">
        <v>1</v>
      </c>
      <c r="D446" s="2" t="s">
        <v>140</v>
      </c>
      <c r="E446" s="2" t="s">
        <v>141</v>
      </c>
      <c r="F446" s="2" t="s">
        <v>108</v>
      </c>
      <c r="G446" s="2" t="s">
        <v>22</v>
      </c>
      <c r="H446" s="2" t="s">
        <v>23</v>
      </c>
      <c r="I446" s="2" t="s">
        <v>23</v>
      </c>
      <c r="J446" s="2">
        <v>1</v>
      </c>
      <c r="K446" s="2" t="s">
        <v>24</v>
      </c>
      <c r="L446" s="2">
        <v>1833</v>
      </c>
      <c r="M446" s="2" t="s">
        <v>142</v>
      </c>
      <c r="N446" s="2">
        <v>34</v>
      </c>
      <c r="O446" s="2">
        <v>1025197.04</v>
      </c>
      <c r="P446" s="2">
        <v>30152.85</v>
      </c>
    </row>
    <row r="447" spans="1:16" outlineLevel="1" x14ac:dyDescent="0.2">
      <c r="A447" s="5"/>
      <c r="D447" s="3" t="s">
        <v>696</v>
      </c>
      <c r="N447" s="2">
        <f>SUBTOTAL(9,N446:N446)</f>
        <v>34</v>
      </c>
      <c r="O447" s="2">
        <f>SUBTOTAL(9,O446:O446)</f>
        <v>1025197.04</v>
      </c>
    </row>
    <row r="448" spans="1:16" outlineLevel="2" x14ac:dyDescent="0.2">
      <c r="A448" s="5">
        <v>46036</v>
      </c>
      <c r="B448" s="2">
        <v>156100</v>
      </c>
      <c r="C448" s="2">
        <v>1</v>
      </c>
      <c r="D448" s="2" t="s">
        <v>128</v>
      </c>
      <c r="E448" s="2" t="s">
        <v>23</v>
      </c>
      <c r="F448" s="2" t="s">
        <v>47</v>
      </c>
      <c r="G448" s="2" t="s">
        <v>22</v>
      </c>
      <c r="H448" s="2" t="s">
        <v>23</v>
      </c>
      <c r="I448" s="2" t="s">
        <v>23</v>
      </c>
      <c r="J448" s="2">
        <v>1</v>
      </c>
      <c r="K448" s="2" t="s">
        <v>24</v>
      </c>
      <c r="L448" s="2">
        <v>25213</v>
      </c>
      <c r="M448" s="2" t="s">
        <v>130</v>
      </c>
      <c r="N448" s="2">
        <v>6</v>
      </c>
      <c r="O448" s="2">
        <v>446310.72</v>
      </c>
      <c r="P448" s="2">
        <v>74385.119999999995</v>
      </c>
    </row>
    <row r="449" spans="1:16" outlineLevel="2" x14ac:dyDescent="0.2">
      <c r="A449" s="5">
        <v>46036</v>
      </c>
      <c r="B449" s="2">
        <v>156100</v>
      </c>
      <c r="C449" s="2">
        <v>2</v>
      </c>
      <c r="D449" s="2" t="s">
        <v>128</v>
      </c>
      <c r="E449" s="2" t="s">
        <v>23</v>
      </c>
      <c r="F449" s="2" t="s">
        <v>47</v>
      </c>
      <c r="G449" s="2" t="s">
        <v>22</v>
      </c>
      <c r="H449" s="2" t="s">
        <v>23</v>
      </c>
      <c r="I449" s="2" t="s">
        <v>23</v>
      </c>
      <c r="J449" s="2">
        <v>41</v>
      </c>
      <c r="K449" s="2" t="s">
        <v>129</v>
      </c>
      <c r="L449" s="2">
        <v>25213</v>
      </c>
      <c r="M449" s="2" t="s">
        <v>130</v>
      </c>
      <c r="N449" s="2">
        <v>97</v>
      </c>
      <c r="O449" s="2">
        <v>328265.5</v>
      </c>
      <c r="P449" s="2">
        <v>3384.18</v>
      </c>
    </row>
    <row r="450" spans="1:16" outlineLevel="1" x14ac:dyDescent="0.2">
      <c r="A450" s="5"/>
      <c r="D450" s="3" t="s">
        <v>732</v>
      </c>
      <c r="N450" s="2">
        <f>SUBTOTAL(9,N448:N449)</f>
        <v>103</v>
      </c>
      <c r="O450" s="2">
        <f>SUBTOTAL(9,O448:O449)</f>
        <v>774576.22</v>
      </c>
    </row>
    <row r="451" spans="1:16" outlineLevel="2" x14ac:dyDescent="0.2">
      <c r="A451" s="5">
        <v>46036</v>
      </c>
      <c r="B451" s="2">
        <v>156100</v>
      </c>
      <c r="C451" s="2">
        <v>3</v>
      </c>
      <c r="D451" s="2" t="s">
        <v>207</v>
      </c>
      <c r="E451" s="2" t="s">
        <v>23</v>
      </c>
      <c r="F451" s="2" t="s">
        <v>47</v>
      </c>
      <c r="G451" s="2" t="s">
        <v>22</v>
      </c>
      <c r="H451" s="2" t="s">
        <v>209</v>
      </c>
      <c r="I451" s="2" t="s">
        <v>23</v>
      </c>
      <c r="J451" s="2">
        <v>41</v>
      </c>
      <c r="K451" s="2" t="s">
        <v>129</v>
      </c>
      <c r="L451" s="2">
        <v>25213</v>
      </c>
      <c r="M451" s="2" t="s">
        <v>130</v>
      </c>
      <c r="N451" s="2">
        <v>25</v>
      </c>
      <c r="O451" s="2">
        <v>78500</v>
      </c>
      <c r="P451" s="2">
        <v>3140</v>
      </c>
    </row>
    <row r="452" spans="1:16" outlineLevel="2" x14ac:dyDescent="0.2">
      <c r="A452" s="5">
        <v>46036</v>
      </c>
      <c r="B452" s="2">
        <v>156100</v>
      </c>
      <c r="C452" s="2">
        <v>4</v>
      </c>
      <c r="D452" s="2" t="s">
        <v>207</v>
      </c>
      <c r="E452" s="2" t="s">
        <v>23</v>
      </c>
      <c r="F452" s="2" t="s">
        <v>47</v>
      </c>
      <c r="G452" s="2" t="s">
        <v>22</v>
      </c>
      <c r="H452" s="2" t="s">
        <v>208</v>
      </c>
      <c r="I452" s="2" t="s">
        <v>23</v>
      </c>
      <c r="J452" s="2">
        <v>41</v>
      </c>
      <c r="K452" s="2" t="s">
        <v>129</v>
      </c>
      <c r="L452" s="2">
        <v>25213</v>
      </c>
      <c r="M452" s="2" t="s">
        <v>130</v>
      </c>
      <c r="N452" s="2">
        <v>50</v>
      </c>
      <c r="O452" s="2">
        <v>144184.6</v>
      </c>
      <c r="P452" s="2">
        <v>2883.69</v>
      </c>
    </row>
    <row r="453" spans="1:16" outlineLevel="1" x14ac:dyDescent="0.2">
      <c r="A453" s="5"/>
      <c r="D453" s="3" t="s">
        <v>699</v>
      </c>
      <c r="N453" s="2">
        <f>SUBTOTAL(9,N451:N452)</f>
        <v>75</v>
      </c>
      <c r="O453" s="2">
        <f>SUBTOTAL(9,O451:O452)</f>
        <v>222684.6</v>
      </c>
    </row>
    <row r="454" spans="1:16" outlineLevel="2" x14ac:dyDescent="0.2">
      <c r="A454" s="5">
        <v>46043</v>
      </c>
      <c r="B454" s="2">
        <v>156102</v>
      </c>
      <c r="C454" s="2">
        <v>303</v>
      </c>
      <c r="D454" s="2" t="s">
        <v>229</v>
      </c>
      <c r="E454" s="2" t="s">
        <v>23</v>
      </c>
      <c r="F454" s="2" t="s">
        <v>23</v>
      </c>
      <c r="G454" s="2" t="s">
        <v>22</v>
      </c>
      <c r="H454" s="2" t="s">
        <v>23</v>
      </c>
      <c r="I454" s="2" t="s">
        <v>23</v>
      </c>
      <c r="J454" s="2">
        <v>1</v>
      </c>
      <c r="K454" s="2" t="s">
        <v>24</v>
      </c>
      <c r="L454" s="2">
        <v>0</v>
      </c>
      <c r="M454" s="2" t="s">
        <v>237</v>
      </c>
      <c r="N454" s="2">
        <v>6</v>
      </c>
      <c r="O454" s="2">
        <v>86936.69</v>
      </c>
      <c r="P454" s="2">
        <v>14489.45</v>
      </c>
    </row>
    <row r="455" spans="1:16" outlineLevel="1" x14ac:dyDescent="0.2">
      <c r="A455" s="5"/>
      <c r="D455" s="3" t="s">
        <v>737</v>
      </c>
      <c r="N455" s="2">
        <f>SUBTOTAL(9,N454:N454)</f>
        <v>6</v>
      </c>
      <c r="O455" s="2">
        <f>SUBTOTAL(9,O454:O454)</f>
        <v>86936.69</v>
      </c>
    </row>
    <row r="456" spans="1:16" outlineLevel="2" x14ac:dyDescent="0.2">
      <c r="A456" s="5">
        <v>46036</v>
      </c>
      <c r="B456" s="2">
        <v>156104</v>
      </c>
      <c r="C456" s="2">
        <v>1</v>
      </c>
      <c r="D456" s="2" t="s">
        <v>226</v>
      </c>
      <c r="E456" s="2" t="s">
        <v>227</v>
      </c>
      <c r="F456" s="2" t="s">
        <v>47</v>
      </c>
      <c r="G456" s="2" t="s">
        <v>22</v>
      </c>
      <c r="H456" s="2" t="s">
        <v>23</v>
      </c>
      <c r="I456" s="2" t="s">
        <v>23</v>
      </c>
      <c r="J456" s="2">
        <v>2</v>
      </c>
      <c r="K456" s="2" t="s">
        <v>48</v>
      </c>
      <c r="L456" s="2">
        <v>1964</v>
      </c>
      <c r="M456" s="2" t="s">
        <v>49</v>
      </c>
      <c r="N456" s="2">
        <v>50</v>
      </c>
      <c r="O456" s="2">
        <v>1174574.5900000001</v>
      </c>
      <c r="P456" s="2">
        <v>23491.49</v>
      </c>
    </row>
    <row r="457" spans="1:16" outlineLevel="1" x14ac:dyDescent="0.2">
      <c r="A457" s="5"/>
      <c r="D457" s="3" t="s">
        <v>736</v>
      </c>
      <c r="N457" s="2">
        <f>SUBTOTAL(9,N456:N456)</f>
        <v>50</v>
      </c>
      <c r="O457" s="2">
        <f>SUBTOTAL(9,O456:O456)</f>
        <v>1174574.5900000001</v>
      </c>
    </row>
    <row r="458" spans="1:16" outlineLevel="2" x14ac:dyDescent="0.2">
      <c r="A458" s="5">
        <v>46036</v>
      </c>
      <c r="B458" s="2">
        <v>156104</v>
      </c>
      <c r="C458" s="2">
        <v>2</v>
      </c>
      <c r="D458" s="2" t="s">
        <v>45</v>
      </c>
      <c r="E458" s="2" t="s">
        <v>227</v>
      </c>
      <c r="F458" s="2" t="s">
        <v>47</v>
      </c>
      <c r="G458" s="2" t="s">
        <v>22</v>
      </c>
      <c r="H458" s="2" t="s">
        <v>23</v>
      </c>
      <c r="I458" s="2" t="s">
        <v>23</v>
      </c>
      <c r="J458" s="2">
        <v>2</v>
      </c>
      <c r="K458" s="2" t="s">
        <v>48</v>
      </c>
      <c r="L458" s="2">
        <v>1964</v>
      </c>
      <c r="M458" s="2" t="s">
        <v>49</v>
      </c>
      <c r="N458" s="2">
        <v>10</v>
      </c>
      <c r="O458" s="2">
        <v>120893.92</v>
      </c>
      <c r="P458" s="2">
        <v>12089.39</v>
      </c>
    </row>
    <row r="459" spans="1:16" outlineLevel="2" x14ac:dyDescent="0.2">
      <c r="A459" s="5">
        <v>46043</v>
      </c>
      <c r="B459" s="2">
        <v>156105</v>
      </c>
      <c r="C459" s="2">
        <v>315</v>
      </c>
      <c r="D459" s="2" t="s">
        <v>45</v>
      </c>
      <c r="E459" s="2" t="s">
        <v>46</v>
      </c>
      <c r="F459" s="2" t="s">
        <v>55</v>
      </c>
      <c r="G459" s="2" t="s">
        <v>23</v>
      </c>
      <c r="H459" s="2" t="s">
        <v>23</v>
      </c>
      <c r="I459" s="2" t="s">
        <v>23</v>
      </c>
      <c r="J459" s="2">
        <v>2</v>
      </c>
      <c r="K459" s="2" t="s">
        <v>48</v>
      </c>
      <c r="L459" s="2">
        <v>1557</v>
      </c>
      <c r="M459" s="2" t="s">
        <v>98</v>
      </c>
      <c r="N459" s="2">
        <v>6</v>
      </c>
      <c r="O459" s="2">
        <v>82269.48</v>
      </c>
      <c r="P459" s="2">
        <v>13711.58</v>
      </c>
    </row>
    <row r="460" spans="1:16" outlineLevel="1" x14ac:dyDescent="0.2">
      <c r="A460" s="5"/>
      <c r="D460" s="3" t="s">
        <v>733</v>
      </c>
      <c r="N460" s="2">
        <f>SUBTOTAL(9,N458:N459)</f>
        <v>16</v>
      </c>
      <c r="O460" s="2">
        <f>SUBTOTAL(9,O458:O459)</f>
        <v>203163.4</v>
      </c>
    </row>
    <row r="461" spans="1:16" outlineLevel="2" x14ac:dyDescent="0.2">
      <c r="A461" s="5">
        <v>46071</v>
      </c>
      <c r="B461" s="2">
        <v>156107</v>
      </c>
      <c r="C461" s="2">
        <v>1</v>
      </c>
      <c r="D461" s="2" t="s">
        <v>229</v>
      </c>
      <c r="E461" s="2" t="s">
        <v>264</v>
      </c>
      <c r="F461" s="2" t="s">
        <v>231</v>
      </c>
      <c r="G461" s="2" t="s">
        <v>22</v>
      </c>
      <c r="H461" s="2" t="s">
        <v>23</v>
      </c>
      <c r="I461" s="2" t="s">
        <v>23</v>
      </c>
      <c r="J461" s="2">
        <v>2</v>
      </c>
      <c r="K461" s="2" t="s">
        <v>48</v>
      </c>
      <c r="L461" s="2">
        <v>25094</v>
      </c>
      <c r="M461" s="2" t="s">
        <v>236</v>
      </c>
      <c r="N461" s="2">
        <v>262</v>
      </c>
      <c r="O461" s="2">
        <v>7555516.3099999996</v>
      </c>
      <c r="P461" s="2">
        <v>28837.85</v>
      </c>
    </row>
    <row r="462" spans="1:16" outlineLevel="1" x14ac:dyDescent="0.2">
      <c r="A462" s="5"/>
      <c r="D462" s="3" t="s">
        <v>737</v>
      </c>
      <c r="N462" s="2">
        <f>SUBTOTAL(9,N461:N461)</f>
        <v>262</v>
      </c>
      <c r="O462" s="2">
        <f>SUBTOTAL(9,O461:O461)</f>
        <v>7555516.3099999996</v>
      </c>
    </row>
    <row r="463" spans="1:16" outlineLevel="2" x14ac:dyDescent="0.2">
      <c r="A463" s="5">
        <v>46041</v>
      </c>
      <c r="B463" s="2">
        <v>156107</v>
      </c>
      <c r="C463" s="2">
        <v>2</v>
      </c>
      <c r="D463" s="2" t="s">
        <v>29</v>
      </c>
      <c r="E463" s="2" t="s">
        <v>23</v>
      </c>
      <c r="F463" s="2" t="s">
        <v>252</v>
      </c>
      <c r="G463" s="2" t="s">
        <v>22</v>
      </c>
      <c r="H463" s="2" t="s">
        <v>23</v>
      </c>
      <c r="I463" s="2" t="s">
        <v>23</v>
      </c>
      <c r="J463" s="2">
        <v>2</v>
      </c>
      <c r="K463" s="2" t="s">
        <v>48</v>
      </c>
      <c r="L463" s="2">
        <v>25092</v>
      </c>
      <c r="M463" s="2" t="s">
        <v>96</v>
      </c>
      <c r="N463" s="2">
        <v>44</v>
      </c>
      <c r="O463" s="2">
        <v>248405.7</v>
      </c>
      <c r="P463" s="2">
        <v>5645.58</v>
      </c>
    </row>
    <row r="464" spans="1:16" outlineLevel="1" x14ac:dyDescent="0.2">
      <c r="A464" s="5"/>
      <c r="D464" s="3" t="s">
        <v>703</v>
      </c>
      <c r="N464" s="2">
        <f>SUBTOTAL(9,N463:N463)</f>
        <v>44</v>
      </c>
      <c r="O464" s="2">
        <f>SUBTOTAL(9,O463:O463)</f>
        <v>248405.7</v>
      </c>
    </row>
    <row r="465" spans="1:16" outlineLevel="2" x14ac:dyDescent="0.2">
      <c r="A465" s="5">
        <v>46037</v>
      </c>
      <c r="B465" s="2">
        <v>156108</v>
      </c>
      <c r="C465" s="2">
        <v>1</v>
      </c>
      <c r="D465" s="2" t="s">
        <v>45</v>
      </c>
      <c r="E465" s="2" t="s">
        <v>46</v>
      </c>
      <c r="F465" s="2" t="s">
        <v>47</v>
      </c>
      <c r="G465" s="2" t="s">
        <v>22</v>
      </c>
      <c r="H465" s="2" t="s">
        <v>23</v>
      </c>
      <c r="I465" s="2" t="s">
        <v>23</v>
      </c>
      <c r="J465" s="2">
        <v>0</v>
      </c>
      <c r="K465" s="2" t="s">
        <v>23</v>
      </c>
      <c r="L465" s="2">
        <v>3</v>
      </c>
      <c r="M465" s="2" t="s">
        <v>265</v>
      </c>
      <c r="N465" s="2">
        <v>1</v>
      </c>
      <c r="O465" s="2">
        <v>18378.77</v>
      </c>
      <c r="P465" s="2">
        <v>18378.77</v>
      </c>
    </row>
    <row r="466" spans="1:16" outlineLevel="1" x14ac:dyDescent="0.2">
      <c r="A466" s="5"/>
      <c r="D466" s="3" t="s">
        <v>733</v>
      </c>
      <c r="N466" s="2">
        <f>SUBTOTAL(9,N465:N465)</f>
        <v>1</v>
      </c>
      <c r="O466" s="2">
        <f>SUBTOTAL(9,O465:O465)</f>
        <v>18378.77</v>
      </c>
    </row>
    <row r="467" spans="1:16" outlineLevel="2" x14ac:dyDescent="0.2">
      <c r="A467" s="5">
        <v>46043</v>
      </c>
      <c r="B467" s="2">
        <v>156109</v>
      </c>
      <c r="C467" s="2">
        <v>315</v>
      </c>
      <c r="D467" s="2" t="s">
        <v>203</v>
      </c>
      <c r="E467" s="2" t="s">
        <v>125</v>
      </c>
      <c r="F467" s="2" t="s">
        <v>55</v>
      </c>
      <c r="G467" s="2" t="s">
        <v>23</v>
      </c>
      <c r="H467" s="2" t="s">
        <v>23</v>
      </c>
      <c r="I467" s="2" t="s">
        <v>23</v>
      </c>
      <c r="J467" s="2">
        <v>2</v>
      </c>
      <c r="K467" s="2" t="s">
        <v>48</v>
      </c>
      <c r="L467" s="2">
        <v>908</v>
      </c>
      <c r="M467" s="2" t="s">
        <v>266</v>
      </c>
      <c r="N467" s="2">
        <v>40</v>
      </c>
      <c r="O467" s="2">
        <v>123748.65</v>
      </c>
      <c r="P467" s="2">
        <v>3093.72</v>
      </c>
    </row>
    <row r="468" spans="1:16" outlineLevel="2" x14ac:dyDescent="0.2">
      <c r="A468" s="5">
        <v>46043</v>
      </c>
      <c r="B468" s="2">
        <v>156112</v>
      </c>
      <c r="C468" s="2">
        <v>315</v>
      </c>
      <c r="D468" s="2" t="s">
        <v>203</v>
      </c>
      <c r="E468" s="2" t="s">
        <v>238</v>
      </c>
      <c r="F468" s="2" t="s">
        <v>55</v>
      </c>
      <c r="G468" s="2" t="s">
        <v>23</v>
      </c>
      <c r="H468" s="2" t="s">
        <v>23</v>
      </c>
      <c r="I468" s="2" t="s">
        <v>23</v>
      </c>
      <c r="J468" s="2">
        <v>2</v>
      </c>
      <c r="K468" s="2" t="s">
        <v>48</v>
      </c>
      <c r="L468" s="2">
        <v>600</v>
      </c>
      <c r="M468" s="2" t="s">
        <v>112</v>
      </c>
      <c r="N468" s="2">
        <v>1</v>
      </c>
      <c r="O468" s="2">
        <v>2800.32</v>
      </c>
      <c r="P468" s="2">
        <v>2800.32</v>
      </c>
    </row>
    <row r="469" spans="1:16" outlineLevel="1" x14ac:dyDescent="0.2">
      <c r="A469" s="5"/>
      <c r="D469" s="3" t="s">
        <v>735</v>
      </c>
      <c r="N469" s="2">
        <f>SUBTOTAL(9,N467:N468)</f>
        <v>41</v>
      </c>
      <c r="O469" s="2">
        <f>SUBTOTAL(9,O467:O468)</f>
        <v>126548.97</v>
      </c>
    </row>
    <row r="470" spans="1:16" outlineLevel="2" x14ac:dyDescent="0.2">
      <c r="A470" s="5">
        <v>46045</v>
      </c>
      <c r="B470" s="2">
        <v>156113</v>
      </c>
      <c r="C470" s="2">
        <v>1</v>
      </c>
      <c r="D470" s="2" t="s">
        <v>45</v>
      </c>
      <c r="E470" s="2" t="s">
        <v>125</v>
      </c>
      <c r="F470" s="2" t="s">
        <v>55</v>
      </c>
      <c r="G470" s="2" t="s">
        <v>23</v>
      </c>
      <c r="H470" s="2" t="s">
        <v>23</v>
      </c>
      <c r="I470" s="2" t="s">
        <v>23</v>
      </c>
      <c r="J470" s="2">
        <v>2</v>
      </c>
      <c r="K470" s="2" t="s">
        <v>48</v>
      </c>
      <c r="L470" s="2">
        <v>2316</v>
      </c>
      <c r="M470" s="2" t="s">
        <v>206</v>
      </c>
      <c r="N470" s="2">
        <v>4</v>
      </c>
      <c r="O470" s="2">
        <v>13775</v>
      </c>
      <c r="P470" s="2">
        <v>3443.75</v>
      </c>
    </row>
    <row r="471" spans="1:16" outlineLevel="2" x14ac:dyDescent="0.2">
      <c r="A471" s="5">
        <v>46043</v>
      </c>
      <c r="B471" s="2">
        <v>156116</v>
      </c>
      <c r="C471" s="2">
        <v>1</v>
      </c>
      <c r="D471" s="2" t="s">
        <v>45</v>
      </c>
      <c r="E471" s="2" t="s">
        <v>125</v>
      </c>
      <c r="F471" s="2" t="s">
        <v>55</v>
      </c>
      <c r="G471" s="2" t="s">
        <v>23</v>
      </c>
      <c r="H471" s="2" t="s">
        <v>23</v>
      </c>
      <c r="I471" s="2" t="s">
        <v>23</v>
      </c>
      <c r="J471" s="2">
        <v>2</v>
      </c>
      <c r="K471" s="2" t="s">
        <v>48</v>
      </c>
      <c r="L471" s="2">
        <v>251</v>
      </c>
      <c r="M471" s="2" t="s">
        <v>267</v>
      </c>
      <c r="N471" s="2">
        <v>19</v>
      </c>
      <c r="O471" s="2">
        <v>115837.01</v>
      </c>
      <c r="P471" s="2">
        <v>6096.68</v>
      </c>
    </row>
    <row r="472" spans="1:16" outlineLevel="2" x14ac:dyDescent="0.2">
      <c r="A472" s="5">
        <v>46043</v>
      </c>
      <c r="B472" s="2">
        <v>156117</v>
      </c>
      <c r="C472" s="2">
        <v>1</v>
      </c>
      <c r="D472" s="2" t="s">
        <v>45</v>
      </c>
      <c r="E472" s="2" t="s">
        <v>125</v>
      </c>
      <c r="F472" s="2" t="s">
        <v>55</v>
      </c>
      <c r="G472" s="2" t="s">
        <v>23</v>
      </c>
      <c r="H472" s="2" t="s">
        <v>23</v>
      </c>
      <c r="I472" s="2" t="s">
        <v>23</v>
      </c>
      <c r="J472" s="2">
        <v>2</v>
      </c>
      <c r="K472" s="2" t="s">
        <v>48</v>
      </c>
      <c r="L472" s="2">
        <v>534</v>
      </c>
      <c r="M472" s="2" t="s">
        <v>241</v>
      </c>
      <c r="N472" s="2">
        <v>33</v>
      </c>
      <c r="O472" s="2">
        <v>207921.16</v>
      </c>
      <c r="P472" s="2">
        <v>6300.64</v>
      </c>
    </row>
    <row r="473" spans="1:16" outlineLevel="2" x14ac:dyDescent="0.2">
      <c r="A473" s="5">
        <v>46038</v>
      </c>
      <c r="B473" s="2">
        <v>156119</v>
      </c>
      <c r="C473" s="2">
        <v>300</v>
      </c>
      <c r="D473" s="2" t="s">
        <v>45</v>
      </c>
      <c r="E473" s="2" t="s">
        <v>46</v>
      </c>
      <c r="F473" s="2" t="s">
        <v>55</v>
      </c>
      <c r="G473" s="2" t="s">
        <v>23</v>
      </c>
      <c r="H473" s="2" t="s">
        <v>23</v>
      </c>
      <c r="I473" s="2" t="s">
        <v>23</v>
      </c>
      <c r="J473" s="2">
        <v>2</v>
      </c>
      <c r="K473" s="2" t="s">
        <v>48</v>
      </c>
      <c r="L473" s="2">
        <v>341</v>
      </c>
      <c r="M473" s="2" t="s">
        <v>142</v>
      </c>
      <c r="N473" s="2">
        <v>5</v>
      </c>
      <c r="O473" s="2">
        <v>49889.15</v>
      </c>
      <c r="P473" s="2">
        <v>9977.83</v>
      </c>
    </row>
    <row r="474" spans="1:16" outlineLevel="1" x14ac:dyDescent="0.2">
      <c r="A474" s="5"/>
      <c r="D474" s="3" t="s">
        <v>733</v>
      </c>
      <c r="N474" s="2">
        <f>SUBTOTAL(9,N470:N473)</f>
        <v>61</v>
      </c>
      <c r="O474" s="2">
        <f>SUBTOTAL(9,O470:O473)</f>
        <v>387422.32</v>
      </c>
    </row>
    <row r="475" spans="1:16" outlineLevel="2" x14ac:dyDescent="0.2">
      <c r="A475" s="5">
        <v>46045</v>
      </c>
      <c r="B475" s="2">
        <v>156121</v>
      </c>
      <c r="C475" s="2">
        <v>301</v>
      </c>
      <c r="D475" s="2" t="s">
        <v>54</v>
      </c>
      <c r="E475" s="2" t="s">
        <v>30</v>
      </c>
      <c r="F475" s="2" t="s">
        <v>55</v>
      </c>
      <c r="G475" s="2" t="s">
        <v>23</v>
      </c>
      <c r="H475" s="2" t="s">
        <v>23</v>
      </c>
      <c r="I475" s="2" t="s">
        <v>23</v>
      </c>
      <c r="J475" s="2">
        <v>2</v>
      </c>
      <c r="K475" s="2" t="s">
        <v>48</v>
      </c>
      <c r="L475" s="2">
        <v>25223</v>
      </c>
      <c r="M475" s="2" t="s">
        <v>97</v>
      </c>
      <c r="N475" s="2">
        <v>12</v>
      </c>
      <c r="O475" s="2">
        <v>63727.56</v>
      </c>
      <c r="P475" s="2">
        <v>5310.63</v>
      </c>
    </row>
    <row r="476" spans="1:16" outlineLevel="2" x14ac:dyDescent="0.2">
      <c r="A476" s="5">
        <v>46043</v>
      </c>
      <c r="B476" s="2">
        <v>156121</v>
      </c>
      <c r="C476" s="2">
        <v>315</v>
      </c>
      <c r="D476" s="2" t="s">
        <v>54</v>
      </c>
      <c r="E476" s="2" t="s">
        <v>30</v>
      </c>
      <c r="F476" s="2" t="s">
        <v>55</v>
      </c>
      <c r="G476" s="2" t="s">
        <v>23</v>
      </c>
      <c r="H476" s="2" t="s">
        <v>23</v>
      </c>
      <c r="I476" s="2" t="s">
        <v>23</v>
      </c>
      <c r="J476" s="2">
        <v>2</v>
      </c>
      <c r="K476" s="2" t="s">
        <v>48</v>
      </c>
      <c r="L476" s="2">
        <v>25223</v>
      </c>
      <c r="M476" s="2" t="s">
        <v>97</v>
      </c>
      <c r="N476" s="2">
        <v>7</v>
      </c>
      <c r="O476" s="2">
        <v>43708.49</v>
      </c>
      <c r="P476" s="2">
        <v>6244.07</v>
      </c>
    </row>
    <row r="477" spans="1:16" outlineLevel="1" x14ac:dyDescent="0.2">
      <c r="A477" s="5"/>
      <c r="D477" s="3" t="s">
        <v>719</v>
      </c>
      <c r="N477" s="2">
        <f>SUBTOTAL(9,N475:N476)</f>
        <v>19</v>
      </c>
      <c r="O477" s="2">
        <f>SUBTOTAL(9,O475:O476)</f>
        <v>107436.04999999999</v>
      </c>
    </row>
    <row r="478" spans="1:16" outlineLevel="2" x14ac:dyDescent="0.2">
      <c r="A478" s="5">
        <v>46150</v>
      </c>
      <c r="B478" s="2">
        <v>156122</v>
      </c>
      <c r="C478" s="2">
        <v>315</v>
      </c>
      <c r="D478" s="2" t="s">
        <v>26</v>
      </c>
      <c r="E478" s="2" t="s">
        <v>55</v>
      </c>
      <c r="F478" s="2" t="s">
        <v>23</v>
      </c>
      <c r="G478" s="2" t="s">
        <v>23</v>
      </c>
      <c r="H478" s="2" t="s">
        <v>23</v>
      </c>
      <c r="I478" s="2" t="s">
        <v>23</v>
      </c>
      <c r="J478" s="2">
        <v>5</v>
      </c>
      <c r="K478" s="2" t="s">
        <v>27</v>
      </c>
      <c r="L478" s="2">
        <v>1932</v>
      </c>
      <c r="M478" s="2" t="s">
        <v>268</v>
      </c>
      <c r="N478" s="2">
        <v>6</v>
      </c>
      <c r="O478" s="2">
        <v>31791.78</v>
      </c>
      <c r="P478" s="2">
        <v>5298.63</v>
      </c>
    </row>
    <row r="479" spans="1:16" outlineLevel="1" x14ac:dyDescent="0.2">
      <c r="A479" s="5"/>
      <c r="D479" s="3" t="s">
        <v>711</v>
      </c>
      <c r="N479" s="2">
        <f>SUBTOTAL(9,N478:N478)</f>
        <v>6</v>
      </c>
      <c r="O479" s="2">
        <f>SUBTOTAL(9,O478:O478)</f>
        <v>31791.78</v>
      </c>
    </row>
    <row r="480" spans="1:16" outlineLevel="2" x14ac:dyDescent="0.2">
      <c r="A480" s="5">
        <v>46045</v>
      </c>
      <c r="B480" s="2">
        <v>156131</v>
      </c>
      <c r="C480" s="2">
        <v>1</v>
      </c>
      <c r="D480" s="2" t="s">
        <v>54</v>
      </c>
      <c r="E480" s="2" t="s">
        <v>30</v>
      </c>
      <c r="F480" s="2" t="s">
        <v>55</v>
      </c>
      <c r="G480" s="2" t="s">
        <v>23</v>
      </c>
      <c r="H480" s="2" t="s">
        <v>23</v>
      </c>
      <c r="I480" s="2" t="s">
        <v>23</v>
      </c>
      <c r="J480" s="2">
        <v>2</v>
      </c>
      <c r="K480" s="2" t="s">
        <v>48</v>
      </c>
      <c r="L480" s="2">
        <v>626</v>
      </c>
      <c r="M480" s="2" t="s">
        <v>49</v>
      </c>
      <c r="N480" s="2">
        <v>3</v>
      </c>
      <c r="O480" s="2">
        <v>19665.650000000001</v>
      </c>
      <c r="P480" s="2">
        <v>6555.22</v>
      </c>
    </row>
    <row r="481" spans="1:16" outlineLevel="1" x14ac:dyDescent="0.2">
      <c r="A481" s="5"/>
      <c r="D481" s="3" t="s">
        <v>719</v>
      </c>
      <c r="N481" s="2">
        <f>SUBTOTAL(9,N480:N480)</f>
        <v>3</v>
      </c>
      <c r="O481" s="2">
        <f>SUBTOTAL(9,O480:O480)</f>
        <v>19665.650000000001</v>
      </c>
    </row>
    <row r="482" spans="1:16" outlineLevel="2" x14ac:dyDescent="0.2">
      <c r="A482" s="5">
        <v>46043</v>
      </c>
      <c r="B482" s="2">
        <v>156134</v>
      </c>
      <c r="C482" s="2">
        <v>301</v>
      </c>
      <c r="D482" s="2" t="s">
        <v>45</v>
      </c>
      <c r="E482" s="2" t="s">
        <v>46</v>
      </c>
      <c r="F482" s="2" t="s">
        <v>55</v>
      </c>
      <c r="G482" s="2" t="s">
        <v>23</v>
      </c>
      <c r="H482" s="2" t="s">
        <v>23</v>
      </c>
      <c r="I482" s="2" t="s">
        <v>23</v>
      </c>
      <c r="J482" s="2">
        <v>1</v>
      </c>
      <c r="K482" s="2" t="s">
        <v>24</v>
      </c>
      <c r="L482" s="2">
        <v>2276</v>
      </c>
      <c r="M482" s="2" t="s">
        <v>156</v>
      </c>
      <c r="N482" s="2">
        <v>9</v>
      </c>
      <c r="O482" s="2">
        <v>148607.1</v>
      </c>
      <c r="P482" s="2">
        <v>16511.900000000001</v>
      </c>
    </row>
    <row r="483" spans="1:16" outlineLevel="2" x14ac:dyDescent="0.2">
      <c r="A483" s="5">
        <v>46048</v>
      </c>
      <c r="B483" s="2">
        <v>156134</v>
      </c>
      <c r="C483" s="2">
        <v>315</v>
      </c>
      <c r="D483" s="2" t="s">
        <v>45</v>
      </c>
      <c r="E483" s="2" t="s">
        <v>46</v>
      </c>
      <c r="F483" s="2" t="s">
        <v>55</v>
      </c>
      <c r="G483" s="2" t="s">
        <v>23</v>
      </c>
      <c r="H483" s="2" t="s">
        <v>23</v>
      </c>
      <c r="I483" s="2" t="s">
        <v>23</v>
      </c>
      <c r="J483" s="2">
        <v>2</v>
      </c>
      <c r="K483" s="2" t="s">
        <v>48</v>
      </c>
      <c r="L483" s="2">
        <v>2276</v>
      </c>
      <c r="M483" s="2" t="s">
        <v>156</v>
      </c>
      <c r="N483" s="2">
        <v>8</v>
      </c>
      <c r="O483" s="2">
        <v>68621.320000000007</v>
      </c>
      <c r="P483" s="2">
        <v>8577.67</v>
      </c>
    </row>
    <row r="484" spans="1:16" outlineLevel="2" x14ac:dyDescent="0.2">
      <c r="A484" s="5">
        <v>46038</v>
      </c>
      <c r="B484" s="2">
        <v>156134</v>
      </c>
      <c r="C484" s="2">
        <v>325</v>
      </c>
      <c r="D484" s="2" t="s">
        <v>45</v>
      </c>
      <c r="E484" s="2" t="s">
        <v>46</v>
      </c>
      <c r="F484" s="2" t="s">
        <v>47</v>
      </c>
      <c r="G484" s="2" t="s">
        <v>22</v>
      </c>
      <c r="H484" s="2" t="s">
        <v>23</v>
      </c>
      <c r="I484" s="2" t="s">
        <v>23</v>
      </c>
      <c r="J484" s="2">
        <v>2</v>
      </c>
      <c r="K484" s="2" t="s">
        <v>48</v>
      </c>
      <c r="L484" s="2">
        <v>2276</v>
      </c>
      <c r="M484" s="2" t="s">
        <v>156</v>
      </c>
      <c r="N484" s="2">
        <v>8</v>
      </c>
      <c r="O484" s="2">
        <v>109692.64</v>
      </c>
      <c r="P484" s="2">
        <v>13711.58</v>
      </c>
    </row>
    <row r="485" spans="1:16" outlineLevel="2" x14ac:dyDescent="0.2">
      <c r="A485" s="5">
        <v>46038</v>
      </c>
      <c r="B485" s="2">
        <v>156136</v>
      </c>
      <c r="C485" s="2">
        <v>300</v>
      </c>
      <c r="D485" s="2" t="s">
        <v>45</v>
      </c>
      <c r="E485" s="2" t="s">
        <v>46</v>
      </c>
      <c r="F485" s="2" t="s">
        <v>55</v>
      </c>
      <c r="G485" s="2" t="s">
        <v>23</v>
      </c>
      <c r="H485" s="2" t="s">
        <v>23</v>
      </c>
      <c r="I485" s="2" t="s">
        <v>23</v>
      </c>
      <c r="J485" s="2">
        <v>2</v>
      </c>
      <c r="K485" s="2" t="s">
        <v>48</v>
      </c>
      <c r="L485" s="2">
        <v>492</v>
      </c>
      <c r="M485" s="2" t="s">
        <v>269</v>
      </c>
      <c r="N485" s="2">
        <v>15</v>
      </c>
      <c r="O485" s="2">
        <v>149667.45000000001</v>
      </c>
      <c r="P485" s="2">
        <v>9977.83</v>
      </c>
    </row>
    <row r="486" spans="1:16" outlineLevel="1" x14ac:dyDescent="0.2">
      <c r="A486" s="5"/>
      <c r="D486" s="3" t="s">
        <v>733</v>
      </c>
      <c r="N486" s="2">
        <f>SUBTOTAL(9,N482:N485)</f>
        <v>40</v>
      </c>
      <c r="O486" s="2">
        <f>SUBTOTAL(9,O482:O485)</f>
        <v>476588.51</v>
      </c>
    </row>
    <row r="487" spans="1:16" outlineLevel="2" x14ac:dyDescent="0.2">
      <c r="A487" s="5">
        <v>46038</v>
      </c>
      <c r="B487" s="2">
        <v>156137</v>
      </c>
      <c r="C487" s="2">
        <v>316</v>
      </c>
      <c r="D487" s="2" t="s">
        <v>215</v>
      </c>
      <c r="E487" s="2" t="s">
        <v>23</v>
      </c>
      <c r="F487" s="2" t="s">
        <v>55</v>
      </c>
      <c r="G487" s="2" t="s">
        <v>23</v>
      </c>
      <c r="H487" s="2" t="s">
        <v>23</v>
      </c>
      <c r="I487" s="2" t="s">
        <v>23</v>
      </c>
      <c r="J487" s="2">
        <v>2</v>
      </c>
      <c r="K487" s="2" t="s">
        <v>48</v>
      </c>
      <c r="L487" s="2">
        <v>492</v>
      </c>
      <c r="M487" s="2" t="s">
        <v>269</v>
      </c>
      <c r="N487" s="2">
        <v>10</v>
      </c>
      <c r="O487" s="2">
        <v>39104.720000000001</v>
      </c>
      <c r="P487" s="2">
        <v>3910.47</v>
      </c>
    </row>
    <row r="488" spans="1:16" outlineLevel="1" x14ac:dyDescent="0.2">
      <c r="A488" s="5"/>
      <c r="D488" s="3" t="s">
        <v>727</v>
      </c>
      <c r="N488" s="2">
        <f>SUBTOTAL(9,N487:N487)</f>
        <v>10</v>
      </c>
      <c r="O488" s="2">
        <f>SUBTOTAL(9,O487:O487)</f>
        <v>39104.720000000001</v>
      </c>
    </row>
    <row r="489" spans="1:16" outlineLevel="2" x14ac:dyDescent="0.2">
      <c r="A489" s="5">
        <v>46045</v>
      </c>
      <c r="B489" s="2">
        <v>156138</v>
      </c>
      <c r="C489" s="2">
        <v>1</v>
      </c>
      <c r="D489" s="2" t="s">
        <v>54</v>
      </c>
      <c r="E489" s="2" t="s">
        <v>30</v>
      </c>
      <c r="F489" s="2" t="s">
        <v>55</v>
      </c>
      <c r="G489" s="2" t="s">
        <v>23</v>
      </c>
      <c r="H489" s="2" t="s">
        <v>23</v>
      </c>
      <c r="I489" s="2" t="s">
        <v>23</v>
      </c>
      <c r="J489" s="2">
        <v>2</v>
      </c>
      <c r="K489" s="2" t="s">
        <v>48</v>
      </c>
      <c r="L489" s="2">
        <v>534</v>
      </c>
      <c r="M489" s="2" t="s">
        <v>241</v>
      </c>
      <c r="N489" s="2">
        <v>4</v>
      </c>
      <c r="O489" s="2">
        <v>21242.52</v>
      </c>
      <c r="P489" s="2">
        <v>5310.63</v>
      </c>
    </row>
    <row r="490" spans="1:16" outlineLevel="1" x14ac:dyDescent="0.2">
      <c r="A490" s="5"/>
      <c r="D490" s="3" t="s">
        <v>719</v>
      </c>
      <c r="N490" s="2">
        <f>SUBTOTAL(9,N489:N489)</f>
        <v>4</v>
      </c>
      <c r="O490" s="2">
        <f>SUBTOTAL(9,O489:O489)</f>
        <v>21242.52</v>
      </c>
    </row>
    <row r="491" spans="1:16" outlineLevel="2" x14ac:dyDescent="0.2">
      <c r="A491" s="5">
        <v>46038</v>
      </c>
      <c r="B491" s="2">
        <v>156141</v>
      </c>
      <c r="C491" s="2">
        <v>1</v>
      </c>
      <c r="D491" s="2" t="s">
        <v>29</v>
      </c>
      <c r="E491" s="2" t="s">
        <v>55</v>
      </c>
      <c r="F491" s="2" t="s">
        <v>23</v>
      </c>
      <c r="G491" s="2" t="s">
        <v>23</v>
      </c>
      <c r="H491" s="2" t="s">
        <v>23</v>
      </c>
      <c r="I491" s="2" t="s">
        <v>23</v>
      </c>
      <c r="J491" s="2">
        <v>2</v>
      </c>
      <c r="K491" s="2" t="s">
        <v>48</v>
      </c>
      <c r="L491" s="2">
        <v>25092</v>
      </c>
      <c r="M491" s="2" t="s">
        <v>96</v>
      </c>
      <c r="N491" s="2">
        <v>90</v>
      </c>
      <c r="O491" s="2">
        <v>946415.48</v>
      </c>
      <c r="P491" s="2">
        <v>10515.73</v>
      </c>
    </row>
    <row r="492" spans="1:16" outlineLevel="1" x14ac:dyDescent="0.2">
      <c r="A492" s="5"/>
      <c r="D492" s="3" t="s">
        <v>703</v>
      </c>
      <c r="N492" s="2">
        <f>SUBTOTAL(9,N491:N491)</f>
        <v>90</v>
      </c>
      <c r="O492" s="2">
        <f>SUBTOTAL(9,O491:O491)</f>
        <v>946415.48</v>
      </c>
    </row>
    <row r="493" spans="1:16" outlineLevel="2" x14ac:dyDescent="0.2">
      <c r="A493" s="5">
        <v>46080</v>
      </c>
      <c r="B493" s="2">
        <v>156142</v>
      </c>
      <c r="C493" s="2">
        <v>1</v>
      </c>
      <c r="D493" s="2" t="s">
        <v>107</v>
      </c>
      <c r="E493" s="2" t="s">
        <v>55</v>
      </c>
      <c r="F493" s="2" t="s">
        <v>23</v>
      </c>
      <c r="G493" s="2" t="s">
        <v>23</v>
      </c>
      <c r="H493" s="2" t="s">
        <v>23</v>
      </c>
      <c r="I493" s="2" t="s">
        <v>23</v>
      </c>
      <c r="J493" s="2">
        <v>1</v>
      </c>
      <c r="K493" s="2" t="s">
        <v>24</v>
      </c>
      <c r="L493" s="2">
        <v>25092</v>
      </c>
      <c r="M493" s="2" t="s">
        <v>96</v>
      </c>
      <c r="N493" s="2">
        <v>68</v>
      </c>
      <c r="O493" s="2">
        <v>1142950.27</v>
      </c>
      <c r="P493" s="2">
        <v>16808.09</v>
      </c>
    </row>
    <row r="494" spans="1:16" outlineLevel="1" x14ac:dyDescent="0.2">
      <c r="A494" s="5"/>
      <c r="D494" s="3" t="s">
        <v>726</v>
      </c>
      <c r="N494" s="2">
        <f>SUBTOTAL(9,N493:N493)</f>
        <v>68</v>
      </c>
      <c r="O494" s="2">
        <f>SUBTOTAL(9,O493:O493)</f>
        <v>1142950.27</v>
      </c>
    </row>
    <row r="495" spans="1:16" outlineLevel="2" x14ac:dyDescent="0.2">
      <c r="A495" s="5">
        <v>46036</v>
      </c>
      <c r="B495" s="2">
        <v>156154</v>
      </c>
      <c r="C495" s="2">
        <v>1</v>
      </c>
      <c r="D495" s="2" t="s">
        <v>38</v>
      </c>
      <c r="E495" s="2" t="s">
        <v>39</v>
      </c>
      <c r="F495" s="2" t="s">
        <v>63</v>
      </c>
      <c r="G495" s="2" t="s">
        <v>22</v>
      </c>
      <c r="H495" s="2" t="s">
        <v>23</v>
      </c>
      <c r="I495" s="2" t="s">
        <v>135</v>
      </c>
      <c r="J495" s="2">
        <v>124</v>
      </c>
      <c r="K495" s="2" t="s">
        <v>155</v>
      </c>
      <c r="L495" s="2">
        <v>817</v>
      </c>
      <c r="M495" s="2" t="s">
        <v>117</v>
      </c>
      <c r="N495" s="2">
        <v>184</v>
      </c>
      <c r="O495" s="2">
        <v>11886330.449999999</v>
      </c>
      <c r="P495" s="2">
        <v>64599.62</v>
      </c>
    </row>
    <row r="496" spans="1:16" outlineLevel="1" x14ac:dyDescent="0.2">
      <c r="A496" s="5"/>
      <c r="D496" s="3" t="s">
        <v>721</v>
      </c>
      <c r="N496" s="2">
        <f>SUBTOTAL(9,N495:N495)</f>
        <v>184</v>
      </c>
      <c r="O496" s="2">
        <f>SUBTOTAL(9,O495:O495)</f>
        <v>11886330.449999999</v>
      </c>
    </row>
    <row r="497" spans="1:16" outlineLevel="2" x14ac:dyDescent="0.2">
      <c r="A497" s="5">
        <v>46044</v>
      </c>
      <c r="B497" s="2">
        <v>156155</v>
      </c>
      <c r="C497" s="2">
        <v>1</v>
      </c>
      <c r="D497" s="2" t="s">
        <v>175</v>
      </c>
      <c r="E497" s="2" t="s">
        <v>177</v>
      </c>
      <c r="F497" s="2" t="s">
        <v>40</v>
      </c>
      <c r="G497" s="2" t="s">
        <v>22</v>
      </c>
      <c r="H497" s="2" t="s">
        <v>23</v>
      </c>
      <c r="I497" s="2" t="s">
        <v>23</v>
      </c>
      <c r="J497" s="2">
        <v>25</v>
      </c>
      <c r="K497" s="2" t="s">
        <v>270</v>
      </c>
      <c r="L497" s="2">
        <v>2521</v>
      </c>
      <c r="M497" s="2" t="s">
        <v>82</v>
      </c>
      <c r="N497" s="2">
        <v>18</v>
      </c>
      <c r="O497" s="2">
        <v>448431.35999999999</v>
      </c>
      <c r="P497" s="2">
        <v>24912.85</v>
      </c>
    </row>
    <row r="498" spans="1:16" outlineLevel="1" x14ac:dyDescent="0.2">
      <c r="A498" s="5"/>
      <c r="D498" s="3" t="s">
        <v>725</v>
      </c>
      <c r="N498" s="2">
        <f>SUBTOTAL(9,N497:N497)</f>
        <v>18</v>
      </c>
      <c r="O498" s="2">
        <f>SUBTOTAL(9,O497:O497)</f>
        <v>448431.35999999999</v>
      </c>
    </row>
    <row r="499" spans="1:16" outlineLevel="2" x14ac:dyDescent="0.2">
      <c r="A499" s="5">
        <v>46037</v>
      </c>
      <c r="B499" s="2">
        <v>156155</v>
      </c>
      <c r="C499" s="2">
        <v>2</v>
      </c>
      <c r="D499" s="2" t="s">
        <v>271</v>
      </c>
      <c r="E499" s="2" t="s">
        <v>23</v>
      </c>
      <c r="F499" s="2" t="s">
        <v>40</v>
      </c>
      <c r="G499" s="2" t="s">
        <v>22</v>
      </c>
      <c r="H499" s="2" t="s">
        <v>23</v>
      </c>
      <c r="I499" s="2" t="s">
        <v>23</v>
      </c>
      <c r="J499" s="2">
        <v>5</v>
      </c>
      <c r="K499" s="2" t="s">
        <v>27</v>
      </c>
      <c r="L499" s="2">
        <v>2521</v>
      </c>
      <c r="M499" s="2" t="s">
        <v>82</v>
      </c>
      <c r="N499" s="2">
        <v>90</v>
      </c>
      <c r="O499" s="2">
        <v>3376257.77</v>
      </c>
      <c r="P499" s="2">
        <v>37513.980000000003</v>
      </c>
    </row>
    <row r="500" spans="1:16" outlineLevel="1" x14ac:dyDescent="0.2">
      <c r="A500" s="5"/>
      <c r="D500" s="3" t="s">
        <v>738</v>
      </c>
      <c r="N500" s="2">
        <f>SUBTOTAL(9,N499:N499)</f>
        <v>90</v>
      </c>
      <c r="O500" s="2">
        <f>SUBTOTAL(9,O499:O499)</f>
        <v>3376257.77</v>
      </c>
    </row>
    <row r="501" spans="1:16" outlineLevel="2" x14ac:dyDescent="0.2">
      <c r="A501" s="5">
        <v>46038</v>
      </c>
      <c r="B501" s="2">
        <v>156170</v>
      </c>
      <c r="C501" s="2">
        <v>315</v>
      </c>
      <c r="D501" s="2" t="s">
        <v>45</v>
      </c>
      <c r="E501" s="2" t="s">
        <v>228</v>
      </c>
      <c r="F501" s="2" t="s">
        <v>55</v>
      </c>
      <c r="G501" s="2" t="s">
        <v>23</v>
      </c>
      <c r="H501" s="2" t="s">
        <v>23</v>
      </c>
      <c r="I501" s="2" t="s">
        <v>23</v>
      </c>
      <c r="J501" s="2">
        <v>2</v>
      </c>
      <c r="K501" s="2" t="s">
        <v>48</v>
      </c>
      <c r="L501" s="2">
        <v>1488</v>
      </c>
      <c r="M501" s="2" t="s">
        <v>49</v>
      </c>
      <c r="N501" s="2">
        <v>11</v>
      </c>
      <c r="O501" s="2">
        <v>200299.72</v>
      </c>
      <c r="P501" s="2">
        <v>18209.07</v>
      </c>
    </row>
    <row r="502" spans="1:16" outlineLevel="2" x14ac:dyDescent="0.2">
      <c r="A502" s="5">
        <v>46037</v>
      </c>
      <c r="B502" s="2">
        <v>156174</v>
      </c>
      <c r="C502" s="2">
        <v>1</v>
      </c>
      <c r="D502" s="2" t="s">
        <v>45</v>
      </c>
      <c r="E502" s="2" t="s">
        <v>46</v>
      </c>
      <c r="F502" s="2" t="s">
        <v>47</v>
      </c>
      <c r="G502" s="2" t="s">
        <v>22</v>
      </c>
      <c r="H502" s="2" t="s">
        <v>23</v>
      </c>
      <c r="I502" s="2" t="s">
        <v>23</v>
      </c>
      <c r="J502" s="2">
        <v>1</v>
      </c>
      <c r="K502" s="2" t="s">
        <v>24</v>
      </c>
      <c r="L502" s="2">
        <v>3</v>
      </c>
      <c r="M502" s="2" t="s">
        <v>265</v>
      </c>
      <c r="N502" s="2">
        <v>4</v>
      </c>
      <c r="O502" s="2">
        <v>73515.08</v>
      </c>
      <c r="P502" s="2">
        <v>18378.77</v>
      </c>
    </row>
    <row r="503" spans="1:16" outlineLevel="1" x14ac:dyDescent="0.2">
      <c r="A503" s="5"/>
      <c r="D503" s="3" t="s">
        <v>733</v>
      </c>
      <c r="N503" s="2">
        <f>SUBTOTAL(9,N501:N502)</f>
        <v>15</v>
      </c>
      <c r="O503" s="2">
        <f>SUBTOTAL(9,O501:O502)</f>
        <v>273814.8</v>
      </c>
    </row>
    <row r="504" spans="1:16" outlineLevel="2" x14ac:dyDescent="0.2">
      <c r="A504" s="5">
        <v>46057</v>
      </c>
      <c r="B504" s="2">
        <v>156174</v>
      </c>
      <c r="C504" s="2">
        <v>315</v>
      </c>
      <c r="D504" s="2" t="s">
        <v>54</v>
      </c>
      <c r="E504" s="2" t="s">
        <v>272</v>
      </c>
      <c r="F504" s="2" t="s">
        <v>55</v>
      </c>
      <c r="G504" s="2" t="s">
        <v>23</v>
      </c>
      <c r="H504" s="2" t="s">
        <v>23</v>
      </c>
      <c r="I504" s="2" t="s">
        <v>23</v>
      </c>
      <c r="J504" s="2">
        <v>2</v>
      </c>
      <c r="K504" s="2" t="s">
        <v>48</v>
      </c>
      <c r="L504" s="2">
        <v>1876</v>
      </c>
      <c r="M504" s="2" t="s">
        <v>138</v>
      </c>
      <c r="N504" s="2">
        <v>5</v>
      </c>
      <c r="O504" s="2">
        <v>47993.25</v>
      </c>
      <c r="P504" s="2">
        <v>9598.65</v>
      </c>
    </row>
    <row r="505" spans="1:16" outlineLevel="2" x14ac:dyDescent="0.2">
      <c r="A505" s="5">
        <v>46045</v>
      </c>
      <c r="B505" s="2">
        <v>156177</v>
      </c>
      <c r="C505" s="2">
        <v>303</v>
      </c>
      <c r="D505" s="2" t="s">
        <v>54</v>
      </c>
      <c r="E505" s="2" t="s">
        <v>30</v>
      </c>
      <c r="F505" s="2" t="s">
        <v>55</v>
      </c>
      <c r="G505" s="2" t="s">
        <v>23</v>
      </c>
      <c r="H505" s="2" t="s">
        <v>23</v>
      </c>
      <c r="I505" s="2" t="s">
        <v>23</v>
      </c>
      <c r="J505" s="2">
        <v>2</v>
      </c>
      <c r="K505" s="2" t="s">
        <v>48</v>
      </c>
      <c r="L505" s="2">
        <v>626</v>
      </c>
      <c r="M505" s="2" t="s">
        <v>49</v>
      </c>
      <c r="N505" s="2">
        <v>3</v>
      </c>
      <c r="O505" s="2">
        <v>15931.89</v>
      </c>
      <c r="P505" s="2">
        <v>5310.63</v>
      </c>
    </row>
    <row r="506" spans="1:16" outlineLevel="1" x14ac:dyDescent="0.2">
      <c r="A506" s="5"/>
      <c r="D506" s="3" t="s">
        <v>719</v>
      </c>
      <c r="N506" s="2">
        <f>SUBTOTAL(9,N504:N505)</f>
        <v>8</v>
      </c>
      <c r="O506" s="2">
        <f>SUBTOTAL(9,O504:O505)</f>
        <v>63925.14</v>
      </c>
    </row>
    <row r="507" spans="1:16" outlineLevel="2" x14ac:dyDescent="0.2">
      <c r="A507" s="5">
        <v>46043</v>
      </c>
      <c r="B507" s="2">
        <v>156177</v>
      </c>
      <c r="C507" s="2">
        <v>315</v>
      </c>
      <c r="D507" s="2" t="s">
        <v>110</v>
      </c>
      <c r="E507" s="2" t="s">
        <v>111</v>
      </c>
      <c r="F507" s="2" t="s">
        <v>55</v>
      </c>
      <c r="G507" s="2" t="s">
        <v>23</v>
      </c>
      <c r="H507" s="2" t="s">
        <v>23</v>
      </c>
      <c r="I507" s="2" t="s">
        <v>23</v>
      </c>
      <c r="J507" s="2">
        <v>2</v>
      </c>
      <c r="K507" s="2" t="s">
        <v>48</v>
      </c>
      <c r="L507" s="2">
        <v>626</v>
      </c>
      <c r="M507" s="2" t="s">
        <v>49</v>
      </c>
      <c r="N507" s="2">
        <v>2</v>
      </c>
      <c r="O507" s="2">
        <v>6887.5</v>
      </c>
      <c r="P507" s="2">
        <v>3443.75</v>
      </c>
    </row>
    <row r="508" spans="1:16" outlineLevel="1" x14ac:dyDescent="0.2">
      <c r="A508" s="5"/>
      <c r="D508" s="3" t="s">
        <v>697</v>
      </c>
      <c r="N508" s="2">
        <f>SUBTOTAL(9,N507:N507)</f>
        <v>2</v>
      </c>
      <c r="O508" s="2">
        <f>SUBTOTAL(9,O507:O507)</f>
        <v>6887.5</v>
      </c>
    </row>
    <row r="509" spans="1:16" outlineLevel="2" x14ac:dyDescent="0.2">
      <c r="A509" s="5">
        <v>46037</v>
      </c>
      <c r="B509" s="2">
        <v>156184</v>
      </c>
      <c r="C509" s="2">
        <v>1</v>
      </c>
      <c r="D509" s="2" t="s">
        <v>150</v>
      </c>
      <c r="E509" s="2" t="s">
        <v>151</v>
      </c>
      <c r="F509" s="2" t="s">
        <v>199</v>
      </c>
      <c r="G509" s="2" t="s">
        <v>22</v>
      </c>
      <c r="H509" s="2" t="s">
        <v>23</v>
      </c>
      <c r="I509" s="2" t="s">
        <v>273</v>
      </c>
      <c r="J509" s="2">
        <v>1</v>
      </c>
      <c r="K509" s="2" t="s">
        <v>24</v>
      </c>
      <c r="L509" s="2">
        <v>2500</v>
      </c>
      <c r="M509" s="2" t="s">
        <v>274</v>
      </c>
      <c r="N509" s="2">
        <v>50</v>
      </c>
      <c r="O509" s="2">
        <v>1198000</v>
      </c>
      <c r="P509" s="2">
        <v>23960</v>
      </c>
    </row>
    <row r="510" spans="1:16" outlineLevel="1" x14ac:dyDescent="0.2">
      <c r="A510" s="5"/>
      <c r="D510" s="3" t="s">
        <v>718</v>
      </c>
      <c r="N510" s="2">
        <f>SUBTOTAL(9,N509:N509)</f>
        <v>50</v>
      </c>
      <c r="O510" s="2">
        <f>SUBTOTAL(9,O509:O509)</f>
        <v>1198000</v>
      </c>
    </row>
    <row r="511" spans="1:16" outlineLevel="2" x14ac:dyDescent="0.2">
      <c r="A511" s="5">
        <v>46038</v>
      </c>
      <c r="B511" s="2">
        <v>156185</v>
      </c>
      <c r="C511" s="2">
        <v>1</v>
      </c>
      <c r="D511" s="2" t="s">
        <v>26</v>
      </c>
      <c r="E511" s="2" t="s">
        <v>51</v>
      </c>
      <c r="F511" s="2" t="s">
        <v>52</v>
      </c>
      <c r="G511" s="2" t="s">
        <v>22</v>
      </c>
      <c r="H511" s="2" t="s">
        <v>23</v>
      </c>
      <c r="I511" s="2" t="s">
        <v>23</v>
      </c>
      <c r="J511" s="2">
        <v>5</v>
      </c>
      <c r="K511" s="2" t="s">
        <v>27</v>
      </c>
      <c r="L511" s="2">
        <v>3048</v>
      </c>
      <c r="M511" s="2" t="s">
        <v>53</v>
      </c>
      <c r="N511" s="2">
        <v>57</v>
      </c>
      <c r="O511" s="2">
        <v>760353.76</v>
      </c>
      <c r="P511" s="2">
        <v>13339.54</v>
      </c>
    </row>
    <row r="512" spans="1:16" outlineLevel="1" x14ac:dyDescent="0.2">
      <c r="A512" s="5"/>
      <c r="D512" s="3" t="s">
        <v>711</v>
      </c>
      <c r="N512" s="2">
        <f>SUBTOTAL(9,N511:N511)</f>
        <v>57</v>
      </c>
      <c r="O512" s="2">
        <f>SUBTOTAL(9,O511:O511)</f>
        <v>760353.76</v>
      </c>
    </row>
    <row r="513" spans="1:16" outlineLevel="2" x14ac:dyDescent="0.2">
      <c r="A513" s="5">
        <v>46038</v>
      </c>
      <c r="B513" s="2">
        <v>156186</v>
      </c>
      <c r="C513" s="2">
        <v>1</v>
      </c>
      <c r="D513" s="2" t="s">
        <v>140</v>
      </c>
      <c r="E513" s="2" t="s">
        <v>141</v>
      </c>
      <c r="F513" s="2" t="s">
        <v>108</v>
      </c>
      <c r="G513" s="2" t="s">
        <v>22</v>
      </c>
      <c r="H513" s="2" t="s">
        <v>23</v>
      </c>
      <c r="I513" s="2" t="s">
        <v>23</v>
      </c>
      <c r="J513" s="2">
        <v>1</v>
      </c>
      <c r="K513" s="2" t="s">
        <v>24</v>
      </c>
      <c r="L513" s="2">
        <v>1833</v>
      </c>
      <c r="M513" s="2" t="s">
        <v>142</v>
      </c>
      <c r="N513" s="2">
        <v>54</v>
      </c>
      <c r="O513" s="2">
        <v>1567452.57</v>
      </c>
      <c r="P513" s="2">
        <v>29026.9</v>
      </c>
    </row>
    <row r="514" spans="1:16" outlineLevel="1" x14ac:dyDescent="0.2">
      <c r="A514" s="5"/>
      <c r="D514" s="3" t="s">
        <v>696</v>
      </c>
      <c r="N514" s="2">
        <f>SUBTOTAL(9,N513:N513)</f>
        <v>54</v>
      </c>
      <c r="O514" s="2">
        <f>SUBTOTAL(9,O513:O513)</f>
        <v>1567452.57</v>
      </c>
    </row>
    <row r="515" spans="1:16" outlineLevel="2" x14ac:dyDescent="0.2">
      <c r="A515" s="5">
        <v>46038</v>
      </c>
      <c r="B515" s="2">
        <v>156187</v>
      </c>
      <c r="C515" s="2">
        <v>2</v>
      </c>
      <c r="D515" s="2" t="s">
        <v>88</v>
      </c>
      <c r="E515" s="2" t="s">
        <v>275</v>
      </c>
      <c r="F515" s="2" t="s">
        <v>31</v>
      </c>
      <c r="G515" s="2" t="s">
        <v>22</v>
      </c>
      <c r="H515" s="2" t="s">
        <v>23</v>
      </c>
      <c r="I515" s="2" t="s">
        <v>214</v>
      </c>
      <c r="J515" s="2">
        <v>1</v>
      </c>
      <c r="K515" s="2" t="s">
        <v>24</v>
      </c>
      <c r="L515" s="2">
        <v>2355</v>
      </c>
      <c r="M515" s="2" t="s">
        <v>213</v>
      </c>
      <c r="N515" s="2">
        <v>40</v>
      </c>
      <c r="O515" s="2">
        <v>819776.84</v>
      </c>
      <c r="P515" s="2">
        <v>20494.419999999998</v>
      </c>
    </row>
    <row r="516" spans="1:16" outlineLevel="2" x14ac:dyDescent="0.2">
      <c r="A516" s="5">
        <v>46038</v>
      </c>
      <c r="B516" s="2">
        <v>156187</v>
      </c>
      <c r="C516" s="2">
        <v>3</v>
      </c>
      <c r="D516" s="2" t="s">
        <v>88</v>
      </c>
      <c r="E516" s="2" t="s">
        <v>275</v>
      </c>
      <c r="F516" s="2" t="s">
        <v>31</v>
      </c>
      <c r="G516" s="2" t="s">
        <v>22</v>
      </c>
      <c r="H516" s="2" t="s">
        <v>23</v>
      </c>
      <c r="I516" s="2" t="s">
        <v>169</v>
      </c>
      <c r="J516" s="2">
        <v>1</v>
      </c>
      <c r="K516" s="2" t="s">
        <v>24</v>
      </c>
      <c r="L516" s="2">
        <v>2355</v>
      </c>
      <c r="M516" s="2" t="s">
        <v>213</v>
      </c>
      <c r="N516" s="2">
        <v>215</v>
      </c>
      <c r="O516" s="2">
        <v>8544029.5700000003</v>
      </c>
      <c r="P516" s="2">
        <v>39739.67</v>
      </c>
    </row>
    <row r="517" spans="1:16" outlineLevel="2" x14ac:dyDescent="0.2">
      <c r="A517" s="5">
        <v>46038</v>
      </c>
      <c r="B517" s="2">
        <v>156187</v>
      </c>
      <c r="C517" s="2">
        <v>4</v>
      </c>
      <c r="D517" s="2" t="s">
        <v>88</v>
      </c>
      <c r="E517" s="2" t="s">
        <v>275</v>
      </c>
      <c r="F517" s="2" t="s">
        <v>31</v>
      </c>
      <c r="G517" s="2" t="s">
        <v>22</v>
      </c>
      <c r="H517" s="2" t="s">
        <v>23</v>
      </c>
      <c r="I517" s="2" t="s">
        <v>90</v>
      </c>
      <c r="J517" s="2">
        <v>1</v>
      </c>
      <c r="K517" s="2" t="s">
        <v>24</v>
      </c>
      <c r="L517" s="2">
        <v>2355</v>
      </c>
      <c r="M517" s="2" t="s">
        <v>213</v>
      </c>
      <c r="N517" s="2">
        <v>68</v>
      </c>
      <c r="O517" s="2">
        <v>2171324.06</v>
      </c>
      <c r="P517" s="2">
        <v>31931.24</v>
      </c>
    </row>
    <row r="518" spans="1:16" outlineLevel="1" x14ac:dyDescent="0.2">
      <c r="A518" s="5"/>
      <c r="D518" s="3" t="s">
        <v>698</v>
      </c>
      <c r="N518" s="2">
        <f>SUBTOTAL(9,N515:N517)</f>
        <v>323</v>
      </c>
      <c r="O518" s="2">
        <f>SUBTOTAL(9,O515:O517)</f>
        <v>11535130.470000001</v>
      </c>
    </row>
    <row r="519" spans="1:16" outlineLevel="2" x14ac:dyDescent="0.2">
      <c r="A519" s="5">
        <v>46038</v>
      </c>
      <c r="B519" s="2">
        <v>156188</v>
      </c>
      <c r="C519" s="2">
        <v>1</v>
      </c>
      <c r="D519" s="2" t="s">
        <v>45</v>
      </c>
      <c r="E519" s="2" t="s">
        <v>228</v>
      </c>
      <c r="F519" s="2" t="s">
        <v>47</v>
      </c>
      <c r="G519" s="2" t="s">
        <v>22</v>
      </c>
      <c r="H519" s="2" t="s">
        <v>23</v>
      </c>
      <c r="I519" s="2" t="s">
        <v>23</v>
      </c>
      <c r="J519" s="2">
        <v>41</v>
      </c>
      <c r="K519" s="2" t="s">
        <v>129</v>
      </c>
      <c r="L519" s="2">
        <v>1964</v>
      </c>
      <c r="M519" s="2" t="s">
        <v>49</v>
      </c>
      <c r="N519" s="2">
        <v>16</v>
      </c>
      <c r="O519" s="2">
        <v>432209.46</v>
      </c>
      <c r="P519" s="2">
        <v>27013.09</v>
      </c>
    </row>
    <row r="520" spans="1:16" outlineLevel="1" x14ac:dyDescent="0.2">
      <c r="A520" s="5"/>
      <c r="D520" s="3" t="s">
        <v>733</v>
      </c>
      <c r="N520" s="2">
        <f>SUBTOTAL(9,N519:N519)</f>
        <v>16</v>
      </c>
      <c r="O520" s="2">
        <f>SUBTOTAL(9,O519:O519)</f>
        <v>432209.46</v>
      </c>
    </row>
    <row r="521" spans="1:16" outlineLevel="2" x14ac:dyDescent="0.2">
      <c r="A521" s="5">
        <v>46038</v>
      </c>
      <c r="B521" s="2">
        <v>156188</v>
      </c>
      <c r="C521" s="2">
        <v>2</v>
      </c>
      <c r="D521" s="2" t="s">
        <v>226</v>
      </c>
      <c r="E521" s="2" t="s">
        <v>227</v>
      </c>
      <c r="F521" s="2" t="s">
        <v>47</v>
      </c>
      <c r="G521" s="2" t="s">
        <v>22</v>
      </c>
      <c r="H521" s="2" t="s">
        <v>23</v>
      </c>
      <c r="I521" s="2" t="s">
        <v>23</v>
      </c>
      <c r="J521" s="2">
        <v>41</v>
      </c>
      <c r="K521" s="2" t="s">
        <v>129</v>
      </c>
      <c r="L521" s="2">
        <v>1964</v>
      </c>
      <c r="M521" s="2" t="s">
        <v>49</v>
      </c>
      <c r="N521" s="2">
        <v>50</v>
      </c>
      <c r="O521" s="2">
        <v>1290030.8899999999</v>
      </c>
      <c r="P521" s="2">
        <v>25800.62</v>
      </c>
    </row>
    <row r="522" spans="1:16" outlineLevel="1" x14ac:dyDescent="0.2">
      <c r="A522" s="5"/>
      <c r="D522" s="3" t="s">
        <v>736</v>
      </c>
      <c r="N522" s="2">
        <f>SUBTOTAL(9,N521:N521)</f>
        <v>50</v>
      </c>
      <c r="O522" s="2">
        <f>SUBTOTAL(9,O521:O521)</f>
        <v>1290030.8899999999</v>
      </c>
    </row>
    <row r="523" spans="1:16" outlineLevel="2" x14ac:dyDescent="0.2">
      <c r="A523" s="5">
        <v>46038</v>
      </c>
      <c r="B523" s="2">
        <v>156188</v>
      </c>
      <c r="C523" s="2">
        <v>3</v>
      </c>
      <c r="D523" s="2" t="s">
        <v>45</v>
      </c>
      <c r="E523" s="2" t="s">
        <v>227</v>
      </c>
      <c r="F523" s="2" t="s">
        <v>47</v>
      </c>
      <c r="G523" s="2" t="s">
        <v>22</v>
      </c>
      <c r="H523" s="2" t="s">
        <v>23</v>
      </c>
      <c r="I523" s="2" t="s">
        <v>23</v>
      </c>
      <c r="J523" s="2">
        <v>41</v>
      </c>
      <c r="K523" s="2" t="s">
        <v>129</v>
      </c>
      <c r="L523" s="2">
        <v>1964</v>
      </c>
      <c r="M523" s="2" t="s">
        <v>49</v>
      </c>
      <c r="N523" s="2">
        <v>40</v>
      </c>
      <c r="O523" s="2">
        <v>724696.34</v>
      </c>
      <c r="P523" s="2">
        <v>18117.41</v>
      </c>
    </row>
    <row r="524" spans="1:16" outlineLevel="2" x14ac:dyDescent="0.2">
      <c r="A524" s="5">
        <v>46038</v>
      </c>
      <c r="B524" s="2">
        <v>156188</v>
      </c>
      <c r="C524" s="2">
        <v>4</v>
      </c>
      <c r="D524" s="2" t="s">
        <v>45</v>
      </c>
      <c r="E524" s="2" t="s">
        <v>125</v>
      </c>
      <c r="F524" s="2" t="s">
        <v>47</v>
      </c>
      <c r="G524" s="2" t="s">
        <v>22</v>
      </c>
      <c r="H524" s="2" t="s">
        <v>23</v>
      </c>
      <c r="I524" s="2" t="s">
        <v>23</v>
      </c>
      <c r="J524" s="2">
        <v>41</v>
      </c>
      <c r="K524" s="2" t="s">
        <v>129</v>
      </c>
      <c r="L524" s="2">
        <v>1964</v>
      </c>
      <c r="M524" s="2" t="s">
        <v>49</v>
      </c>
      <c r="N524" s="2">
        <v>5</v>
      </c>
      <c r="O524" s="2">
        <v>62023.83</v>
      </c>
      <c r="P524" s="2">
        <v>12404.77</v>
      </c>
    </row>
    <row r="525" spans="1:16" outlineLevel="1" x14ac:dyDescent="0.2">
      <c r="A525" s="5"/>
      <c r="D525" s="3" t="s">
        <v>733</v>
      </c>
      <c r="N525" s="2">
        <f>SUBTOTAL(9,N523:N524)</f>
        <v>45</v>
      </c>
      <c r="O525" s="2">
        <f>SUBTOTAL(9,O523:O524)</f>
        <v>786720.16999999993</v>
      </c>
    </row>
    <row r="526" spans="1:16" outlineLevel="2" x14ac:dyDescent="0.2">
      <c r="A526" s="5">
        <v>46038</v>
      </c>
      <c r="B526" s="2">
        <v>156188</v>
      </c>
      <c r="C526" s="2">
        <v>5</v>
      </c>
      <c r="D526" s="2" t="s">
        <v>226</v>
      </c>
      <c r="E526" s="2" t="s">
        <v>276</v>
      </c>
      <c r="F526" s="2" t="s">
        <v>47</v>
      </c>
      <c r="G526" s="2" t="s">
        <v>22</v>
      </c>
      <c r="H526" s="2" t="s">
        <v>23</v>
      </c>
      <c r="I526" s="2" t="s">
        <v>23</v>
      </c>
      <c r="J526" s="2">
        <v>41</v>
      </c>
      <c r="K526" s="2" t="s">
        <v>129</v>
      </c>
      <c r="L526" s="2">
        <v>1964</v>
      </c>
      <c r="M526" s="2" t="s">
        <v>49</v>
      </c>
      <c r="N526" s="2">
        <v>10</v>
      </c>
      <c r="O526" s="2">
        <v>131515.17000000001</v>
      </c>
      <c r="P526" s="2">
        <v>13151.52</v>
      </c>
    </row>
    <row r="527" spans="1:16" outlineLevel="1" x14ac:dyDescent="0.2">
      <c r="A527" s="5"/>
      <c r="D527" s="3" t="s">
        <v>736</v>
      </c>
      <c r="N527" s="2">
        <f>SUBTOTAL(9,N526:N526)</f>
        <v>10</v>
      </c>
      <c r="O527" s="2">
        <f>SUBTOTAL(9,O526:O526)</f>
        <v>131515.17000000001</v>
      </c>
    </row>
    <row r="528" spans="1:16" outlineLevel="2" x14ac:dyDescent="0.2">
      <c r="A528" s="5">
        <v>46038</v>
      </c>
      <c r="B528" s="2">
        <v>156189</v>
      </c>
      <c r="C528" s="2">
        <v>1</v>
      </c>
      <c r="D528" s="2" t="s">
        <v>29</v>
      </c>
      <c r="E528" s="2" t="s">
        <v>256</v>
      </c>
      <c r="F528" s="2" t="s">
        <v>31</v>
      </c>
      <c r="G528" s="2" t="s">
        <v>22</v>
      </c>
      <c r="H528" s="2" t="s">
        <v>23</v>
      </c>
      <c r="I528" s="2" t="s">
        <v>23</v>
      </c>
      <c r="J528" s="2">
        <v>11</v>
      </c>
      <c r="K528" s="2" t="s">
        <v>257</v>
      </c>
      <c r="L528" s="2">
        <v>226</v>
      </c>
      <c r="M528" s="2" t="s">
        <v>59</v>
      </c>
      <c r="N528" s="2">
        <v>64</v>
      </c>
      <c r="O528" s="2">
        <v>1339914.08</v>
      </c>
      <c r="P528" s="2">
        <v>20936.16</v>
      </c>
    </row>
    <row r="529" spans="1:16" outlineLevel="1" x14ac:dyDescent="0.2">
      <c r="A529" s="5"/>
      <c r="D529" s="3" t="s">
        <v>703</v>
      </c>
      <c r="N529" s="2">
        <f>SUBTOTAL(9,N528:N528)</f>
        <v>64</v>
      </c>
      <c r="O529" s="2">
        <f>SUBTOTAL(9,O528:O528)</f>
        <v>1339914.08</v>
      </c>
    </row>
    <row r="530" spans="1:16" outlineLevel="2" x14ac:dyDescent="0.2">
      <c r="A530" s="5">
        <v>46038</v>
      </c>
      <c r="B530" s="2">
        <v>156189</v>
      </c>
      <c r="C530" s="2">
        <v>2</v>
      </c>
      <c r="D530" s="2" t="s">
        <v>60</v>
      </c>
      <c r="E530" s="2" t="s">
        <v>253</v>
      </c>
      <c r="F530" s="2" t="s">
        <v>31</v>
      </c>
      <c r="G530" s="2" t="s">
        <v>22</v>
      </c>
      <c r="H530" s="2" t="s">
        <v>23</v>
      </c>
      <c r="I530" s="2" t="s">
        <v>23</v>
      </c>
      <c r="J530" s="2">
        <v>78</v>
      </c>
      <c r="K530" s="2" t="s">
        <v>212</v>
      </c>
      <c r="L530" s="2">
        <v>226</v>
      </c>
      <c r="M530" s="2" t="s">
        <v>59</v>
      </c>
      <c r="N530" s="2">
        <v>91</v>
      </c>
      <c r="O530" s="2">
        <v>2196645.0099999998</v>
      </c>
      <c r="P530" s="2">
        <v>24138.959999999999</v>
      </c>
    </row>
    <row r="531" spans="1:16" outlineLevel="1" x14ac:dyDescent="0.2">
      <c r="A531" s="5"/>
      <c r="D531" s="3" t="s">
        <v>728</v>
      </c>
      <c r="N531" s="2">
        <f>SUBTOTAL(9,N530:N530)</f>
        <v>91</v>
      </c>
      <c r="O531" s="2">
        <f>SUBTOTAL(9,O530:O530)</f>
        <v>2196645.0099999998</v>
      </c>
    </row>
    <row r="532" spans="1:16" outlineLevel="2" x14ac:dyDescent="0.2">
      <c r="A532" s="5">
        <v>46038</v>
      </c>
      <c r="B532" s="2">
        <v>156189</v>
      </c>
      <c r="C532" s="2">
        <v>3</v>
      </c>
      <c r="D532" s="2" t="s">
        <v>107</v>
      </c>
      <c r="E532" s="2" t="s">
        <v>254</v>
      </c>
      <c r="F532" s="2" t="s">
        <v>31</v>
      </c>
      <c r="G532" s="2" t="s">
        <v>22</v>
      </c>
      <c r="H532" s="2" t="s">
        <v>23</v>
      </c>
      <c r="I532" s="2" t="s">
        <v>23</v>
      </c>
      <c r="J532" s="2">
        <v>88</v>
      </c>
      <c r="K532" s="2" t="s">
        <v>255</v>
      </c>
      <c r="L532" s="2">
        <v>226</v>
      </c>
      <c r="M532" s="2" t="s">
        <v>59</v>
      </c>
      <c r="N532" s="2">
        <v>64</v>
      </c>
      <c r="O532" s="2">
        <v>1552937.85</v>
      </c>
      <c r="P532" s="2">
        <v>24264.65</v>
      </c>
    </row>
    <row r="533" spans="1:16" outlineLevel="1" x14ac:dyDescent="0.2">
      <c r="A533" s="5"/>
      <c r="D533" s="3" t="s">
        <v>726</v>
      </c>
      <c r="N533" s="2">
        <f>SUBTOTAL(9,N532:N532)</f>
        <v>64</v>
      </c>
      <c r="O533" s="2">
        <f>SUBTOTAL(9,O532:O532)</f>
        <v>1552937.85</v>
      </c>
    </row>
    <row r="534" spans="1:16" outlineLevel="2" x14ac:dyDescent="0.2">
      <c r="A534" s="5">
        <v>46038</v>
      </c>
      <c r="B534" s="2">
        <v>156189</v>
      </c>
      <c r="C534" s="2">
        <v>4</v>
      </c>
      <c r="D534" s="2" t="s">
        <v>29</v>
      </c>
      <c r="E534" s="2" t="s">
        <v>277</v>
      </c>
      <c r="F534" s="2" t="s">
        <v>31</v>
      </c>
      <c r="G534" s="2" t="s">
        <v>22</v>
      </c>
      <c r="H534" s="2" t="s">
        <v>23</v>
      </c>
      <c r="I534" s="2" t="s">
        <v>23</v>
      </c>
      <c r="J534" s="2">
        <v>11</v>
      </c>
      <c r="K534" s="2" t="s">
        <v>257</v>
      </c>
      <c r="L534" s="2">
        <v>226</v>
      </c>
      <c r="M534" s="2" t="s">
        <v>59</v>
      </c>
      <c r="N534" s="2">
        <v>64</v>
      </c>
      <c r="O534" s="2">
        <v>1479546.47</v>
      </c>
      <c r="P534" s="2">
        <v>23117.91</v>
      </c>
    </row>
    <row r="535" spans="1:16" outlineLevel="1" x14ac:dyDescent="0.2">
      <c r="A535" s="5"/>
      <c r="D535" s="3" t="s">
        <v>703</v>
      </c>
      <c r="N535" s="2">
        <f>SUBTOTAL(9,N534:N534)</f>
        <v>64</v>
      </c>
      <c r="O535" s="2">
        <f>SUBTOTAL(9,O534:O534)</f>
        <v>1479546.47</v>
      </c>
    </row>
    <row r="536" spans="1:16" outlineLevel="2" x14ac:dyDescent="0.2">
      <c r="A536" s="5">
        <v>46043</v>
      </c>
      <c r="B536" s="2">
        <v>156191</v>
      </c>
      <c r="C536" s="2">
        <v>1</v>
      </c>
      <c r="D536" s="2" t="s">
        <v>45</v>
      </c>
      <c r="E536" s="2" t="s">
        <v>125</v>
      </c>
      <c r="F536" s="2" t="s">
        <v>55</v>
      </c>
      <c r="G536" s="2" t="s">
        <v>23</v>
      </c>
      <c r="H536" s="2" t="s">
        <v>23</v>
      </c>
      <c r="I536" s="2" t="s">
        <v>23</v>
      </c>
      <c r="J536" s="2">
        <v>2</v>
      </c>
      <c r="K536" s="2" t="s">
        <v>48</v>
      </c>
      <c r="L536" s="2">
        <v>600</v>
      </c>
      <c r="M536" s="2" t="s">
        <v>112</v>
      </c>
      <c r="N536" s="2">
        <v>7</v>
      </c>
      <c r="O536" s="2">
        <v>63600.73</v>
      </c>
      <c r="P536" s="2">
        <v>9085.82</v>
      </c>
    </row>
    <row r="537" spans="1:16" outlineLevel="2" x14ac:dyDescent="0.2">
      <c r="A537" s="5">
        <v>46043</v>
      </c>
      <c r="B537" s="2">
        <v>156192</v>
      </c>
      <c r="C537" s="2">
        <v>1</v>
      </c>
      <c r="D537" s="2" t="s">
        <v>45</v>
      </c>
      <c r="E537" s="2" t="s">
        <v>125</v>
      </c>
      <c r="F537" s="2" t="s">
        <v>55</v>
      </c>
      <c r="G537" s="2" t="s">
        <v>23</v>
      </c>
      <c r="H537" s="2" t="s">
        <v>23</v>
      </c>
      <c r="I537" s="2" t="s">
        <v>23</v>
      </c>
      <c r="J537" s="2">
        <v>2</v>
      </c>
      <c r="K537" s="2" t="s">
        <v>48</v>
      </c>
      <c r="L537" s="2">
        <v>600</v>
      </c>
      <c r="M537" s="2" t="s">
        <v>112</v>
      </c>
      <c r="N537" s="2">
        <v>5</v>
      </c>
      <c r="O537" s="2">
        <v>45221.95</v>
      </c>
      <c r="P537" s="2">
        <v>9044.39</v>
      </c>
    </row>
    <row r="538" spans="1:16" outlineLevel="1" x14ac:dyDescent="0.2">
      <c r="A538" s="5"/>
      <c r="D538" s="3" t="s">
        <v>733</v>
      </c>
      <c r="N538" s="2">
        <f>SUBTOTAL(9,N536:N537)</f>
        <v>12</v>
      </c>
      <c r="O538" s="2">
        <f>SUBTOTAL(9,O536:O537)</f>
        <v>108822.68</v>
      </c>
    </row>
    <row r="539" spans="1:16" outlineLevel="2" x14ac:dyDescent="0.2">
      <c r="A539" s="5">
        <v>46052</v>
      </c>
      <c r="B539" s="2">
        <v>156194</v>
      </c>
      <c r="C539" s="2">
        <v>2</v>
      </c>
      <c r="D539" s="2" t="s">
        <v>54</v>
      </c>
      <c r="E539" s="2" t="s">
        <v>20</v>
      </c>
      <c r="F539" s="2" t="s">
        <v>55</v>
      </c>
      <c r="G539" s="2" t="s">
        <v>23</v>
      </c>
      <c r="H539" s="2" t="s">
        <v>23</v>
      </c>
      <c r="I539" s="2" t="s">
        <v>23</v>
      </c>
      <c r="J539" s="2">
        <v>2</v>
      </c>
      <c r="K539" s="2" t="s">
        <v>48</v>
      </c>
      <c r="L539" s="2">
        <v>25223</v>
      </c>
      <c r="M539" s="2" t="s">
        <v>97</v>
      </c>
      <c r="N539" s="2">
        <v>6</v>
      </c>
      <c r="O539" s="2">
        <v>52399.46</v>
      </c>
      <c r="P539" s="2">
        <v>8733.24</v>
      </c>
    </row>
    <row r="540" spans="1:16" outlineLevel="1" x14ac:dyDescent="0.2">
      <c r="A540" s="5"/>
      <c r="D540" s="3" t="s">
        <v>719</v>
      </c>
      <c r="N540" s="2">
        <f>SUBTOTAL(9,N539:N539)</f>
        <v>6</v>
      </c>
      <c r="O540" s="2">
        <f>SUBTOTAL(9,O539:O539)</f>
        <v>52399.46</v>
      </c>
    </row>
    <row r="541" spans="1:16" outlineLevel="2" x14ac:dyDescent="0.2">
      <c r="A541" s="5">
        <v>46043</v>
      </c>
      <c r="B541" s="2">
        <v>156194</v>
      </c>
      <c r="C541" s="2">
        <v>3</v>
      </c>
      <c r="D541" s="2" t="s">
        <v>45</v>
      </c>
      <c r="E541" s="2" t="s">
        <v>125</v>
      </c>
      <c r="F541" s="2" t="s">
        <v>55</v>
      </c>
      <c r="G541" s="2" t="s">
        <v>23</v>
      </c>
      <c r="H541" s="2" t="s">
        <v>23</v>
      </c>
      <c r="I541" s="2" t="s">
        <v>23</v>
      </c>
      <c r="J541" s="2">
        <v>2</v>
      </c>
      <c r="K541" s="2" t="s">
        <v>48</v>
      </c>
      <c r="L541" s="2">
        <v>25223</v>
      </c>
      <c r="M541" s="2" t="s">
        <v>97</v>
      </c>
      <c r="N541" s="2">
        <v>2</v>
      </c>
      <c r="O541" s="2">
        <v>27423.16</v>
      </c>
      <c r="P541" s="2">
        <v>13711.58</v>
      </c>
    </row>
    <row r="542" spans="1:16" outlineLevel="1" x14ac:dyDescent="0.2">
      <c r="A542" s="5"/>
      <c r="D542" s="3" t="s">
        <v>733</v>
      </c>
      <c r="N542" s="2">
        <f>SUBTOTAL(9,N541:N541)</f>
        <v>2</v>
      </c>
      <c r="O542" s="2">
        <f>SUBTOTAL(9,O541:O541)</f>
        <v>27423.16</v>
      </c>
    </row>
    <row r="543" spans="1:16" outlineLevel="2" x14ac:dyDescent="0.2">
      <c r="A543" s="5">
        <v>46043</v>
      </c>
      <c r="B543" s="2">
        <v>156197</v>
      </c>
      <c r="C543" s="2">
        <v>315</v>
      </c>
      <c r="D543" s="2" t="s">
        <v>215</v>
      </c>
      <c r="E543" s="2" t="s">
        <v>276</v>
      </c>
      <c r="F543" s="2" t="s">
        <v>55</v>
      </c>
      <c r="G543" s="2" t="s">
        <v>23</v>
      </c>
      <c r="H543" s="2" t="s">
        <v>23</v>
      </c>
      <c r="I543" s="2" t="s">
        <v>23</v>
      </c>
      <c r="J543" s="2">
        <v>2</v>
      </c>
      <c r="K543" s="2" t="s">
        <v>48</v>
      </c>
      <c r="L543" s="2">
        <v>251</v>
      </c>
      <c r="M543" s="2" t="s">
        <v>267</v>
      </c>
      <c r="N543" s="2">
        <v>5</v>
      </c>
      <c r="O543" s="2">
        <v>20019.07</v>
      </c>
      <c r="P543" s="2">
        <v>4003.81</v>
      </c>
    </row>
    <row r="544" spans="1:16" outlineLevel="2" x14ac:dyDescent="0.2">
      <c r="A544" s="5">
        <v>46045</v>
      </c>
      <c r="B544" s="2">
        <v>156197</v>
      </c>
      <c r="C544" s="2">
        <v>316</v>
      </c>
      <c r="D544" s="2" t="s">
        <v>215</v>
      </c>
      <c r="E544" s="2" t="s">
        <v>23</v>
      </c>
      <c r="F544" s="2" t="s">
        <v>55</v>
      </c>
      <c r="G544" s="2" t="s">
        <v>23</v>
      </c>
      <c r="H544" s="2" t="s">
        <v>23</v>
      </c>
      <c r="I544" s="2" t="s">
        <v>23</v>
      </c>
      <c r="J544" s="2">
        <v>2</v>
      </c>
      <c r="K544" s="2" t="s">
        <v>48</v>
      </c>
      <c r="L544" s="2">
        <v>251</v>
      </c>
      <c r="M544" s="2" t="s">
        <v>267</v>
      </c>
      <c r="N544" s="2">
        <v>13</v>
      </c>
      <c r="O544" s="2">
        <v>50369.39</v>
      </c>
      <c r="P544" s="2">
        <v>3874.57</v>
      </c>
    </row>
    <row r="545" spans="1:16" outlineLevel="1" x14ac:dyDescent="0.2">
      <c r="A545" s="5"/>
      <c r="D545" s="3" t="s">
        <v>727</v>
      </c>
      <c r="N545" s="2">
        <f>SUBTOTAL(9,N543:N544)</f>
        <v>18</v>
      </c>
      <c r="O545" s="2">
        <f>SUBTOTAL(9,O543:O544)</f>
        <v>70388.459999999992</v>
      </c>
    </row>
    <row r="546" spans="1:16" outlineLevel="2" x14ac:dyDescent="0.2">
      <c r="A546" s="5">
        <v>46043</v>
      </c>
      <c r="B546" s="2">
        <v>156200</v>
      </c>
      <c r="C546" s="2">
        <v>306</v>
      </c>
      <c r="D546" s="2" t="s">
        <v>54</v>
      </c>
      <c r="E546" s="2" t="s">
        <v>151</v>
      </c>
      <c r="F546" s="2" t="s">
        <v>55</v>
      </c>
      <c r="G546" s="2" t="s">
        <v>23</v>
      </c>
      <c r="H546" s="2" t="s">
        <v>23</v>
      </c>
      <c r="I546" s="2" t="s">
        <v>23</v>
      </c>
      <c r="J546" s="2">
        <v>2</v>
      </c>
      <c r="K546" s="2" t="s">
        <v>48</v>
      </c>
      <c r="L546" s="2">
        <v>534</v>
      </c>
      <c r="M546" s="2" t="s">
        <v>241</v>
      </c>
      <c r="N546" s="2">
        <v>2</v>
      </c>
      <c r="O546" s="2">
        <v>5020.6400000000003</v>
      </c>
      <c r="P546" s="2">
        <v>2510.3200000000002</v>
      </c>
    </row>
    <row r="547" spans="1:16" outlineLevel="1" x14ac:dyDescent="0.2">
      <c r="A547" s="5"/>
      <c r="D547" s="3" t="s">
        <v>719</v>
      </c>
      <c r="N547" s="2">
        <f>SUBTOTAL(9,N546:N546)</f>
        <v>2</v>
      </c>
      <c r="O547" s="2">
        <f>SUBTOTAL(9,O546:O546)</f>
        <v>5020.6400000000003</v>
      </c>
    </row>
    <row r="548" spans="1:16" outlineLevel="2" x14ac:dyDescent="0.2">
      <c r="A548" s="5">
        <v>46043</v>
      </c>
      <c r="B548" s="2">
        <v>156200</v>
      </c>
      <c r="C548" s="2">
        <v>315</v>
      </c>
      <c r="D548" s="2" t="s">
        <v>45</v>
      </c>
      <c r="E548" s="2" t="s">
        <v>46</v>
      </c>
      <c r="F548" s="2" t="s">
        <v>55</v>
      </c>
      <c r="G548" s="2" t="s">
        <v>23</v>
      </c>
      <c r="H548" s="2" t="s">
        <v>23</v>
      </c>
      <c r="I548" s="2" t="s">
        <v>23</v>
      </c>
      <c r="J548" s="2">
        <v>2</v>
      </c>
      <c r="K548" s="2" t="s">
        <v>48</v>
      </c>
      <c r="L548" s="2">
        <v>534</v>
      </c>
      <c r="M548" s="2" t="s">
        <v>241</v>
      </c>
      <c r="N548" s="2">
        <v>9</v>
      </c>
      <c r="O548" s="2">
        <v>104382.03</v>
      </c>
      <c r="P548" s="2">
        <v>11598</v>
      </c>
    </row>
    <row r="549" spans="1:16" outlineLevel="1" x14ac:dyDescent="0.2">
      <c r="A549" s="5"/>
      <c r="D549" s="3" t="s">
        <v>733</v>
      </c>
      <c r="N549" s="2">
        <f>SUBTOTAL(9,N548:N548)</f>
        <v>9</v>
      </c>
      <c r="O549" s="2">
        <f>SUBTOTAL(9,O548:O548)</f>
        <v>104382.03</v>
      </c>
    </row>
    <row r="550" spans="1:16" outlineLevel="2" x14ac:dyDescent="0.2">
      <c r="A550" s="5">
        <v>46038</v>
      </c>
      <c r="B550" s="2">
        <v>156202</v>
      </c>
      <c r="C550" s="2">
        <v>1</v>
      </c>
      <c r="D550" s="2" t="s">
        <v>38</v>
      </c>
      <c r="E550" s="2" t="s">
        <v>39</v>
      </c>
      <c r="F550" s="2" t="s">
        <v>63</v>
      </c>
      <c r="G550" s="2" t="s">
        <v>22</v>
      </c>
      <c r="H550" s="2" t="s">
        <v>23</v>
      </c>
      <c r="I550" s="2" t="s">
        <v>135</v>
      </c>
      <c r="J550" s="2">
        <v>1</v>
      </c>
      <c r="K550" s="2" t="s">
        <v>24</v>
      </c>
      <c r="L550" s="2">
        <v>1846</v>
      </c>
      <c r="M550" s="2" t="s">
        <v>134</v>
      </c>
      <c r="N550" s="2">
        <v>772</v>
      </c>
      <c r="O550" s="2">
        <v>47511268.719999999</v>
      </c>
      <c r="P550" s="2">
        <v>61543.09</v>
      </c>
    </row>
    <row r="551" spans="1:16" outlineLevel="2" x14ac:dyDescent="0.2">
      <c r="A551" s="5">
        <v>46038</v>
      </c>
      <c r="B551" s="2">
        <v>156202</v>
      </c>
      <c r="C551" s="2">
        <v>2</v>
      </c>
      <c r="D551" s="2" t="s">
        <v>38</v>
      </c>
      <c r="E551" s="2" t="s">
        <v>39</v>
      </c>
      <c r="F551" s="2" t="s">
        <v>63</v>
      </c>
      <c r="G551" s="2" t="s">
        <v>22</v>
      </c>
      <c r="H551" s="2" t="s">
        <v>23</v>
      </c>
      <c r="I551" s="2" t="s">
        <v>23</v>
      </c>
      <c r="J551" s="2">
        <v>124</v>
      </c>
      <c r="K551" s="2" t="s">
        <v>155</v>
      </c>
      <c r="L551" s="2">
        <v>1846</v>
      </c>
      <c r="M551" s="2" t="s">
        <v>134</v>
      </c>
      <c r="N551" s="2">
        <v>275</v>
      </c>
      <c r="O551" s="2">
        <v>17476703.75</v>
      </c>
      <c r="P551" s="2">
        <v>63551.65</v>
      </c>
    </row>
    <row r="552" spans="1:16" outlineLevel="2" x14ac:dyDescent="0.2">
      <c r="A552" s="5">
        <v>46038</v>
      </c>
      <c r="B552" s="2">
        <v>156203</v>
      </c>
      <c r="C552" s="2">
        <v>1</v>
      </c>
      <c r="D552" s="2" t="s">
        <v>38</v>
      </c>
      <c r="E552" s="2" t="s">
        <v>39</v>
      </c>
      <c r="F552" s="2" t="s">
        <v>63</v>
      </c>
      <c r="G552" s="2" t="s">
        <v>22</v>
      </c>
      <c r="H552" s="2" t="s">
        <v>23</v>
      </c>
      <c r="I552" s="2" t="s">
        <v>133</v>
      </c>
      <c r="J552" s="2">
        <v>1</v>
      </c>
      <c r="K552" s="2" t="s">
        <v>24</v>
      </c>
      <c r="L552" s="2">
        <v>1846</v>
      </c>
      <c r="M552" s="2" t="s">
        <v>134</v>
      </c>
      <c r="N552" s="2">
        <v>688</v>
      </c>
      <c r="O552" s="2">
        <v>33785629.759999998</v>
      </c>
      <c r="P552" s="2">
        <v>49107.02</v>
      </c>
    </row>
    <row r="553" spans="1:16" outlineLevel="2" x14ac:dyDescent="0.2">
      <c r="A553" s="5">
        <v>46043</v>
      </c>
      <c r="B553" s="2">
        <v>156203</v>
      </c>
      <c r="C553" s="2">
        <v>2</v>
      </c>
      <c r="D553" s="2" t="s">
        <v>38</v>
      </c>
      <c r="E553" s="2" t="s">
        <v>39</v>
      </c>
      <c r="F553" s="2" t="s">
        <v>63</v>
      </c>
      <c r="G553" s="2" t="s">
        <v>22</v>
      </c>
      <c r="H553" s="2" t="s">
        <v>23</v>
      </c>
      <c r="I553" s="2" t="s">
        <v>23</v>
      </c>
      <c r="J553" s="2">
        <v>124</v>
      </c>
      <c r="K553" s="2" t="s">
        <v>155</v>
      </c>
      <c r="L553" s="2">
        <v>1846</v>
      </c>
      <c r="M553" s="2" t="s">
        <v>134</v>
      </c>
      <c r="N553" s="2">
        <v>330</v>
      </c>
      <c r="O553" s="2">
        <v>21050868.850000001</v>
      </c>
      <c r="P553" s="2">
        <v>63790.51</v>
      </c>
    </row>
    <row r="554" spans="1:16" outlineLevel="1" x14ac:dyDescent="0.2">
      <c r="A554" s="5"/>
      <c r="D554" s="3" t="s">
        <v>721</v>
      </c>
      <c r="N554" s="2">
        <f>SUBTOTAL(9,N550:N553)</f>
        <v>2065</v>
      </c>
      <c r="O554" s="2">
        <f>SUBTOTAL(9,O550:O553)</f>
        <v>119824471.07999998</v>
      </c>
    </row>
    <row r="555" spans="1:16" outlineLevel="2" x14ac:dyDescent="0.2">
      <c r="A555" s="5">
        <v>46038</v>
      </c>
      <c r="B555" s="2">
        <v>156207</v>
      </c>
      <c r="C555" s="2">
        <v>1</v>
      </c>
      <c r="D555" s="2" t="s">
        <v>229</v>
      </c>
      <c r="E555" s="2" t="s">
        <v>264</v>
      </c>
      <c r="F555" s="2" t="s">
        <v>231</v>
      </c>
      <c r="G555" s="2" t="s">
        <v>22</v>
      </c>
      <c r="H555" s="2" t="s">
        <v>23</v>
      </c>
      <c r="I555" s="2" t="s">
        <v>23</v>
      </c>
      <c r="J555" s="2">
        <v>2</v>
      </c>
      <c r="K555" s="2" t="s">
        <v>48</v>
      </c>
      <c r="L555" s="2">
        <v>25094</v>
      </c>
      <c r="M555" s="2" t="s">
        <v>236</v>
      </c>
      <c r="N555" s="2">
        <v>355</v>
      </c>
      <c r="O555" s="2">
        <v>8731481.0399999991</v>
      </c>
      <c r="P555" s="2">
        <v>24595.72</v>
      </c>
    </row>
    <row r="556" spans="1:16" outlineLevel="1" x14ac:dyDescent="0.2">
      <c r="A556" s="5"/>
      <c r="D556" s="3" t="s">
        <v>737</v>
      </c>
      <c r="N556" s="2">
        <f>SUBTOTAL(9,N555:N555)</f>
        <v>355</v>
      </c>
      <c r="O556" s="2">
        <f>SUBTOTAL(9,O555:O555)</f>
        <v>8731481.0399999991</v>
      </c>
    </row>
    <row r="557" spans="1:16" outlineLevel="2" x14ac:dyDescent="0.2">
      <c r="A557" s="5">
        <v>46048</v>
      </c>
      <c r="B557" s="2">
        <v>156209</v>
      </c>
      <c r="C557" s="2">
        <v>1</v>
      </c>
      <c r="D557" s="2" t="s">
        <v>38</v>
      </c>
      <c r="E557" s="2" t="s">
        <v>39</v>
      </c>
      <c r="F557" s="2" t="s">
        <v>63</v>
      </c>
      <c r="G557" s="2" t="s">
        <v>22</v>
      </c>
      <c r="H557" s="2" t="s">
        <v>23</v>
      </c>
      <c r="I557" s="2" t="s">
        <v>116</v>
      </c>
      <c r="J557" s="2">
        <v>1</v>
      </c>
      <c r="K557" s="2" t="s">
        <v>24</v>
      </c>
      <c r="L557" s="2">
        <v>817</v>
      </c>
      <c r="M557" s="2" t="s">
        <v>117</v>
      </c>
      <c r="N557" s="2">
        <v>138</v>
      </c>
      <c r="O557" s="2">
        <v>8036355.9100000001</v>
      </c>
      <c r="P557" s="2">
        <v>58234.46</v>
      </c>
    </row>
    <row r="558" spans="1:16" outlineLevel="2" x14ac:dyDescent="0.2">
      <c r="A558" s="5">
        <v>46055</v>
      </c>
      <c r="B558" s="2">
        <v>156209</v>
      </c>
      <c r="C558" s="2">
        <v>2</v>
      </c>
      <c r="D558" s="2" t="s">
        <v>38</v>
      </c>
      <c r="E558" s="2" t="s">
        <v>39</v>
      </c>
      <c r="F558" s="2" t="s">
        <v>63</v>
      </c>
      <c r="G558" s="2" t="s">
        <v>22</v>
      </c>
      <c r="H558" s="2" t="s">
        <v>23</v>
      </c>
      <c r="I558" s="2" t="s">
        <v>135</v>
      </c>
      <c r="J558" s="2">
        <v>1</v>
      </c>
      <c r="K558" s="2" t="s">
        <v>24</v>
      </c>
      <c r="L558" s="2">
        <v>817</v>
      </c>
      <c r="M558" s="2" t="s">
        <v>117</v>
      </c>
      <c r="N558" s="2">
        <v>81</v>
      </c>
      <c r="O558" s="2">
        <v>4719776.51</v>
      </c>
      <c r="P558" s="2">
        <v>58268.85</v>
      </c>
    </row>
    <row r="559" spans="1:16" outlineLevel="2" x14ac:dyDescent="0.2">
      <c r="A559" s="5">
        <v>46048</v>
      </c>
      <c r="B559" s="2">
        <v>156209</v>
      </c>
      <c r="C559" s="2">
        <v>3</v>
      </c>
      <c r="D559" s="2" t="s">
        <v>38</v>
      </c>
      <c r="E559" s="2" t="s">
        <v>39</v>
      </c>
      <c r="F559" s="2" t="s">
        <v>63</v>
      </c>
      <c r="G559" s="2" t="s">
        <v>22</v>
      </c>
      <c r="H559" s="2" t="s">
        <v>23</v>
      </c>
      <c r="I559" s="2" t="s">
        <v>133</v>
      </c>
      <c r="J559" s="2">
        <v>1</v>
      </c>
      <c r="K559" s="2" t="s">
        <v>24</v>
      </c>
      <c r="L559" s="2">
        <v>817</v>
      </c>
      <c r="M559" s="2" t="s">
        <v>117</v>
      </c>
      <c r="N559" s="2">
        <v>94</v>
      </c>
      <c r="O559" s="2">
        <v>4530211.55</v>
      </c>
      <c r="P559" s="2">
        <v>48193.74</v>
      </c>
    </row>
    <row r="560" spans="1:16" outlineLevel="1" x14ac:dyDescent="0.2">
      <c r="A560" s="5"/>
      <c r="D560" s="3" t="s">
        <v>721</v>
      </c>
      <c r="N560" s="2">
        <f>SUBTOTAL(9,N557:N559)</f>
        <v>313</v>
      </c>
      <c r="O560" s="2">
        <f>SUBTOTAL(9,O557:O559)</f>
        <v>17286343.969999999</v>
      </c>
    </row>
    <row r="561" spans="1:16" outlineLevel="2" x14ac:dyDescent="0.2">
      <c r="A561" s="5">
        <v>46043</v>
      </c>
      <c r="B561" s="2">
        <v>156210</v>
      </c>
      <c r="C561" s="2">
        <v>1</v>
      </c>
      <c r="D561" s="2" t="s">
        <v>26</v>
      </c>
      <c r="E561" s="2" t="s">
        <v>51</v>
      </c>
      <c r="F561" s="2" t="s">
        <v>55</v>
      </c>
      <c r="G561" s="2" t="s">
        <v>23</v>
      </c>
      <c r="H561" s="2" t="s">
        <v>23</v>
      </c>
      <c r="I561" s="2" t="s">
        <v>23</v>
      </c>
      <c r="J561" s="2">
        <v>5</v>
      </c>
      <c r="K561" s="2" t="s">
        <v>27</v>
      </c>
      <c r="L561" s="2">
        <v>25114</v>
      </c>
      <c r="M561" s="2" t="s">
        <v>278</v>
      </c>
      <c r="N561" s="2">
        <v>100</v>
      </c>
      <c r="O561" s="2">
        <v>867844.2</v>
      </c>
      <c r="P561" s="2">
        <v>8678.44</v>
      </c>
    </row>
    <row r="562" spans="1:16" outlineLevel="2" x14ac:dyDescent="0.2">
      <c r="A562" s="5">
        <v>46150</v>
      </c>
      <c r="B562" s="2">
        <v>156210</v>
      </c>
      <c r="C562" s="2">
        <v>300</v>
      </c>
      <c r="D562" s="2" t="s">
        <v>26</v>
      </c>
      <c r="E562" s="2" t="s">
        <v>55</v>
      </c>
      <c r="F562" s="2" t="s">
        <v>23</v>
      </c>
      <c r="G562" s="2" t="s">
        <v>23</v>
      </c>
      <c r="H562" s="2" t="s">
        <v>23</v>
      </c>
      <c r="I562" s="2" t="s">
        <v>23</v>
      </c>
      <c r="J562" s="2">
        <v>5</v>
      </c>
      <c r="K562" s="2" t="s">
        <v>27</v>
      </c>
      <c r="L562" s="2">
        <v>25114</v>
      </c>
      <c r="M562" s="2" t="s">
        <v>278</v>
      </c>
      <c r="N562" s="2">
        <v>21</v>
      </c>
      <c r="O562" s="2">
        <v>100069.95</v>
      </c>
      <c r="P562" s="2">
        <v>4765.24</v>
      </c>
    </row>
    <row r="563" spans="1:16" outlineLevel="2" x14ac:dyDescent="0.2">
      <c r="A563" s="5">
        <v>46038</v>
      </c>
      <c r="B563" s="2">
        <v>156216</v>
      </c>
      <c r="C563" s="2">
        <v>1</v>
      </c>
      <c r="D563" s="2" t="s">
        <v>26</v>
      </c>
      <c r="E563" s="2" t="s">
        <v>51</v>
      </c>
      <c r="F563" s="2" t="s">
        <v>52</v>
      </c>
      <c r="G563" s="2" t="s">
        <v>22</v>
      </c>
      <c r="H563" s="2" t="s">
        <v>23</v>
      </c>
      <c r="I563" s="2" t="s">
        <v>23</v>
      </c>
      <c r="J563" s="2">
        <v>1</v>
      </c>
      <c r="K563" s="2" t="s">
        <v>24</v>
      </c>
      <c r="L563" s="2">
        <v>2501</v>
      </c>
      <c r="M563" s="2" t="s">
        <v>279</v>
      </c>
      <c r="N563" s="2">
        <v>96</v>
      </c>
      <c r="O563" s="2">
        <v>1779734.26</v>
      </c>
      <c r="P563" s="2">
        <v>18538.900000000001</v>
      </c>
    </row>
    <row r="564" spans="1:16" outlineLevel="2" x14ac:dyDescent="0.2">
      <c r="A564" s="5">
        <v>46038</v>
      </c>
      <c r="B564" s="2">
        <v>156216</v>
      </c>
      <c r="C564" s="2">
        <v>200</v>
      </c>
      <c r="D564" s="2" t="s">
        <v>26</v>
      </c>
      <c r="E564" s="2" t="s">
        <v>51</v>
      </c>
      <c r="F564" s="2" t="s">
        <v>201</v>
      </c>
      <c r="G564" s="2" t="s">
        <v>22</v>
      </c>
      <c r="H564" s="2" t="s">
        <v>23</v>
      </c>
      <c r="I564" s="2" t="s">
        <v>23</v>
      </c>
      <c r="J564" s="2">
        <v>5</v>
      </c>
      <c r="K564" s="2" t="s">
        <v>27</v>
      </c>
      <c r="L564" s="2">
        <v>2501</v>
      </c>
      <c r="M564" s="2" t="s">
        <v>279</v>
      </c>
      <c r="N564" s="2">
        <v>36</v>
      </c>
      <c r="O564" s="2">
        <v>403797.9</v>
      </c>
      <c r="P564" s="2">
        <v>11216.61</v>
      </c>
    </row>
    <row r="565" spans="1:16" outlineLevel="1" x14ac:dyDescent="0.2">
      <c r="A565" s="5"/>
      <c r="D565" s="3" t="s">
        <v>711</v>
      </c>
      <c r="N565" s="2">
        <f>SUBTOTAL(9,N561:N564)</f>
        <v>253</v>
      </c>
      <c r="O565" s="2">
        <f>SUBTOTAL(9,O561:O564)</f>
        <v>3151446.31</v>
      </c>
    </row>
    <row r="566" spans="1:16" outlineLevel="2" x14ac:dyDescent="0.2">
      <c r="A566" s="5">
        <v>46043</v>
      </c>
      <c r="B566" s="2">
        <v>156217</v>
      </c>
      <c r="C566" s="2">
        <v>1</v>
      </c>
      <c r="D566" s="2" t="s">
        <v>54</v>
      </c>
      <c r="E566" s="2" t="s">
        <v>20</v>
      </c>
      <c r="F566" s="2" t="s">
        <v>23</v>
      </c>
      <c r="G566" s="2" t="s">
        <v>22</v>
      </c>
      <c r="H566" s="2" t="s">
        <v>23</v>
      </c>
      <c r="I566" s="2" t="s">
        <v>23</v>
      </c>
      <c r="J566" s="2">
        <v>2</v>
      </c>
      <c r="K566" s="2" t="s">
        <v>48</v>
      </c>
      <c r="L566" s="2">
        <v>253</v>
      </c>
      <c r="M566" s="2" t="s">
        <v>265</v>
      </c>
      <c r="N566" s="2">
        <v>2</v>
      </c>
      <c r="O566" s="2">
        <v>8754.3799999999992</v>
      </c>
      <c r="P566" s="2">
        <v>4377.1899999999996</v>
      </c>
    </row>
    <row r="567" spans="1:16" outlineLevel="1" x14ac:dyDescent="0.2">
      <c r="A567" s="5"/>
      <c r="D567" s="3" t="s">
        <v>719</v>
      </c>
      <c r="N567" s="2">
        <f>SUBTOTAL(9,N566:N566)</f>
        <v>2</v>
      </c>
      <c r="O567" s="2">
        <f>SUBTOTAL(9,O566:O566)</f>
        <v>8754.3799999999992</v>
      </c>
    </row>
    <row r="568" spans="1:16" outlineLevel="2" x14ac:dyDescent="0.2">
      <c r="A568" s="5">
        <v>46043</v>
      </c>
      <c r="B568" s="2">
        <v>156217</v>
      </c>
      <c r="C568" s="2">
        <v>315</v>
      </c>
      <c r="D568" s="2" t="s">
        <v>110</v>
      </c>
      <c r="E568" s="2" t="s">
        <v>111</v>
      </c>
      <c r="F568" s="2" t="s">
        <v>55</v>
      </c>
      <c r="G568" s="2" t="s">
        <v>23</v>
      </c>
      <c r="H568" s="2" t="s">
        <v>23</v>
      </c>
      <c r="I568" s="2" t="s">
        <v>23</v>
      </c>
      <c r="J568" s="2">
        <v>2</v>
      </c>
      <c r="K568" s="2" t="s">
        <v>48</v>
      </c>
      <c r="L568" s="2">
        <v>600</v>
      </c>
      <c r="M568" s="2" t="s">
        <v>112</v>
      </c>
      <c r="N568" s="2">
        <v>13</v>
      </c>
      <c r="O568" s="2">
        <v>39168.17</v>
      </c>
      <c r="P568" s="2">
        <v>3012.94</v>
      </c>
    </row>
    <row r="569" spans="1:16" outlineLevel="1" x14ac:dyDescent="0.2">
      <c r="A569" s="5"/>
      <c r="D569" s="3" t="s">
        <v>697</v>
      </c>
      <c r="N569" s="2">
        <f>SUBTOTAL(9,N568:N568)</f>
        <v>13</v>
      </c>
      <c r="O569" s="2">
        <f>SUBTOTAL(9,O568:O568)</f>
        <v>39168.17</v>
      </c>
    </row>
    <row r="570" spans="1:16" outlineLevel="2" x14ac:dyDescent="0.2">
      <c r="A570" s="5">
        <v>46050</v>
      </c>
      <c r="B570" s="2">
        <v>156218</v>
      </c>
      <c r="C570" s="2">
        <v>1</v>
      </c>
      <c r="D570" s="2" t="s">
        <v>45</v>
      </c>
      <c r="E570" s="2" t="s">
        <v>46</v>
      </c>
      <c r="F570" s="2" t="s">
        <v>55</v>
      </c>
      <c r="G570" s="2" t="s">
        <v>23</v>
      </c>
      <c r="H570" s="2" t="s">
        <v>23</v>
      </c>
      <c r="I570" s="2" t="s">
        <v>23</v>
      </c>
      <c r="J570" s="2">
        <v>2</v>
      </c>
      <c r="K570" s="2" t="s">
        <v>48</v>
      </c>
      <c r="L570" s="2">
        <v>1876</v>
      </c>
      <c r="M570" s="2" t="s">
        <v>138</v>
      </c>
      <c r="N570" s="2">
        <v>1</v>
      </c>
      <c r="O570" s="2">
        <v>6244.07</v>
      </c>
      <c r="P570" s="2">
        <v>6244.07</v>
      </c>
    </row>
    <row r="571" spans="1:16" outlineLevel="2" x14ac:dyDescent="0.2">
      <c r="A571" s="5">
        <v>46043</v>
      </c>
      <c r="B571" s="2">
        <v>156218</v>
      </c>
      <c r="C571" s="2">
        <v>2</v>
      </c>
      <c r="D571" s="2" t="s">
        <v>45</v>
      </c>
      <c r="E571" s="2" t="s">
        <v>125</v>
      </c>
      <c r="F571" s="2" t="s">
        <v>55</v>
      </c>
      <c r="G571" s="2" t="s">
        <v>23</v>
      </c>
      <c r="H571" s="2" t="s">
        <v>23</v>
      </c>
      <c r="I571" s="2" t="s">
        <v>23</v>
      </c>
      <c r="J571" s="2">
        <v>2</v>
      </c>
      <c r="K571" s="2" t="s">
        <v>48</v>
      </c>
      <c r="L571" s="2">
        <v>1876</v>
      </c>
      <c r="M571" s="2" t="s">
        <v>138</v>
      </c>
      <c r="N571" s="2">
        <v>14</v>
      </c>
      <c r="O571" s="2">
        <v>176093.66</v>
      </c>
      <c r="P571" s="2">
        <v>12578.12</v>
      </c>
    </row>
    <row r="572" spans="1:16" outlineLevel="2" x14ac:dyDescent="0.2">
      <c r="A572" s="5">
        <v>46041</v>
      </c>
      <c r="B572" s="2">
        <v>156218</v>
      </c>
      <c r="C572" s="2">
        <v>315</v>
      </c>
      <c r="D572" s="2" t="s">
        <v>45</v>
      </c>
      <c r="E572" s="2" t="s">
        <v>125</v>
      </c>
      <c r="F572" s="2" t="s">
        <v>55</v>
      </c>
      <c r="G572" s="2" t="s">
        <v>23</v>
      </c>
      <c r="H572" s="2" t="s">
        <v>23</v>
      </c>
      <c r="I572" s="2" t="s">
        <v>23</v>
      </c>
      <c r="J572" s="2">
        <v>2</v>
      </c>
      <c r="K572" s="2" t="s">
        <v>48</v>
      </c>
      <c r="L572" s="2">
        <v>1876</v>
      </c>
      <c r="M572" s="2" t="s">
        <v>138</v>
      </c>
      <c r="N572" s="2">
        <v>12</v>
      </c>
      <c r="O572" s="2">
        <v>175740.24</v>
      </c>
      <c r="P572" s="2">
        <v>14645.02</v>
      </c>
    </row>
    <row r="573" spans="1:16" outlineLevel="2" x14ac:dyDescent="0.2">
      <c r="A573" s="5">
        <v>46045</v>
      </c>
      <c r="B573" s="2">
        <v>156218</v>
      </c>
      <c r="C573" s="2">
        <v>316</v>
      </c>
      <c r="D573" s="2" t="s">
        <v>45</v>
      </c>
      <c r="E573" s="2" t="s">
        <v>46</v>
      </c>
      <c r="F573" s="2" t="s">
        <v>55</v>
      </c>
      <c r="G573" s="2" t="s">
        <v>23</v>
      </c>
      <c r="H573" s="2" t="s">
        <v>23</v>
      </c>
      <c r="I573" s="2" t="s">
        <v>23</v>
      </c>
      <c r="J573" s="2">
        <v>2</v>
      </c>
      <c r="K573" s="2" t="s">
        <v>48</v>
      </c>
      <c r="L573" s="2">
        <v>1876</v>
      </c>
      <c r="M573" s="2" t="s">
        <v>138</v>
      </c>
      <c r="N573" s="2">
        <v>1</v>
      </c>
      <c r="O573" s="2">
        <v>11844.7</v>
      </c>
      <c r="P573" s="2">
        <v>11844.7</v>
      </c>
    </row>
    <row r="574" spans="1:16" outlineLevel="2" x14ac:dyDescent="0.2">
      <c r="A574" s="5">
        <v>46043</v>
      </c>
      <c r="B574" s="2">
        <v>156219</v>
      </c>
      <c r="C574" s="2">
        <v>315</v>
      </c>
      <c r="D574" s="2" t="s">
        <v>45</v>
      </c>
      <c r="E574" s="2" t="s">
        <v>46</v>
      </c>
      <c r="F574" s="2" t="s">
        <v>55</v>
      </c>
      <c r="G574" s="2" t="s">
        <v>23</v>
      </c>
      <c r="H574" s="2" t="s">
        <v>23</v>
      </c>
      <c r="I574" s="2" t="s">
        <v>23</v>
      </c>
      <c r="J574" s="2">
        <v>1</v>
      </c>
      <c r="K574" s="2" t="s">
        <v>24</v>
      </c>
      <c r="L574" s="2">
        <v>1557</v>
      </c>
      <c r="M574" s="2" t="s">
        <v>98</v>
      </c>
      <c r="N574" s="2">
        <v>11</v>
      </c>
      <c r="O574" s="2">
        <v>150827.38</v>
      </c>
      <c r="P574" s="2">
        <v>13711.58</v>
      </c>
    </row>
    <row r="575" spans="1:16" outlineLevel="1" x14ac:dyDescent="0.2">
      <c r="A575" s="5"/>
      <c r="D575" s="3" t="s">
        <v>733</v>
      </c>
      <c r="N575" s="2">
        <f>SUBTOTAL(9,N570:N574)</f>
        <v>39</v>
      </c>
      <c r="O575" s="2">
        <f>SUBTOTAL(9,O570:O574)</f>
        <v>520750.05</v>
      </c>
    </row>
    <row r="576" spans="1:16" outlineLevel="2" x14ac:dyDescent="0.2">
      <c r="A576" s="5">
        <v>46045</v>
      </c>
      <c r="B576" s="2">
        <v>156220</v>
      </c>
      <c r="C576" s="2">
        <v>1</v>
      </c>
      <c r="D576" s="2" t="s">
        <v>83</v>
      </c>
      <c r="E576" s="2" t="s">
        <v>23</v>
      </c>
      <c r="F576" s="2" t="s">
        <v>55</v>
      </c>
      <c r="G576" s="2" t="s">
        <v>23</v>
      </c>
      <c r="H576" s="2" t="s">
        <v>23</v>
      </c>
      <c r="I576" s="2" t="s">
        <v>23</v>
      </c>
      <c r="J576" s="2">
        <v>1</v>
      </c>
      <c r="K576" s="2" t="s">
        <v>24</v>
      </c>
      <c r="L576" s="2">
        <v>792</v>
      </c>
      <c r="M576" s="2" t="s">
        <v>127</v>
      </c>
      <c r="N576" s="2">
        <v>75</v>
      </c>
      <c r="O576" s="2">
        <v>443102.37</v>
      </c>
      <c r="P576" s="2">
        <v>5908.03</v>
      </c>
    </row>
    <row r="577" spans="1:16" outlineLevel="1" x14ac:dyDescent="0.2">
      <c r="A577" s="5"/>
      <c r="D577" s="3" t="s">
        <v>701</v>
      </c>
      <c r="N577" s="2">
        <f>SUBTOTAL(9,N576:N576)</f>
        <v>75</v>
      </c>
      <c r="O577" s="2">
        <f>SUBTOTAL(9,O576:O576)</f>
        <v>443102.37</v>
      </c>
    </row>
    <row r="578" spans="1:16" outlineLevel="2" x14ac:dyDescent="0.2">
      <c r="A578" s="5">
        <v>46041</v>
      </c>
      <c r="B578" s="2">
        <v>156221</v>
      </c>
      <c r="C578" s="2">
        <v>1</v>
      </c>
      <c r="D578" s="2" t="s">
        <v>57</v>
      </c>
      <c r="E578" s="2" t="s">
        <v>23</v>
      </c>
      <c r="F578" s="2" t="s">
        <v>23</v>
      </c>
      <c r="G578" s="2" t="s">
        <v>22</v>
      </c>
      <c r="H578" s="2" t="s">
        <v>23</v>
      </c>
      <c r="I578" s="2" t="s">
        <v>23</v>
      </c>
      <c r="J578" s="2">
        <v>1</v>
      </c>
      <c r="K578" s="2" t="s">
        <v>24</v>
      </c>
      <c r="L578" s="2">
        <v>253</v>
      </c>
      <c r="M578" s="2" t="s">
        <v>265</v>
      </c>
      <c r="N578" s="2">
        <v>2</v>
      </c>
      <c r="O578" s="2">
        <v>130101.46</v>
      </c>
      <c r="P578" s="2">
        <v>65050.73</v>
      </c>
    </row>
    <row r="579" spans="1:16" outlineLevel="1" x14ac:dyDescent="0.2">
      <c r="A579" s="5"/>
      <c r="D579" s="3" t="s">
        <v>716</v>
      </c>
      <c r="N579" s="2">
        <f>SUBTOTAL(9,N578:N578)</f>
        <v>2</v>
      </c>
      <c r="O579" s="2">
        <f>SUBTOTAL(9,O578:O578)</f>
        <v>130101.46</v>
      </c>
    </row>
    <row r="580" spans="1:16" outlineLevel="2" x14ac:dyDescent="0.2">
      <c r="A580" s="5">
        <v>46045</v>
      </c>
      <c r="B580" s="2">
        <v>156222</v>
      </c>
      <c r="C580" s="2">
        <v>1</v>
      </c>
      <c r="D580" s="2" t="s">
        <v>83</v>
      </c>
      <c r="E580" s="2" t="s">
        <v>23</v>
      </c>
      <c r="F580" s="2" t="s">
        <v>55</v>
      </c>
      <c r="G580" s="2" t="s">
        <v>23</v>
      </c>
      <c r="H580" s="2" t="s">
        <v>23</v>
      </c>
      <c r="I580" s="2" t="s">
        <v>23</v>
      </c>
      <c r="J580" s="2">
        <v>1</v>
      </c>
      <c r="K580" s="2" t="s">
        <v>24</v>
      </c>
      <c r="L580" s="2">
        <v>25092</v>
      </c>
      <c r="M580" s="2" t="s">
        <v>96</v>
      </c>
      <c r="N580" s="2">
        <v>4</v>
      </c>
      <c r="O580" s="2">
        <v>38977.85</v>
      </c>
      <c r="P580" s="2">
        <v>9744.4599999999991</v>
      </c>
    </row>
    <row r="581" spans="1:16" outlineLevel="1" x14ac:dyDescent="0.2">
      <c r="A581" s="5"/>
      <c r="D581" s="3" t="s">
        <v>701</v>
      </c>
      <c r="N581" s="2">
        <f>SUBTOTAL(9,N580:N580)</f>
        <v>4</v>
      </c>
      <c r="O581" s="2">
        <f>SUBTOTAL(9,O580:O580)</f>
        <v>38977.85</v>
      </c>
    </row>
    <row r="582" spans="1:16" outlineLevel="2" x14ac:dyDescent="0.2">
      <c r="A582" s="5">
        <v>46041</v>
      </c>
      <c r="B582" s="2">
        <v>156223</v>
      </c>
      <c r="C582" s="2">
        <v>1</v>
      </c>
      <c r="D582" s="2" t="s">
        <v>140</v>
      </c>
      <c r="E582" s="2" t="s">
        <v>141</v>
      </c>
      <c r="F582" s="2" t="s">
        <v>108</v>
      </c>
      <c r="G582" s="2" t="s">
        <v>22</v>
      </c>
      <c r="H582" s="2" t="s">
        <v>23</v>
      </c>
      <c r="I582" s="2" t="s">
        <v>23</v>
      </c>
      <c r="J582" s="2">
        <v>1</v>
      </c>
      <c r="K582" s="2" t="s">
        <v>24</v>
      </c>
      <c r="L582" s="2">
        <v>1833</v>
      </c>
      <c r="M582" s="2" t="s">
        <v>142</v>
      </c>
      <c r="N582" s="2">
        <v>78</v>
      </c>
      <c r="O582" s="2">
        <v>2116341.8199999998</v>
      </c>
      <c r="P582" s="2">
        <v>27132.59</v>
      </c>
    </row>
    <row r="583" spans="1:16" outlineLevel="1" x14ac:dyDescent="0.2">
      <c r="A583" s="5"/>
      <c r="D583" s="3" t="s">
        <v>696</v>
      </c>
      <c r="N583" s="2">
        <f>SUBTOTAL(9,N582:N582)</f>
        <v>78</v>
      </c>
      <c r="O583" s="2">
        <f>SUBTOTAL(9,O582:O582)</f>
        <v>2116341.8199999998</v>
      </c>
    </row>
    <row r="584" spans="1:16" outlineLevel="2" x14ac:dyDescent="0.2">
      <c r="A584" s="5">
        <v>46041</v>
      </c>
      <c r="B584" s="2">
        <v>156224</v>
      </c>
      <c r="C584" s="2">
        <v>1</v>
      </c>
      <c r="D584" s="2" t="s">
        <v>207</v>
      </c>
      <c r="E584" s="2" t="s">
        <v>23</v>
      </c>
      <c r="F584" s="2" t="s">
        <v>47</v>
      </c>
      <c r="G584" s="2" t="s">
        <v>22</v>
      </c>
      <c r="H584" s="2" t="s">
        <v>208</v>
      </c>
      <c r="I584" s="2" t="s">
        <v>23</v>
      </c>
      <c r="J584" s="2">
        <v>41</v>
      </c>
      <c r="K584" s="2" t="s">
        <v>129</v>
      </c>
      <c r="L584" s="2">
        <v>25213</v>
      </c>
      <c r="M584" s="2" t="s">
        <v>130</v>
      </c>
      <c r="N584" s="2">
        <v>50</v>
      </c>
      <c r="O584" s="2">
        <v>162853.5</v>
      </c>
      <c r="P584" s="2">
        <v>3257.07</v>
      </c>
    </row>
    <row r="585" spans="1:16" outlineLevel="1" x14ac:dyDescent="0.2">
      <c r="A585" s="5"/>
      <c r="D585" s="3" t="s">
        <v>699</v>
      </c>
      <c r="N585" s="2">
        <f>SUBTOTAL(9,N584:N584)</f>
        <v>50</v>
      </c>
      <c r="O585" s="2">
        <f>SUBTOTAL(9,O584:O584)</f>
        <v>162853.5</v>
      </c>
    </row>
    <row r="586" spans="1:16" outlineLevel="2" x14ac:dyDescent="0.2">
      <c r="A586" s="5">
        <v>46041</v>
      </c>
      <c r="B586" s="2">
        <v>156224</v>
      </c>
      <c r="C586" s="2">
        <v>2</v>
      </c>
      <c r="D586" s="2" t="s">
        <v>128</v>
      </c>
      <c r="E586" s="2" t="s">
        <v>23</v>
      </c>
      <c r="F586" s="2" t="s">
        <v>47</v>
      </c>
      <c r="G586" s="2" t="s">
        <v>22</v>
      </c>
      <c r="H586" s="2" t="s">
        <v>23</v>
      </c>
      <c r="I586" s="2" t="s">
        <v>23</v>
      </c>
      <c r="J586" s="2">
        <v>41</v>
      </c>
      <c r="K586" s="2" t="s">
        <v>129</v>
      </c>
      <c r="L586" s="2">
        <v>25213</v>
      </c>
      <c r="M586" s="2" t="s">
        <v>130</v>
      </c>
      <c r="N586" s="2">
        <v>50</v>
      </c>
      <c r="O586" s="2">
        <v>172207.46</v>
      </c>
      <c r="P586" s="2">
        <v>3444.15</v>
      </c>
    </row>
    <row r="587" spans="1:16" outlineLevel="1" x14ac:dyDescent="0.2">
      <c r="A587" s="5"/>
      <c r="D587" s="3" t="s">
        <v>732</v>
      </c>
      <c r="N587" s="2">
        <f>SUBTOTAL(9,N586:N586)</f>
        <v>50</v>
      </c>
      <c r="O587" s="2">
        <f>SUBTOTAL(9,O586:O586)</f>
        <v>172207.46</v>
      </c>
    </row>
    <row r="588" spans="1:16" outlineLevel="2" x14ac:dyDescent="0.2">
      <c r="A588" s="5">
        <v>46041</v>
      </c>
      <c r="B588" s="2">
        <v>156224</v>
      </c>
      <c r="C588" s="2">
        <v>3</v>
      </c>
      <c r="D588" s="2" t="s">
        <v>207</v>
      </c>
      <c r="E588" s="2" t="s">
        <v>23</v>
      </c>
      <c r="F588" s="2" t="s">
        <v>47</v>
      </c>
      <c r="G588" s="2" t="s">
        <v>22</v>
      </c>
      <c r="H588" s="2" t="s">
        <v>209</v>
      </c>
      <c r="I588" s="2" t="s">
        <v>23</v>
      </c>
      <c r="J588" s="2">
        <v>41</v>
      </c>
      <c r="K588" s="2" t="s">
        <v>129</v>
      </c>
      <c r="L588" s="2">
        <v>25213</v>
      </c>
      <c r="M588" s="2" t="s">
        <v>130</v>
      </c>
      <c r="N588" s="2">
        <v>25</v>
      </c>
      <c r="O588" s="2">
        <v>76592.75</v>
      </c>
      <c r="P588" s="2">
        <v>3063.71</v>
      </c>
    </row>
    <row r="589" spans="1:16" outlineLevel="2" x14ac:dyDescent="0.2">
      <c r="A589" s="5">
        <v>46041</v>
      </c>
      <c r="B589" s="2">
        <v>156224</v>
      </c>
      <c r="C589" s="2">
        <v>4</v>
      </c>
      <c r="D589" s="2" t="s">
        <v>207</v>
      </c>
      <c r="E589" s="2" t="s">
        <v>23</v>
      </c>
      <c r="F589" s="2" t="s">
        <v>47</v>
      </c>
      <c r="G589" s="2" t="s">
        <v>22</v>
      </c>
      <c r="H589" s="2" t="s">
        <v>23</v>
      </c>
      <c r="I589" s="2" t="s">
        <v>23</v>
      </c>
      <c r="J589" s="2">
        <v>1</v>
      </c>
      <c r="K589" s="2" t="s">
        <v>24</v>
      </c>
      <c r="L589" s="2">
        <v>25213</v>
      </c>
      <c r="M589" s="2" t="s">
        <v>130</v>
      </c>
      <c r="N589" s="2">
        <v>6</v>
      </c>
      <c r="O589" s="2">
        <v>401795.66</v>
      </c>
      <c r="P589" s="2">
        <v>66965.94</v>
      </c>
    </row>
    <row r="590" spans="1:16" outlineLevel="1" x14ac:dyDescent="0.2">
      <c r="A590" s="5"/>
      <c r="D590" s="3" t="s">
        <v>699</v>
      </c>
      <c r="N590" s="2">
        <f>SUBTOTAL(9,N588:N589)</f>
        <v>31</v>
      </c>
      <c r="O590" s="2">
        <f>SUBTOTAL(9,O588:O589)</f>
        <v>478388.41</v>
      </c>
    </row>
    <row r="591" spans="1:16" outlineLevel="2" x14ac:dyDescent="0.2">
      <c r="A591" s="5">
        <v>46050</v>
      </c>
      <c r="B591" s="2">
        <v>156226</v>
      </c>
      <c r="C591" s="2">
        <v>1</v>
      </c>
      <c r="D591" s="2" t="s">
        <v>45</v>
      </c>
      <c r="E591" s="2" t="s">
        <v>125</v>
      </c>
      <c r="F591" s="2" t="s">
        <v>55</v>
      </c>
      <c r="G591" s="2" t="s">
        <v>23</v>
      </c>
      <c r="H591" s="2" t="s">
        <v>23</v>
      </c>
      <c r="I591" s="2" t="s">
        <v>23</v>
      </c>
      <c r="J591" s="2">
        <v>2</v>
      </c>
      <c r="K591" s="2" t="s">
        <v>48</v>
      </c>
      <c r="L591" s="2">
        <v>1557</v>
      </c>
      <c r="M591" s="2" t="s">
        <v>98</v>
      </c>
      <c r="N591" s="2">
        <v>29</v>
      </c>
      <c r="O591" s="2">
        <v>114803.89</v>
      </c>
      <c r="P591" s="2">
        <v>3958.75</v>
      </c>
    </row>
    <row r="592" spans="1:16" outlineLevel="2" x14ac:dyDescent="0.2">
      <c r="A592" s="5">
        <v>46045</v>
      </c>
      <c r="B592" s="2">
        <v>156227</v>
      </c>
      <c r="C592" s="2">
        <v>315</v>
      </c>
      <c r="D592" s="2" t="s">
        <v>45</v>
      </c>
      <c r="E592" s="2" t="s">
        <v>125</v>
      </c>
      <c r="F592" s="2" t="s">
        <v>55</v>
      </c>
      <c r="G592" s="2" t="s">
        <v>23</v>
      </c>
      <c r="H592" s="2" t="s">
        <v>23</v>
      </c>
      <c r="I592" s="2" t="s">
        <v>23</v>
      </c>
      <c r="J592" s="2">
        <v>2</v>
      </c>
      <c r="K592" s="2" t="s">
        <v>48</v>
      </c>
      <c r="L592" s="2">
        <v>626</v>
      </c>
      <c r="M592" s="2" t="s">
        <v>49</v>
      </c>
      <c r="N592" s="2">
        <v>3</v>
      </c>
      <c r="O592" s="2">
        <v>8464.39</v>
      </c>
      <c r="P592" s="2">
        <v>2821.46</v>
      </c>
    </row>
    <row r="593" spans="1:16" outlineLevel="2" x14ac:dyDescent="0.2">
      <c r="A593" s="5">
        <v>46041</v>
      </c>
      <c r="B593" s="2">
        <v>156228</v>
      </c>
      <c r="C593" s="2">
        <v>1</v>
      </c>
      <c r="D593" s="2" t="s">
        <v>45</v>
      </c>
      <c r="E593" s="2" t="s">
        <v>227</v>
      </c>
      <c r="F593" s="2" t="s">
        <v>47</v>
      </c>
      <c r="G593" s="2" t="s">
        <v>22</v>
      </c>
      <c r="H593" s="2" t="s">
        <v>23</v>
      </c>
      <c r="I593" s="2" t="s">
        <v>23</v>
      </c>
      <c r="J593" s="2">
        <v>41</v>
      </c>
      <c r="K593" s="2" t="s">
        <v>129</v>
      </c>
      <c r="L593" s="2">
        <v>1964</v>
      </c>
      <c r="M593" s="2" t="s">
        <v>49</v>
      </c>
      <c r="N593" s="2">
        <v>28</v>
      </c>
      <c r="O593" s="2">
        <v>507428.07</v>
      </c>
      <c r="P593" s="2">
        <v>18122.43</v>
      </c>
    </row>
    <row r="594" spans="1:16" outlineLevel="1" x14ac:dyDescent="0.2">
      <c r="A594" s="5"/>
      <c r="D594" s="3" t="s">
        <v>733</v>
      </c>
      <c r="N594" s="2">
        <f>SUBTOTAL(9,N591:N593)</f>
        <v>60</v>
      </c>
      <c r="O594" s="2">
        <f>SUBTOTAL(9,O591:O593)</f>
        <v>630696.35</v>
      </c>
    </row>
    <row r="595" spans="1:16" outlineLevel="2" x14ac:dyDescent="0.2">
      <c r="A595" s="5">
        <v>46041</v>
      </c>
      <c r="B595" s="2">
        <v>156228</v>
      </c>
      <c r="C595" s="2">
        <v>2</v>
      </c>
      <c r="D595" s="2" t="s">
        <v>226</v>
      </c>
      <c r="E595" s="2" t="s">
        <v>227</v>
      </c>
      <c r="F595" s="2" t="s">
        <v>47</v>
      </c>
      <c r="G595" s="2" t="s">
        <v>22</v>
      </c>
      <c r="H595" s="2" t="s">
        <v>23</v>
      </c>
      <c r="I595" s="2" t="s">
        <v>23</v>
      </c>
      <c r="J595" s="2">
        <v>41</v>
      </c>
      <c r="K595" s="2" t="s">
        <v>129</v>
      </c>
      <c r="L595" s="2">
        <v>1964</v>
      </c>
      <c r="M595" s="2" t="s">
        <v>49</v>
      </c>
      <c r="N595" s="2">
        <v>50</v>
      </c>
      <c r="O595" s="2">
        <v>1384371.62</v>
      </c>
      <c r="P595" s="2">
        <v>27687.43</v>
      </c>
    </row>
    <row r="596" spans="1:16" outlineLevel="2" x14ac:dyDescent="0.2">
      <c r="A596" s="5">
        <v>46041</v>
      </c>
      <c r="B596" s="2">
        <v>156228</v>
      </c>
      <c r="C596" s="2">
        <v>3</v>
      </c>
      <c r="D596" s="2" t="s">
        <v>226</v>
      </c>
      <c r="E596" s="2" t="s">
        <v>151</v>
      </c>
      <c r="F596" s="2" t="s">
        <v>47</v>
      </c>
      <c r="G596" s="2" t="s">
        <v>22</v>
      </c>
      <c r="H596" s="2" t="s">
        <v>23</v>
      </c>
      <c r="I596" s="2" t="s">
        <v>23</v>
      </c>
      <c r="J596" s="2">
        <v>41</v>
      </c>
      <c r="K596" s="2" t="s">
        <v>129</v>
      </c>
      <c r="L596" s="2">
        <v>1964</v>
      </c>
      <c r="M596" s="2" t="s">
        <v>49</v>
      </c>
      <c r="N596" s="2">
        <v>34</v>
      </c>
      <c r="O596" s="2">
        <v>429789.56</v>
      </c>
      <c r="P596" s="2">
        <v>12640.87</v>
      </c>
    </row>
    <row r="597" spans="1:16" outlineLevel="1" x14ac:dyDescent="0.2">
      <c r="A597" s="5"/>
      <c r="D597" s="3" t="s">
        <v>736</v>
      </c>
      <c r="N597" s="2">
        <f>SUBTOTAL(9,N595:N596)</f>
        <v>84</v>
      </c>
      <c r="O597" s="2">
        <f>SUBTOTAL(9,O595:O596)</f>
        <v>1814161.1800000002</v>
      </c>
    </row>
    <row r="598" spans="1:16" outlineLevel="2" x14ac:dyDescent="0.2">
      <c r="A598" s="5">
        <v>46041</v>
      </c>
      <c r="B598" s="2">
        <v>156229</v>
      </c>
      <c r="C598" s="2">
        <v>1</v>
      </c>
      <c r="D598" s="2" t="s">
        <v>150</v>
      </c>
      <c r="E598" s="2" t="s">
        <v>224</v>
      </c>
      <c r="F598" s="2" t="s">
        <v>280</v>
      </c>
      <c r="G598" s="2" t="s">
        <v>22</v>
      </c>
      <c r="H598" s="2" t="s">
        <v>23</v>
      </c>
      <c r="I598" s="2" t="s">
        <v>23</v>
      </c>
      <c r="J598" s="2">
        <v>2</v>
      </c>
      <c r="K598" s="2" t="s">
        <v>48</v>
      </c>
      <c r="L598" s="2">
        <v>1501</v>
      </c>
      <c r="M598" s="2" t="s">
        <v>258</v>
      </c>
      <c r="N598" s="2">
        <v>57</v>
      </c>
      <c r="O598" s="2">
        <v>508805.49</v>
      </c>
      <c r="P598" s="2">
        <v>8926.41</v>
      </c>
    </row>
    <row r="599" spans="1:16" outlineLevel="1" x14ac:dyDescent="0.2">
      <c r="A599" s="5"/>
      <c r="D599" s="3" t="s">
        <v>718</v>
      </c>
      <c r="N599" s="2">
        <f>SUBTOTAL(9,N598:N598)</f>
        <v>57</v>
      </c>
      <c r="O599" s="2">
        <f>SUBTOTAL(9,O598:O598)</f>
        <v>508805.49</v>
      </c>
    </row>
    <row r="600" spans="1:16" outlineLevel="2" x14ac:dyDescent="0.2">
      <c r="A600" s="5">
        <v>46057</v>
      </c>
      <c r="B600" s="2">
        <v>156231</v>
      </c>
      <c r="C600" s="2">
        <v>1</v>
      </c>
      <c r="D600" s="2" t="s">
        <v>29</v>
      </c>
      <c r="E600" s="2" t="s">
        <v>30</v>
      </c>
      <c r="F600" s="2" t="s">
        <v>55</v>
      </c>
      <c r="G600" s="2" t="s">
        <v>23</v>
      </c>
      <c r="H600" s="2" t="s">
        <v>23</v>
      </c>
      <c r="I600" s="2" t="s">
        <v>23</v>
      </c>
      <c r="J600" s="2">
        <v>40</v>
      </c>
      <c r="K600" s="2" t="s">
        <v>43</v>
      </c>
      <c r="L600" s="2">
        <v>25092</v>
      </c>
      <c r="M600" s="2" t="s">
        <v>96</v>
      </c>
      <c r="N600" s="2">
        <v>107</v>
      </c>
      <c r="O600" s="2">
        <v>916723.14</v>
      </c>
      <c r="P600" s="2">
        <v>8567.51</v>
      </c>
    </row>
    <row r="601" spans="1:16" outlineLevel="1" x14ac:dyDescent="0.2">
      <c r="A601" s="5"/>
      <c r="D601" s="3" t="s">
        <v>703</v>
      </c>
      <c r="N601" s="2">
        <f>SUBTOTAL(9,N600:N600)</f>
        <v>107</v>
      </c>
      <c r="O601" s="2">
        <f>SUBTOTAL(9,O600:O600)</f>
        <v>916723.14</v>
      </c>
    </row>
    <row r="602" spans="1:16" outlineLevel="2" x14ac:dyDescent="0.2">
      <c r="A602" s="5">
        <v>46045</v>
      </c>
      <c r="B602" s="2">
        <v>156235</v>
      </c>
      <c r="C602" s="2">
        <v>315</v>
      </c>
      <c r="D602" s="2" t="s">
        <v>203</v>
      </c>
      <c r="E602" s="2" t="s">
        <v>125</v>
      </c>
      <c r="F602" s="2" t="s">
        <v>55</v>
      </c>
      <c r="G602" s="2" t="s">
        <v>23</v>
      </c>
      <c r="H602" s="2" t="s">
        <v>23</v>
      </c>
      <c r="I602" s="2" t="s">
        <v>23</v>
      </c>
      <c r="J602" s="2">
        <v>2</v>
      </c>
      <c r="K602" s="2" t="s">
        <v>48</v>
      </c>
      <c r="L602" s="2">
        <v>600</v>
      </c>
      <c r="M602" s="2" t="s">
        <v>112</v>
      </c>
      <c r="N602" s="2">
        <v>8</v>
      </c>
      <c r="O602" s="2">
        <v>21949.43</v>
      </c>
      <c r="P602" s="2">
        <v>2743.68</v>
      </c>
    </row>
    <row r="603" spans="1:16" outlineLevel="1" x14ac:dyDescent="0.2">
      <c r="A603" s="5"/>
      <c r="D603" s="3" t="s">
        <v>735</v>
      </c>
      <c r="N603" s="2">
        <f>SUBTOTAL(9,N602:N602)</f>
        <v>8</v>
      </c>
      <c r="O603" s="2">
        <f>SUBTOTAL(9,O602:O602)</f>
        <v>21949.43</v>
      </c>
    </row>
    <row r="604" spans="1:16" outlineLevel="2" x14ac:dyDescent="0.2">
      <c r="A604" s="5">
        <v>46050</v>
      </c>
      <c r="B604" s="2">
        <v>156241</v>
      </c>
      <c r="C604" s="2">
        <v>5</v>
      </c>
      <c r="D604" s="2" t="s">
        <v>45</v>
      </c>
      <c r="E604" s="2" t="s">
        <v>125</v>
      </c>
      <c r="F604" s="2" t="s">
        <v>55</v>
      </c>
      <c r="G604" s="2" t="s">
        <v>23</v>
      </c>
      <c r="H604" s="2" t="s">
        <v>23</v>
      </c>
      <c r="I604" s="2" t="s">
        <v>23</v>
      </c>
      <c r="J604" s="2">
        <v>2</v>
      </c>
      <c r="K604" s="2" t="s">
        <v>48</v>
      </c>
      <c r="L604" s="2">
        <v>912</v>
      </c>
      <c r="M604" s="2" t="s">
        <v>281</v>
      </c>
      <c r="N604" s="2">
        <v>6</v>
      </c>
      <c r="O604" s="2">
        <v>27196.58</v>
      </c>
      <c r="P604" s="2">
        <v>4532.76</v>
      </c>
    </row>
    <row r="605" spans="1:16" outlineLevel="2" x14ac:dyDescent="0.2">
      <c r="A605" s="5">
        <v>46045</v>
      </c>
      <c r="B605" s="2">
        <v>156241</v>
      </c>
      <c r="C605" s="2">
        <v>315</v>
      </c>
      <c r="D605" s="2" t="s">
        <v>45</v>
      </c>
      <c r="E605" s="2" t="s">
        <v>46</v>
      </c>
      <c r="F605" s="2" t="s">
        <v>55</v>
      </c>
      <c r="G605" s="2" t="s">
        <v>23</v>
      </c>
      <c r="H605" s="2" t="s">
        <v>23</v>
      </c>
      <c r="I605" s="2" t="s">
        <v>23</v>
      </c>
      <c r="J605" s="2">
        <v>2</v>
      </c>
      <c r="K605" s="2" t="s">
        <v>48</v>
      </c>
      <c r="L605" s="2">
        <v>534</v>
      </c>
      <c r="M605" s="2" t="s">
        <v>241</v>
      </c>
      <c r="N605" s="2">
        <v>18</v>
      </c>
      <c r="O605" s="2">
        <v>125461.38</v>
      </c>
      <c r="P605" s="2">
        <v>6970.08</v>
      </c>
    </row>
    <row r="606" spans="1:16" outlineLevel="2" x14ac:dyDescent="0.2">
      <c r="A606" s="5">
        <v>46050</v>
      </c>
      <c r="B606" s="2">
        <v>156243</v>
      </c>
      <c r="C606" s="2">
        <v>315</v>
      </c>
      <c r="D606" s="2" t="s">
        <v>45</v>
      </c>
      <c r="E606" s="2" t="s">
        <v>46</v>
      </c>
      <c r="F606" s="2" t="s">
        <v>55</v>
      </c>
      <c r="G606" s="2" t="s">
        <v>23</v>
      </c>
      <c r="H606" s="2" t="s">
        <v>23</v>
      </c>
      <c r="I606" s="2" t="s">
        <v>23</v>
      </c>
      <c r="J606" s="2">
        <v>2</v>
      </c>
      <c r="K606" s="2" t="s">
        <v>48</v>
      </c>
      <c r="L606" s="2">
        <v>1876</v>
      </c>
      <c r="M606" s="2" t="s">
        <v>138</v>
      </c>
      <c r="N606" s="2">
        <v>6</v>
      </c>
      <c r="O606" s="2">
        <v>43065.06</v>
      </c>
      <c r="P606" s="2">
        <v>7177.51</v>
      </c>
    </row>
    <row r="607" spans="1:16" outlineLevel="1" x14ac:dyDescent="0.2">
      <c r="A607" s="5"/>
      <c r="D607" s="3" t="s">
        <v>733</v>
      </c>
      <c r="N607" s="2">
        <f>SUBTOTAL(9,N604:N606)</f>
        <v>30</v>
      </c>
      <c r="O607" s="2">
        <f>SUBTOTAL(9,O604:O606)</f>
        <v>195723.02000000002</v>
      </c>
    </row>
    <row r="608" spans="1:16" outlineLevel="2" x14ac:dyDescent="0.2">
      <c r="A608" s="5">
        <v>46052</v>
      </c>
      <c r="B608" s="2">
        <v>156247</v>
      </c>
      <c r="C608" s="2">
        <v>326</v>
      </c>
      <c r="D608" s="2" t="s">
        <v>110</v>
      </c>
      <c r="E608" s="2" t="s">
        <v>111</v>
      </c>
      <c r="F608" s="2" t="s">
        <v>55</v>
      </c>
      <c r="G608" s="2" t="s">
        <v>23</v>
      </c>
      <c r="H608" s="2" t="s">
        <v>23</v>
      </c>
      <c r="I608" s="2" t="s">
        <v>23</v>
      </c>
      <c r="J608" s="2">
        <v>2</v>
      </c>
      <c r="K608" s="2" t="s">
        <v>48</v>
      </c>
      <c r="L608" s="2">
        <v>25095</v>
      </c>
      <c r="M608" s="2" t="s">
        <v>216</v>
      </c>
      <c r="N608" s="2">
        <v>2</v>
      </c>
      <c r="O608" s="2">
        <v>4087.2</v>
      </c>
      <c r="P608" s="2">
        <v>2043.6</v>
      </c>
    </row>
    <row r="609" spans="1:16" outlineLevel="1" x14ac:dyDescent="0.2">
      <c r="A609" s="5"/>
      <c r="D609" s="3" t="s">
        <v>697</v>
      </c>
      <c r="N609" s="2">
        <f>SUBTOTAL(9,N608:N608)</f>
        <v>2</v>
      </c>
      <c r="O609" s="2">
        <f>SUBTOTAL(9,O608:O608)</f>
        <v>4087.2</v>
      </c>
    </row>
    <row r="610" spans="1:16" outlineLevel="2" x14ac:dyDescent="0.2">
      <c r="A610" s="5">
        <v>46041</v>
      </c>
      <c r="B610" s="2">
        <v>156248</v>
      </c>
      <c r="C610" s="2">
        <v>307</v>
      </c>
      <c r="D610" s="2" t="s">
        <v>45</v>
      </c>
      <c r="E610" s="2" t="s">
        <v>228</v>
      </c>
      <c r="F610" s="2" t="s">
        <v>55</v>
      </c>
      <c r="G610" s="2" t="s">
        <v>23</v>
      </c>
      <c r="H610" s="2" t="s">
        <v>23</v>
      </c>
      <c r="I610" s="2" t="s">
        <v>23</v>
      </c>
      <c r="J610" s="2">
        <v>2</v>
      </c>
      <c r="K610" s="2" t="s">
        <v>48</v>
      </c>
      <c r="L610" s="2">
        <v>1964</v>
      </c>
      <c r="M610" s="2" t="s">
        <v>49</v>
      </c>
      <c r="N610" s="2">
        <v>7</v>
      </c>
      <c r="O610" s="2">
        <v>121183.95</v>
      </c>
      <c r="P610" s="2">
        <v>17311.990000000002</v>
      </c>
    </row>
    <row r="611" spans="1:16" outlineLevel="1" x14ac:dyDescent="0.2">
      <c r="A611" s="5"/>
      <c r="D611" s="3" t="s">
        <v>733</v>
      </c>
      <c r="N611" s="2">
        <f>SUBTOTAL(9,N610:N610)</f>
        <v>7</v>
      </c>
      <c r="O611" s="2">
        <f>SUBTOTAL(9,O610:O610)</f>
        <v>121183.95</v>
      </c>
    </row>
    <row r="612" spans="1:16" outlineLevel="2" x14ac:dyDescent="0.2">
      <c r="A612" s="5">
        <v>46043</v>
      </c>
      <c r="B612" s="2">
        <v>156254</v>
      </c>
      <c r="C612" s="2">
        <v>1</v>
      </c>
      <c r="D612" s="2" t="s">
        <v>70</v>
      </c>
      <c r="E612" s="2" t="s">
        <v>23</v>
      </c>
      <c r="F612" s="2" t="s">
        <v>55</v>
      </c>
      <c r="G612" s="2" t="s">
        <v>23</v>
      </c>
      <c r="H612" s="2" t="s">
        <v>23</v>
      </c>
      <c r="I612" s="2" t="s">
        <v>23</v>
      </c>
      <c r="J612" s="2">
        <v>86</v>
      </c>
      <c r="K612" s="2" t="s">
        <v>73</v>
      </c>
      <c r="L612" s="2">
        <v>896</v>
      </c>
      <c r="M612" s="2" t="s">
        <v>74</v>
      </c>
      <c r="N612" s="2">
        <v>83</v>
      </c>
      <c r="O612" s="2">
        <v>1035382.84</v>
      </c>
      <c r="P612" s="2">
        <v>12474.49</v>
      </c>
    </row>
    <row r="613" spans="1:16" outlineLevel="1" x14ac:dyDescent="0.2">
      <c r="A613" s="5"/>
      <c r="D613" s="3" t="s">
        <v>695</v>
      </c>
      <c r="N613" s="2">
        <f>SUBTOTAL(9,N612:N612)</f>
        <v>83</v>
      </c>
      <c r="O613" s="2">
        <f>SUBTOTAL(9,O612:O612)</f>
        <v>1035382.84</v>
      </c>
    </row>
    <row r="614" spans="1:16" outlineLevel="2" x14ac:dyDescent="0.2">
      <c r="A614" s="5">
        <v>46048</v>
      </c>
      <c r="B614" s="2">
        <v>156265</v>
      </c>
      <c r="C614" s="2">
        <v>1</v>
      </c>
      <c r="D614" s="2" t="s">
        <v>197</v>
      </c>
      <c r="E614" s="2" t="s">
        <v>198</v>
      </c>
      <c r="F614" s="2" t="s">
        <v>199</v>
      </c>
      <c r="G614" s="2" t="s">
        <v>22</v>
      </c>
      <c r="H614" s="2" t="s">
        <v>23</v>
      </c>
      <c r="I614" s="2" t="s">
        <v>23</v>
      </c>
      <c r="J614" s="2">
        <v>2</v>
      </c>
      <c r="K614" s="2" t="s">
        <v>48</v>
      </c>
      <c r="L614" s="2">
        <v>182</v>
      </c>
      <c r="M614" s="2" t="s">
        <v>263</v>
      </c>
      <c r="N614" s="2">
        <v>135</v>
      </c>
      <c r="O614" s="2">
        <v>3079077.24</v>
      </c>
      <c r="P614" s="2">
        <v>22807.98</v>
      </c>
    </row>
    <row r="615" spans="1:16" outlineLevel="2" x14ac:dyDescent="0.2">
      <c r="A615" s="5">
        <v>46041</v>
      </c>
      <c r="B615" s="2">
        <v>156268</v>
      </c>
      <c r="C615" s="2">
        <v>1</v>
      </c>
      <c r="D615" s="2" t="s">
        <v>197</v>
      </c>
      <c r="E615" s="2" t="s">
        <v>282</v>
      </c>
      <c r="F615" s="2" t="s">
        <v>199</v>
      </c>
      <c r="G615" s="2" t="s">
        <v>22</v>
      </c>
      <c r="H615" s="2" t="s">
        <v>23</v>
      </c>
      <c r="I615" s="2" t="s">
        <v>23</v>
      </c>
      <c r="J615" s="2">
        <v>2</v>
      </c>
      <c r="K615" s="2" t="s">
        <v>48</v>
      </c>
      <c r="L615" s="2">
        <v>731</v>
      </c>
      <c r="M615" s="2" t="s">
        <v>283</v>
      </c>
      <c r="N615" s="2">
        <v>102</v>
      </c>
      <c r="O615" s="2">
        <v>2421373.33</v>
      </c>
      <c r="P615" s="2">
        <v>23738.95</v>
      </c>
    </row>
    <row r="616" spans="1:16" outlineLevel="2" x14ac:dyDescent="0.2">
      <c r="A616" s="5">
        <v>46041</v>
      </c>
      <c r="B616" s="2">
        <v>156269</v>
      </c>
      <c r="C616" s="2">
        <v>2</v>
      </c>
      <c r="D616" s="2" t="s">
        <v>197</v>
      </c>
      <c r="E616" s="2" t="s">
        <v>284</v>
      </c>
      <c r="F616" s="2" t="s">
        <v>199</v>
      </c>
      <c r="G616" s="2" t="s">
        <v>22</v>
      </c>
      <c r="H616" s="2" t="s">
        <v>23</v>
      </c>
      <c r="I616" s="2" t="s">
        <v>23</v>
      </c>
      <c r="J616" s="2">
        <v>2</v>
      </c>
      <c r="K616" s="2" t="s">
        <v>48</v>
      </c>
      <c r="L616" s="2">
        <v>182</v>
      </c>
      <c r="M616" s="2" t="s">
        <v>263</v>
      </c>
      <c r="N616" s="2">
        <v>205</v>
      </c>
      <c r="O616" s="2">
        <v>4648554.92</v>
      </c>
      <c r="P616" s="2">
        <v>22675.88</v>
      </c>
    </row>
    <row r="617" spans="1:16" outlineLevel="1" x14ac:dyDescent="0.2">
      <c r="A617" s="5"/>
      <c r="D617" s="3" t="s">
        <v>734</v>
      </c>
      <c r="N617" s="2">
        <f>SUBTOTAL(9,N614:N616)</f>
        <v>442</v>
      </c>
      <c r="O617" s="2">
        <f>SUBTOTAL(9,O614:O616)</f>
        <v>10149005.49</v>
      </c>
    </row>
    <row r="618" spans="1:16" outlineLevel="2" x14ac:dyDescent="0.2">
      <c r="A618" s="5">
        <v>46041</v>
      </c>
      <c r="B618" s="2">
        <v>156273</v>
      </c>
      <c r="C618" s="2">
        <v>2</v>
      </c>
      <c r="D618" s="2" t="s">
        <v>285</v>
      </c>
      <c r="E618" s="2" t="s">
        <v>51</v>
      </c>
      <c r="F618" s="2" t="s">
        <v>52</v>
      </c>
      <c r="G618" s="2" t="s">
        <v>22</v>
      </c>
      <c r="H618" s="2" t="s">
        <v>23</v>
      </c>
      <c r="I618" s="2" t="s">
        <v>23</v>
      </c>
      <c r="J618" s="2">
        <v>5</v>
      </c>
      <c r="K618" s="2" t="s">
        <v>27</v>
      </c>
      <c r="L618" s="2">
        <v>104</v>
      </c>
      <c r="M618" s="2" t="s">
        <v>158</v>
      </c>
      <c r="N618" s="2">
        <v>673</v>
      </c>
      <c r="O618" s="2">
        <v>6825250.7199999997</v>
      </c>
      <c r="P618" s="2">
        <v>10141.530000000001</v>
      </c>
    </row>
    <row r="619" spans="1:16" outlineLevel="1" x14ac:dyDescent="0.2">
      <c r="A619" s="5"/>
      <c r="D619" s="3" t="s">
        <v>739</v>
      </c>
      <c r="N619" s="2">
        <f>SUBTOTAL(9,N618:N618)</f>
        <v>673</v>
      </c>
      <c r="O619" s="2">
        <f>SUBTOTAL(9,O618:O618)</f>
        <v>6825250.7199999997</v>
      </c>
    </row>
    <row r="620" spans="1:16" outlineLevel="2" x14ac:dyDescent="0.2">
      <c r="A620" s="5">
        <v>46150</v>
      </c>
      <c r="B620" s="2">
        <v>156273</v>
      </c>
      <c r="C620" s="2">
        <v>315</v>
      </c>
      <c r="D620" s="2" t="s">
        <v>26</v>
      </c>
      <c r="E620" s="2" t="s">
        <v>55</v>
      </c>
      <c r="F620" s="2" t="s">
        <v>23</v>
      </c>
      <c r="G620" s="2" t="s">
        <v>23</v>
      </c>
      <c r="H620" s="2" t="s">
        <v>23</v>
      </c>
      <c r="I620" s="2" t="s">
        <v>23</v>
      </c>
      <c r="J620" s="2">
        <v>5</v>
      </c>
      <c r="K620" s="2" t="s">
        <v>27</v>
      </c>
      <c r="L620" s="2">
        <v>104</v>
      </c>
      <c r="M620" s="2" t="s">
        <v>158</v>
      </c>
      <c r="N620" s="2">
        <v>7</v>
      </c>
      <c r="O620" s="2">
        <v>37090.410000000003</v>
      </c>
      <c r="P620" s="2">
        <v>5298.63</v>
      </c>
    </row>
    <row r="621" spans="1:16" outlineLevel="1" x14ac:dyDescent="0.2">
      <c r="A621" s="5"/>
      <c r="D621" s="3" t="s">
        <v>711</v>
      </c>
      <c r="N621" s="2">
        <f>SUBTOTAL(9,N620:N620)</f>
        <v>7</v>
      </c>
      <c r="O621" s="2">
        <f>SUBTOTAL(9,O620:O620)</f>
        <v>37090.410000000003</v>
      </c>
    </row>
    <row r="622" spans="1:16" outlineLevel="2" x14ac:dyDescent="0.2">
      <c r="A622" s="5">
        <v>46045</v>
      </c>
      <c r="B622" s="2">
        <v>156274</v>
      </c>
      <c r="C622" s="2">
        <v>315</v>
      </c>
      <c r="D622" s="2" t="s">
        <v>54</v>
      </c>
      <c r="E622" s="2" t="s">
        <v>30</v>
      </c>
      <c r="F622" s="2" t="s">
        <v>55</v>
      </c>
      <c r="G622" s="2" t="s">
        <v>23</v>
      </c>
      <c r="H622" s="2" t="s">
        <v>23</v>
      </c>
      <c r="I622" s="2" t="s">
        <v>23</v>
      </c>
      <c r="J622" s="2">
        <v>2</v>
      </c>
      <c r="K622" s="2" t="s">
        <v>48</v>
      </c>
      <c r="L622" s="2">
        <v>1200</v>
      </c>
      <c r="M622" s="2" t="s">
        <v>174</v>
      </c>
      <c r="N622" s="2">
        <v>31</v>
      </c>
      <c r="O622" s="2">
        <v>187032.09</v>
      </c>
      <c r="P622" s="2">
        <v>6033.29</v>
      </c>
    </row>
    <row r="623" spans="1:16" outlineLevel="2" x14ac:dyDescent="0.2">
      <c r="A623" s="5">
        <v>46052</v>
      </c>
      <c r="B623" s="2">
        <v>156274</v>
      </c>
      <c r="C623" s="2">
        <v>316</v>
      </c>
      <c r="D623" s="2" t="s">
        <v>54</v>
      </c>
      <c r="E623" s="2" t="s">
        <v>30</v>
      </c>
      <c r="F623" s="2" t="s">
        <v>55</v>
      </c>
      <c r="G623" s="2" t="s">
        <v>23</v>
      </c>
      <c r="H623" s="2" t="s">
        <v>23</v>
      </c>
      <c r="I623" s="2" t="s">
        <v>23</v>
      </c>
      <c r="J623" s="2">
        <v>2</v>
      </c>
      <c r="K623" s="2" t="s">
        <v>48</v>
      </c>
      <c r="L623" s="2">
        <v>1200</v>
      </c>
      <c r="M623" s="2" t="s">
        <v>174</v>
      </c>
      <c r="N623" s="2">
        <v>20</v>
      </c>
      <c r="O623" s="2">
        <v>180887.8</v>
      </c>
      <c r="P623" s="2">
        <v>9044.39</v>
      </c>
    </row>
    <row r="624" spans="1:16" outlineLevel="1" x14ac:dyDescent="0.2">
      <c r="A624" s="5"/>
      <c r="D624" s="3" t="s">
        <v>719</v>
      </c>
      <c r="N624" s="2">
        <f>SUBTOTAL(9,N622:N623)</f>
        <v>51</v>
      </c>
      <c r="O624" s="2">
        <f>SUBTOTAL(9,O622:O623)</f>
        <v>367919.89</v>
      </c>
    </row>
    <row r="625" spans="1:16" outlineLevel="2" x14ac:dyDescent="0.2">
      <c r="A625" s="5">
        <v>46045</v>
      </c>
      <c r="B625" s="2">
        <v>156275</v>
      </c>
      <c r="C625" s="2">
        <v>310</v>
      </c>
      <c r="D625" s="2" t="s">
        <v>45</v>
      </c>
      <c r="E625" s="2" t="s">
        <v>228</v>
      </c>
      <c r="F625" s="2" t="s">
        <v>55</v>
      </c>
      <c r="G625" s="2" t="s">
        <v>23</v>
      </c>
      <c r="H625" s="2" t="s">
        <v>23</v>
      </c>
      <c r="I625" s="2" t="s">
        <v>23</v>
      </c>
      <c r="J625" s="2">
        <v>2</v>
      </c>
      <c r="K625" s="2" t="s">
        <v>48</v>
      </c>
      <c r="L625" s="2">
        <v>1964</v>
      </c>
      <c r="M625" s="2" t="s">
        <v>49</v>
      </c>
      <c r="N625" s="2">
        <v>5</v>
      </c>
      <c r="O625" s="2">
        <v>185237.8</v>
      </c>
      <c r="P625" s="2">
        <v>37047.56</v>
      </c>
    </row>
    <row r="626" spans="1:16" outlineLevel="2" x14ac:dyDescent="0.2">
      <c r="A626" s="5">
        <v>46043</v>
      </c>
      <c r="B626" s="2">
        <v>156275</v>
      </c>
      <c r="C626" s="2">
        <v>315</v>
      </c>
      <c r="D626" s="2" t="s">
        <v>45</v>
      </c>
      <c r="E626" s="2" t="s">
        <v>228</v>
      </c>
      <c r="F626" s="2" t="s">
        <v>55</v>
      </c>
      <c r="G626" s="2" t="s">
        <v>23</v>
      </c>
      <c r="H626" s="2" t="s">
        <v>23</v>
      </c>
      <c r="I626" s="2" t="s">
        <v>23</v>
      </c>
      <c r="J626" s="2">
        <v>2</v>
      </c>
      <c r="K626" s="2" t="s">
        <v>48</v>
      </c>
      <c r="L626" s="2">
        <v>1964</v>
      </c>
      <c r="M626" s="2" t="s">
        <v>49</v>
      </c>
      <c r="N626" s="2">
        <v>33</v>
      </c>
      <c r="O626" s="2">
        <v>795054.6</v>
      </c>
      <c r="P626" s="2">
        <v>24092.560000000001</v>
      </c>
    </row>
    <row r="627" spans="1:16" outlineLevel="2" x14ac:dyDescent="0.2">
      <c r="A627" s="5">
        <v>46050</v>
      </c>
      <c r="B627" s="2">
        <v>156279</v>
      </c>
      <c r="C627" s="2">
        <v>315</v>
      </c>
      <c r="D627" s="2" t="s">
        <v>45</v>
      </c>
      <c r="E627" s="2" t="s">
        <v>46</v>
      </c>
      <c r="F627" s="2" t="s">
        <v>55</v>
      </c>
      <c r="G627" s="2" t="s">
        <v>23</v>
      </c>
      <c r="H627" s="2" t="s">
        <v>23</v>
      </c>
      <c r="I627" s="2" t="s">
        <v>23</v>
      </c>
      <c r="J627" s="2">
        <v>2</v>
      </c>
      <c r="K627" s="2" t="s">
        <v>48</v>
      </c>
      <c r="L627" s="2">
        <v>600</v>
      </c>
      <c r="M627" s="2" t="s">
        <v>112</v>
      </c>
      <c r="N627" s="2">
        <v>16</v>
      </c>
      <c r="O627" s="2">
        <v>84970.08</v>
      </c>
      <c r="P627" s="2">
        <v>5310.63</v>
      </c>
    </row>
    <row r="628" spans="1:16" outlineLevel="1" x14ac:dyDescent="0.2">
      <c r="A628" s="5"/>
      <c r="D628" s="3" t="s">
        <v>733</v>
      </c>
      <c r="N628" s="2">
        <f>SUBTOTAL(9,N625:N627)</f>
        <v>54</v>
      </c>
      <c r="O628" s="2">
        <f>SUBTOTAL(9,O625:O627)</f>
        <v>1065262.48</v>
      </c>
    </row>
    <row r="629" spans="1:16" outlineLevel="2" x14ac:dyDescent="0.2">
      <c r="A629" s="5">
        <v>46064</v>
      </c>
      <c r="B629" s="2">
        <v>156288</v>
      </c>
      <c r="C629" s="2">
        <v>1</v>
      </c>
      <c r="D629" s="2" t="s">
        <v>140</v>
      </c>
      <c r="E629" s="2" t="s">
        <v>141</v>
      </c>
      <c r="F629" s="2" t="s">
        <v>55</v>
      </c>
      <c r="G629" s="2" t="s">
        <v>23</v>
      </c>
      <c r="H629" s="2" t="s">
        <v>23</v>
      </c>
      <c r="I629" s="2" t="s">
        <v>23</v>
      </c>
      <c r="J629" s="2">
        <v>1</v>
      </c>
      <c r="K629" s="2" t="s">
        <v>24</v>
      </c>
      <c r="L629" s="2">
        <v>1833</v>
      </c>
      <c r="M629" s="2" t="s">
        <v>142</v>
      </c>
      <c r="N629" s="2">
        <v>4</v>
      </c>
      <c r="O629" s="2">
        <v>36154.36</v>
      </c>
      <c r="P629" s="2">
        <v>9038.59</v>
      </c>
    </row>
    <row r="630" spans="1:16" outlineLevel="1" x14ac:dyDescent="0.2">
      <c r="A630" s="5"/>
      <c r="D630" s="3" t="s">
        <v>696</v>
      </c>
      <c r="N630" s="2">
        <f>SUBTOTAL(9,N629:N629)</f>
        <v>4</v>
      </c>
      <c r="O630" s="2">
        <f>SUBTOTAL(9,O629:O629)</f>
        <v>36154.36</v>
      </c>
    </row>
    <row r="631" spans="1:16" outlineLevel="2" x14ac:dyDescent="0.2">
      <c r="A631" s="5">
        <v>46043</v>
      </c>
      <c r="B631" s="2">
        <v>156289</v>
      </c>
      <c r="C631" s="2">
        <v>1</v>
      </c>
      <c r="D631" s="2" t="s">
        <v>226</v>
      </c>
      <c r="E631" s="2" t="s">
        <v>227</v>
      </c>
      <c r="F631" s="2" t="s">
        <v>47</v>
      </c>
      <c r="G631" s="2" t="s">
        <v>22</v>
      </c>
      <c r="H631" s="2" t="s">
        <v>23</v>
      </c>
      <c r="I631" s="2" t="s">
        <v>23</v>
      </c>
      <c r="J631" s="2">
        <v>41</v>
      </c>
      <c r="K631" s="2" t="s">
        <v>129</v>
      </c>
      <c r="L631" s="2">
        <v>1964</v>
      </c>
      <c r="M631" s="2" t="s">
        <v>49</v>
      </c>
      <c r="N631" s="2">
        <v>143</v>
      </c>
      <c r="O631" s="2">
        <v>3541522.36</v>
      </c>
      <c r="P631" s="2">
        <v>24765.89</v>
      </c>
    </row>
    <row r="632" spans="1:16" outlineLevel="1" x14ac:dyDescent="0.2">
      <c r="A632" s="5"/>
      <c r="D632" s="3" t="s">
        <v>736</v>
      </c>
      <c r="N632" s="2">
        <f>SUBTOTAL(9,N631:N631)</f>
        <v>143</v>
      </c>
      <c r="O632" s="2">
        <f>SUBTOTAL(9,O631:O631)</f>
        <v>3541522.36</v>
      </c>
    </row>
    <row r="633" spans="1:16" outlineLevel="2" x14ac:dyDescent="0.2">
      <c r="A633" s="5">
        <v>46043</v>
      </c>
      <c r="B633" s="2">
        <v>156289</v>
      </c>
      <c r="C633" s="2">
        <v>2</v>
      </c>
      <c r="D633" s="2" t="s">
        <v>45</v>
      </c>
      <c r="E633" s="2" t="s">
        <v>227</v>
      </c>
      <c r="F633" s="2" t="s">
        <v>47</v>
      </c>
      <c r="G633" s="2" t="s">
        <v>22</v>
      </c>
      <c r="H633" s="2" t="s">
        <v>23</v>
      </c>
      <c r="I633" s="2" t="s">
        <v>23</v>
      </c>
      <c r="J633" s="2">
        <v>41</v>
      </c>
      <c r="K633" s="2" t="s">
        <v>129</v>
      </c>
      <c r="L633" s="2">
        <v>1964</v>
      </c>
      <c r="M633" s="2" t="s">
        <v>49</v>
      </c>
      <c r="N633" s="2">
        <v>70</v>
      </c>
      <c r="O633" s="2">
        <v>1163523.67</v>
      </c>
      <c r="P633" s="2">
        <v>16621.77</v>
      </c>
    </row>
    <row r="634" spans="1:16" outlineLevel="1" x14ac:dyDescent="0.2">
      <c r="A634" s="5"/>
      <c r="D634" s="3" t="s">
        <v>733</v>
      </c>
      <c r="N634" s="2">
        <f>SUBTOTAL(9,N633:N633)</f>
        <v>70</v>
      </c>
      <c r="O634" s="2">
        <f>SUBTOTAL(9,O633:O633)</f>
        <v>1163523.67</v>
      </c>
    </row>
    <row r="635" spans="1:16" outlineLevel="2" x14ac:dyDescent="0.2">
      <c r="A635" s="5">
        <v>46043</v>
      </c>
      <c r="B635" s="2">
        <v>156289</v>
      </c>
      <c r="C635" s="2">
        <v>3</v>
      </c>
      <c r="D635" s="2" t="s">
        <v>226</v>
      </c>
      <c r="E635" s="2" t="s">
        <v>151</v>
      </c>
      <c r="F635" s="2" t="s">
        <v>47</v>
      </c>
      <c r="G635" s="2" t="s">
        <v>22</v>
      </c>
      <c r="H635" s="2" t="s">
        <v>23</v>
      </c>
      <c r="I635" s="2" t="s">
        <v>23</v>
      </c>
      <c r="J635" s="2">
        <v>2</v>
      </c>
      <c r="K635" s="2" t="s">
        <v>48</v>
      </c>
      <c r="L635" s="2">
        <v>1964</v>
      </c>
      <c r="M635" s="2" t="s">
        <v>49</v>
      </c>
      <c r="N635" s="2">
        <v>60</v>
      </c>
      <c r="O635" s="2">
        <v>664979.73</v>
      </c>
      <c r="P635" s="2">
        <v>11083</v>
      </c>
    </row>
    <row r="636" spans="1:16" outlineLevel="1" x14ac:dyDescent="0.2">
      <c r="A636" s="5"/>
      <c r="D636" s="3" t="s">
        <v>736</v>
      </c>
      <c r="N636" s="2">
        <f>SUBTOTAL(9,N635:N635)</f>
        <v>60</v>
      </c>
      <c r="O636" s="2">
        <f>SUBTOTAL(9,O635:O635)</f>
        <v>664979.73</v>
      </c>
    </row>
    <row r="637" spans="1:16" outlineLevel="2" x14ac:dyDescent="0.2">
      <c r="A637" s="5">
        <v>46043</v>
      </c>
      <c r="B637" s="2">
        <v>156290</v>
      </c>
      <c r="C637" s="2">
        <v>1</v>
      </c>
      <c r="D637" s="2" t="s">
        <v>207</v>
      </c>
      <c r="E637" s="2" t="s">
        <v>23</v>
      </c>
      <c r="F637" s="2" t="s">
        <v>47</v>
      </c>
      <c r="G637" s="2" t="s">
        <v>22</v>
      </c>
      <c r="H637" s="2" t="s">
        <v>208</v>
      </c>
      <c r="I637" s="2" t="s">
        <v>23</v>
      </c>
      <c r="J637" s="2">
        <v>41</v>
      </c>
      <c r="K637" s="2" t="s">
        <v>129</v>
      </c>
      <c r="L637" s="2">
        <v>25213</v>
      </c>
      <c r="M637" s="2" t="s">
        <v>130</v>
      </c>
      <c r="N637" s="2">
        <v>50</v>
      </c>
      <c r="O637" s="2">
        <v>153145.74</v>
      </c>
      <c r="P637" s="2">
        <v>3062.91</v>
      </c>
    </row>
    <row r="638" spans="1:16" outlineLevel="1" x14ac:dyDescent="0.2">
      <c r="A638" s="5"/>
      <c r="D638" s="3" t="s">
        <v>699</v>
      </c>
      <c r="N638" s="2">
        <f>SUBTOTAL(9,N637:N637)</f>
        <v>50</v>
      </c>
      <c r="O638" s="2">
        <f>SUBTOTAL(9,O637:O637)</f>
        <v>153145.74</v>
      </c>
    </row>
    <row r="639" spans="1:16" outlineLevel="2" x14ac:dyDescent="0.2">
      <c r="A639" s="5">
        <v>46043</v>
      </c>
      <c r="B639" s="2">
        <v>156290</v>
      </c>
      <c r="C639" s="2">
        <v>2</v>
      </c>
      <c r="D639" s="2" t="s">
        <v>128</v>
      </c>
      <c r="E639" s="2" t="s">
        <v>23</v>
      </c>
      <c r="F639" s="2" t="s">
        <v>47</v>
      </c>
      <c r="G639" s="2" t="s">
        <v>22</v>
      </c>
      <c r="H639" s="2" t="s">
        <v>23</v>
      </c>
      <c r="I639" s="2" t="s">
        <v>23</v>
      </c>
      <c r="J639" s="2">
        <v>41</v>
      </c>
      <c r="K639" s="2" t="s">
        <v>129</v>
      </c>
      <c r="L639" s="2">
        <v>25213</v>
      </c>
      <c r="M639" s="2" t="s">
        <v>130</v>
      </c>
      <c r="N639" s="2">
        <v>24</v>
      </c>
      <c r="O639" s="2">
        <v>80409.8</v>
      </c>
      <c r="P639" s="2">
        <v>3350.41</v>
      </c>
    </row>
    <row r="640" spans="1:16" outlineLevel="1" x14ac:dyDescent="0.2">
      <c r="A640" s="5"/>
      <c r="D640" s="3" t="s">
        <v>732</v>
      </c>
      <c r="N640" s="2">
        <f>SUBTOTAL(9,N639:N639)</f>
        <v>24</v>
      </c>
      <c r="O640" s="2">
        <f>SUBTOTAL(9,O639:O639)</f>
        <v>80409.8</v>
      </c>
    </row>
    <row r="641" spans="1:16" outlineLevel="2" x14ac:dyDescent="0.2">
      <c r="A641" s="5">
        <v>46043</v>
      </c>
      <c r="B641" s="2">
        <v>156290</v>
      </c>
      <c r="C641" s="2">
        <v>3</v>
      </c>
      <c r="D641" s="2" t="s">
        <v>207</v>
      </c>
      <c r="E641" s="2" t="s">
        <v>23</v>
      </c>
      <c r="F641" s="2" t="s">
        <v>47</v>
      </c>
      <c r="G641" s="2" t="s">
        <v>22</v>
      </c>
      <c r="H641" s="2" t="s">
        <v>209</v>
      </c>
      <c r="I641" s="2" t="s">
        <v>23</v>
      </c>
      <c r="J641" s="2">
        <v>41</v>
      </c>
      <c r="K641" s="2" t="s">
        <v>129</v>
      </c>
      <c r="L641" s="2">
        <v>25213</v>
      </c>
      <c r="M641" s="2" t="s">
        <v>130</v>
      </c>
      <c r="N641" s="2">
        <v>51</v>
      </c>
      <c r="O641" s="2">
        <v>140627.59</v>
      </c>
      <c r="P641" s="2">
        <v>2757.4</v>
      </c>
    </row>
    <row r="642" spans="1:16" outlineLevel="2" x14ac:dyDescent="0.2">
      <c r="A642" s="5">
        <v>46043</v>
      </c>
      <c r="B642" s="2">
        <v>156290</v>
      </c>
      <c r="C642" s="2">
        <v>4</v>
      </c>
      <c r="D642" s="2" t="s">
        <v>207</v>
      </c>
      <c r="E642" s="2" t="s">
        <v>23</v>
      </c>
      <c r="F642" s="2" t="s">
        <v>47</v>
      </c>
      <c r="G642" s="2" t="s">
        <v>22</v>
      </c>
      <c r="H642" s="2" t="s">
        <v>23</v>
      </c>
      <c r="I642" s="2" t="s">
        <v>23</v>
      </c>
      <c r="J642" s="2">
        <v>1</v>
      </c>
      <c r="K642" s="2" t="s">
        <v>24</v>
      </c>
      <c r="L642" s="2">
        <v>25213</v>
      </c>
      <c r="M642" s="2" t="s">
        <v>130</v>
      </c>
      <c r="N642" s="2">
        <v>5</v>
      </c>
      <c r="O642" s="2">
        <v>342345.55</v>
      </c>
      <c r="P642" s="2">
        <v>68469.11</v>
      </c>
    </row>
    <row r="643" spans="1:16" outlineLevel="2" x14ac:dyDescent="0.2">
      <c r="A643" s="5">
        <v>46043</v>
      </c>
      <c r="B643" s="2">
        <v>156290</v>
      </c>
      <c r="C643" s="2">
        <v>5</v>
      </c>
      <c r="D643" s="2" t="s">
        <v>207</v>
      </c>
      <c r="E643" s="2" t="s">
        <v>23</v>
      </c>
      <c r="F643" s="2" t="s">
        <v>47</v>
      </c>
      <c r="G643" s="2" t="s">
        <v>210</v>
      </c>
      <c r="H643" s="2" t="s">
        <v>23</v>
      </c>
      <c r="I643" s="2" t="s">
        <v>23</v>
      </c>
      <c r="J643" s="2">
        <v>1</v>
      </c>
      <c r="K643" s="2" t="s">
        <v>24</v>
      </c>
      <c r="L643" s="2">
        <v>25213</v>
      </c>
      <c r="M643" s="2" t="s">
        <v>130</v>
      </c>
      <c r="N643" s="2">
        <v>2</v>
      </c>
      <c r="O643" s="2">
        <v>118900.18</v>
      </c>
      <c r="P643" s="2">
        <v>59450.09</v>
      </c>
    </row>
    <row r="644" spans="1:16" outlineLevel="1" x14ac:dyDescent="0.2">
      <c r="A644" s="5"/>
      <c r="D644" s="3" t="s">
        <v>699</v>
      </c>
      <c r="N644" s="2">
        <f>SUBTOTAL(9,N641:N643)</f>
        <v>58</v>
      </c>
      <c r="O644" s="2">
        <f>SUBTOTAL(9,O641:O643)</f>
        <v>601873.32000000007</v>
      </c>
    </row>
    <row r="645" spans="1:16" outlineLevel="2" x14ac:dyDescent="0.2">
      <c r="A645" s="5">
        <v>46043</v>
      </c>
      <c r="B645" s="2">
        <v>156290</v>
      </c>
      <c r="C645" s="2">
        <v>6</v>
      </c>
      <c r="D645" s="2" t="s">
        <v>128</v>
      </c>
      <c r="E645" s="2" t="s">
        <v>23</v>
      </c>
      <c r="F645" s="2" t="s">
        <v>47</v>
      </c>
      <c r="G645" s="2" t="s">
        <v>22</v>
      </c>
      <c r="H645" s="2" t="s">
        <v>23</v>
      </c>
      <c r="I645" s="2" t="s">
        <v>23</v>
      </c>
      <c r="J645" s="2">
        <v>1</v>
      </c>
      <c r="K645" s="2" t="s">
        <v>24</v>
      </c>
      <c r="L645" s="2">
        <v>25213</v>
      </c>
      <c r="M645" s="2" t="s">
        <v>130</v>
      </c>
      <c r="N645" s="2">
        <v>6</v>
      </c>
      <c r="O645" s="2">
        <v>490472.31</v>
      </c>
      <c r="P645" s="2">
        <v>81745.39</v>
      </c>
    </row>
    <row r="646" spans="1:16" outlineLevel="1" x14ac:dyDescent="0.2">
      <c r="A646" s="5"/>
      <c r="D646" s="3" t="s">
        <v>732</v>
      </c>
      <c r="N646" s="2">
        <f>SUBTOTAL(9,N645:N645)</f>
        <v>6</v>
      </c>
      <c r="O646" s="2">
        <f>SUBTOTAL(9,O645:O645)</f>
        <v>490472.31</v>
      </c>
    </row>
    <row r="647" spans="1:16" outlineLevel="2" x14ac:dyDescent="0.2">
      <c r="A647" s="5">
        <v>46045</v>
      </c>
      <c r="B647" s="2">
        <v>156293</v>
      </c>
      <c r="C647" s="2">
        <v>315</v>
      </c>
      <c r="D647" s="2" t="s">
        <v>54</v>
      </c>
      <c r="E647" s="2" t="s">
        <v>30</v>
      </c>
      <c r="F647" s="2" t="s">
        <v>55</v>
      </c>
      <c r="G647" s="2" t="s">
        <v>23</v>
      </c>
      <c r="H647" s="2" t="s">
        <v>23</v>
      </c>
      <c r="I647" s="2" t="s">
        <v>23</v>
      </c>
      <c r="J647" s="2">
        <v>2</v>
      </c>
      <c r="K647" s="2" t="s">
        <v>48</v>
      </c>
      <c r="L647" s="2">
        <v>626</v>
      </c>
      <c r="M647" s="2" t="s">
        <v>49</v>
      </c>
      <c r="N647" s="2">
        <v>6</v>
      </c>
      <c r="O647" s="2">
        <v>29063.46</v>
      </c>
      <c r="P647" s="2">
        <v>4843.91</v>
      </c>
    </row>
    <row r="648" spans="1:16" outlineLevel="1" x14ac:dyDescent="0.2">
      <c r="A648" s="5"/>
      <c r="D648" s="3" t="s">
        <v>719</v>
      </c>
      <c r="N648" s="2">
        <f>SUBTOTAL(9,N647:N647)</f>
        <v>6</v>
      </c>
      <c r="O648" s="2">
        <f>SUBTOTAL(9,O647:O647)</f>
        <v>29063.46</v>
      </c>
    </row>
    <row r="649" spans="1:16" outlineLevel="2" x14ac:dyDescent="0.2">
      <c r="A649" s="5">
        <v>46050</v>
      </c>
      <c r="B649" s="2">
        <v>156294</v>
      </c>
      <c r="C649" s="2">
        <v>315</v>
      </c>
      <c r="D649" s="2" t="s">
        <v>45</v>
      </c>
      <c r="E649" s="2" t="s">
        <v>46</v>
      </c>
      <c r="F649" s="2" t="s">
        <v>55</v>
      </c>
      <c r="G649" s="2" t="s">
        <v>23</v>
      </c>
      <c r="H649" s="2" t="s">
        <v>23</v>
      </c>
      <c r="I649" s="2" t="s">
        <v>23</v>
      </c>
      <c r="J649" s="2">
        <v>2</v>
      </c>
      <c r="K649" s="2" t="s">
        <v>48</v>
      </c>
      <c r="L649" s="2">
        <v>1557</v>
      </c>
      <c r="M649" s="2" t="s">
        <v>98</v>
      </c>
      <c r="N649" s="2">
        <v>10</v>
      </c>
      <c r="O649" s="2">
        <v>52462.86</v>
      </c>
      <c r="P649" s="2">
        <v>5246.29</v>
      </c>
    </row>
    <row r="650" spans="1:16" outlineLevel="2" x14ac:dyDescent="0.2">
      <c r="A650" s="5">
        <v>46050</v>
      </c>
      <c r="B650" s="2">
        <v>156296</v>
      </c>
      <c r="C650" s="2">
        <v>315</v>
      </c>
      <c r="D650" s="2" t="s">
        <v>45</v>
      </c>
      <c r="E650" s="2" t="s">
        <v>46</v>
      </c>
      <c r="F650" s="2" t="s">
        <v>55</v>
      </c>
      <c r="G650" s="2" t="s">
        <v>23</v>
      </c>
      <c r="H650" s="2" t="s">
        <v>23</v>
      </c>
      <c r="I650" s="2" t="s">
        <v>23</v>
      </c>
      <c r="J650" s="2">
        <v>2</v>
      </c>
      <c r="K650" s="2" t="s">
        <v>48</v>
      </c>
      <c r="L650" s="2">
        <v>1557</v>
      </c>
      <c r="M650" s="2" t="s">
        <v>98</v>
      </c>
      <c r="N650" s="2">
        <v>60</v>
      </c>
      <c r="O650" s="2">
        <v>374644.2</v>
      </c>
      <c r="P650" s="2">
        <v>6244.07</v>
      </c>
    </row>
    <row r="651" spans="1:16" outlineLevel="1" x14ac:dyDescent="0.2">
      <c r="A651" s="5"/>
      <c r="D651" s="3" t="s">
        <v>733</v>
      </c>
      <c r="N651" s="2">
        <f>SUBTOTAL(9,N649:N650)</f>
        <v>70</v>
      </c>
      <c r="O651" s="2">
        <f>SUBTOTAL(9,O649:O650)</f>
        <v>427107.06</v>
      </c>
    </row>
    <row r="652" spans="1:16" outlineLevel="2" x14ac:dyDescent="0.2">
      <c r="A652" s="5">
        <v>46043</v>
      </c>
      <c r="B652" s="2">
        <v>156297</v>
      </c>
      <c r="C652" s="2">
        <v>1</v>
      </c>
      <c r="D652" s="2" t="s">
        <v>54</v>
      </c>
      <c r="E652" s="2" t="s">
        <v>20</v>
      </c>
      <c r="F652" s="2" t="s">
        <v>23</v>
      </c>
      <c r="G652" s="2" t="s">
        <v>23</v>
      </c>
      <c r="H652" s="2" t="s">
        <v>23</v>
      </c>
      <c r="I652" s="2" t="s">
        <v>23</v>
      </c>
      <c r="J652" s="2">
        <v>2</v>
      </c>
      <c r="K652" s="2" t="s">
        <v>48</v>
      </c>
      <c r="L652" s="2">
        <v>253</v>
      </c>
      <c r="M652" s="2" t="s">
        <v>265</v>
      </c>
      <c r="N652" s="2">
        <v>4</v>
      </c>
      <c r="O652" s="2">
        <v>10974.71</v>
      </c>
      <c r="P652" s="2">
        <v>2743.68</v>
      </c>
    </row>
    <row r="653" spans="1:16" outlineLevel="2" x14ac:dyDescent="0.2">
      <c r="A653" s="5">
        <v>46080</v>
      </c>
      <c r="B653" s="2">
        <v>156297</v>
      </c>
      <c r="C653" s="2">
        <v>315</v>
      </c>
      <c r="D653" s="2" t="s">
        <v>54</v>
      </c>
      <c r="E653" s="2" t="s">
        <v>30</v>
      </c>
      <c r="F653" s="2" t="s">
        <v>55</v>
      </c>
      <c r="G653" s="2" t="s">
        <v>23</v>
      </c>
      <c r="H653" s="2" t="s">
        <v>23</v>
      </c>
      <c r="I653" s="2" t="s">
        <v>23</v>
      </c>
      <c r="J653" s="2">
        <v>2</v>
      </c>
      <c r="K653" s="2" t="s">
        <v>48</v>
      </c>
      <c r="L653" s="2">
        <v>25223</v>
      </c>
      <c r="M653" s="2" t="s">
        <v>97</v>
      </c>
      <c r="N653" s="2">
        <v>5</v>
      </c>
      <c r="O653" s="2">
        <v>28391.02</v>
      </c>
      <c r="P653" s="2">
        <v>5678.2</v>
      </c>
    </row>
    <row r="654" spans="1:16" outlineLevel="1" x14ac:dyDescent="0.2">
      <c r="A654" s="5"/>
      <c r="D654" s="3" t="s">
        <v>719</v>
      </c>
      <c r="N654" s="2">
        <f>SUBTOTAL(9,N652:N653)</f>
        <v>9</v>
      </c>
      <c r="O654" s="2">
        <f>SUBTOTAL(9,O652:O653)</f>
        <v>39365.729999999996</v>
      </c>
    </row>
    <row r="655" spans="1:16" outlineLevel="2" x14ac:dyDescent="0.2">
      <c r="A655" s="5">
        <v>46050</v>
      </c>
      <c r="B655" s="2">
        <v>156305</v>
      </c>
      <c r="C655" s="2">
        <v>1</v>
      </c>
      <c r="D655" s="2" t="s">
        <v>197</v>
      </c>
      <c r="E655" s="2" t="s">
        <v>198</v>
      </c>
      <c r="F655" s="2" t="s">
        <v>199</v>
      </c>
      <c r="G655" s="2" t="s">
        <v>22</v>
      </c>
      <c r="H655" s="2" t="s">
        <v>23</v>
      </c>
      <c r="I655" s="2" t="s">
        <v>23</v>
      </c>
      <c r="J655" s="2">
        <v>2</v>
      </c>
      <c r="K655" s="2" t="s">
        <v>48</v>
      </c>
      <c r="L655" s="2">
        <v>182</v>
      </c>
      <c r="M655" s="2" t="s">
        <v>263</v>
      </c>
      <c r="N655" s="2">
        <v>102</v>
      </c>
      <c r="O655" s="2">
        <v>2329800.84</v>
      </c>
      <c r="P655" s="2">
        <v>22841.18</v>
      </c>
    </row>
    <row r="656" spans="1:16" outlineLevel="2" x14ac:dyDescent="0.2">
      <c r="A656" s="5">
        <v>46050</v>
      </c>
      <c r="B656" s="2">
        <v>156306</v>
      </c>
      <c r="C656" s="2">
        <v>1</v>
      </c>
      <c r="D656" s="2" t="s">
        <v>197</v>
      </c>
      <c r="E656" s="2" t="s">
        <v>282</v>
      </c>
      <c r="F656" s="2" t="s">
        <v>199</v>
      </c>
      <c r="G656" s="2" t="s">
        <v>22</v>
      </c>
      <c r="H656" s="2" t="s">
        <v>23</v>
      </c>
      <c r="I656" s="2" t="s">
        <v>23</v>
      </c>
      <c r="J656" s="2">
        <v>2</v>
      </c>
      <c r="K656" s="2" t="s">
        <v>48</v>
      </c>
      <c r="L656" s="2">
        <v>176</v>
      </c>
      <c r="M656" s="2" t="s">
        <v>286</v>
      </c>
      <c r="N656" s="2">
        <v>98</v>
      </c>
      <c r="O656" s="2">
        <v>1984870.87</v>
      </c>
      <c r="P656" s="2">
        <v>20253.78</v>
      </c>
    </row>
    <row r="657" spans="1:16" outlineLevel="2" x14ac:dyDescent="0.2">
      <c r="A657" s="5">
        <v>46048</v>
      </c>
      <c r="B657" s="2">
        <v>156307</v>
      </c>
      <c r="C657" s="2">
        <v>1</v>
      </c>
      <c r="D657" s="2" t="s">
        <v>197</v>
      </c>
      <c r="E657" s="2" t="s">
        <v>284</v>
      </c>
      <c r="F657" s="2" t="s">
        <v>199</v>
      </c>
      <c r="G657" s="2" t="s">
        <v>22</v>
      </c>
      <c r="H657" s="2" t="s">
        <v>23</v>
      </c>
      <c r="I657" s="2" t="s">
        <v>23</v>
      </c>
      <c r="J657" s="2">
        <v>2</v>
      </c>
      <c r="K657" s="2" t="s">
        <v>48</v>
      </c>
      <c r="L657" s="2">
        <v>182</v>
      </c>
      <c r="M657" s="2" t="s">
        <v>263</v>
      </c>
      <c r="N657" s="2">
        <v>106</v>
      </c>
      <c r="O657" s="2">
        <v>2311721.02</v>
      </c>
      <c r="P657" s="2">
        <v>21808.69</v>
      </c>
    </row>
    <row r="658" spans="1:16" outlineLevel="1" x14ac:dyDescent="0.2">
      <c r="A658" s="5"/>
      <c r="D658" s="3" t="s">
        <v>734</v>
      </c>
      <c r="N658" s="2">
        <f>SUBTOTAL(9,N655:N657)</f>
        <v>306</v>
      </c>
      <c r="O658" s="2">
        <f>SUBTOTAL(9,O655:O657)</f>
        <v>6626392.7300000004</v>
      </c>
    </row>
    <row r="659" spans="1:16" outlineLevel="2" x14ac:dyDescent="0.2">
      <c r="A659" s="5">
        <v>46043</v>
      </c>
      <c r="B659" s="2">
        <v>156312</v>
      </c>
      <c r="C659" s="2">
        <v>1</v>
      </c>
      <c r="D659" s="2" t="s">
        <v>38</v>
      </c>
      <c r="E659" s="2" t="s">
        <v>39</v>
      </c>
      <c r="F659" s="2" t="s">
        <v>63</v>
      </c>
      <c r="G659" s="2" t="s">
        <v>22</v>
      </c>
      <c r="H659" s="2" t="s">
        <v>41</v>
      </c>
      <c r="I659" s="2" t="s">
        <v>243</v>
      </c>
      <c r="J659" s="2">
        <v>1</v>
      </c>
      <c r="K659" s="2" t="s">
        <v>24</v>
      </c>
      <c r="L659" s="2">
        <v>1846</v>
      </c>
      <c r="M659" s="2" t="s">
        <v>134</v>
      </c>
      <c r="N659" s="2">
        <v>176</v>
      </c>
      <c r="O659" s="2">
        <v>10759324.1</v>
      </c>
      <c r="P659" s="2">
        <v>61132.52</v>
      </c>
    </row>
    <row r="660" spans="1:16" outlineLevel="2" x14ac:dyDescent="0.2">
      <c r="A660" s="5">
        <v>46048</v>
      </c>
      <c r="B660" s="2">
        <v>156312</v>
      </c>
      <c r="C660" s="2">
        <v>2</v>
      </c>
      <c r="D660" s="2" t="s">
        <v>38</v>
      </c>
      <c r="E660" s="2" t="s">
        <v>39</v>
      </c>
      <c r="F660" s="2" t="s">
        <v>63</v>
      </c>
      <c r="G660" s="2" t="s">
        <v>22</v>
      </c>
      <c r="H660" s="2" t="s">
        <v>23</v>
      </c>
      <c r="I660" s="2" t="s">
        <v>116</v>
      </c>
      <c r="J660" s="2">
        <v>1</v>
      </c>
      <c r="K660" s="2" t="s">
        <v>24</v>
      </c>
      <c r="L660" s="2">
        <v>1846</v>
      </c>
      <c r="M660" s="2" t="s">
        <v>134</v>
      </c>
      <c r="N660" s="2">
        <v>616</v>
      </c>
      <c r="O660" s="2">
        <v>37056501.390000001</v>
      </c>
      <c r="P660" s="2">
        <v>60156.66</v>
      </c>
    </row>
    <row r="661" spans="1:16" outlineLevel="2" x14ac:dyDescent="0.2">
      <c r="A661" s="5">
        <v>46043</v>
      </c>
      <c r="B661" s="2">
        <v>156313</v>
      </c>
      <c r="C661" s="2">
        <v>1</v>
      </c>
      <c r="D661" s="2" t="s">
        <v>38</v>
      </c>
      <c r="E661" s="2" t="s">
        <v>39</v>
      </c>
      <c r="F661" s="2" t="s">
        <v>63</v>
      </c>
      <c r="G661" s="2" t="s">
        <v>22</v>
      </c>
      <c r="H661" s="2" t="s">
        <v>41</v>
      </c>
      <c r="I661" s="2" t="s">
        <v>116</v>
      </c>
      <c r="J661" s="2">
        <v>1</v>
      </c>
      <c r="K661" s="2" t="s">
        <v>24</v>
      </c>
      <c r="L661" s="2">
        <v>1846</v>
      </c>
      <c r="M661" s="2" t="s">
        <v>134</v>
      </c>
      <c r="N661" s="2">
        <v>352</v>
      </c>
      <c r="O661" s="2">
        <v>21484019.989999998</v>
      </c>
      <c r="P661" s="2">
        <v>61034.15</v>
      </c>
    </row>
    <row r="662" spans="1:16" outlineLevel="2" x14ac:dyDescent="0.2">
      <c r="A662" s="5">
        <v>46045</v>
      </c>
      <c r="B662" s="2">
        <v>156313</v>
      </c>
      <c r="C662" s="2">
        <v>3</v>
      </c>
      <c r="D662" s="2" t="s">
        <v>38</v>
      </c>
      <c r="E662" s="2" t="s">
        <v>39</v>
      </c>
      <c r="F662" s="2" t="s">
        <v>63</v>
      </c>
      <c r="G662" s="2" t="s">
        <v>22</v>
      </c>
      <c r="H662" s="2" t="s">
        <v>23</v>
      </c>
      <c r="I662" s="2" t="s">
        <v>133</v>
      </c>
      <c r="J662" s="2">
        <v>1</v>
      </c>
      <c r="K662" s="2" t="s">
        <v>24</v>
      </c>
      <c r="L662" s="2">
        <v>1846</v>
      </c>
      <c r="M662" s="2" t="s">
        <v>134</v>
      </c>
      <c r="N662" s="2">
        <v>528</v>
      </c>
      <c r="O662" s="2">
        <v>25909109.309999999</v>
      </c>
      <c r="P662" s="2">
        <v>49070.28</v>
      </c>
    </row>
    <row r="663" spans="1:16" outlineLevel="1" x14ac:dyDescent="0.2">
      <c r="A663" s="5"/>
      <c r="D663" s="3" t="s">
        <v>721</v>
      </c>
      <c r="N663" s="2">
        <f>SUBTOTAL(9,N659:N662)</f>
        <v>1672</v>
      </c>
      <c r="O663" s="2">
        <f>SUBTOTAL(9,O659:O662)</f>
        <v>95208954.790000007</v>
      </c>
    </row>
    <row r="664" spans="1:16" outlineLevel="2" x14ac:dyDescent="0.2">
      <c r="A664" s="5">
        <v>46056</v>
      </c>
      <c r="B664" s="2">
        <v>156314</v>
      </c>
      <c r="C664" s="2">
        <v>1</v>
      </c>
      <c r="D664" s="2" t="s">
        <v>70</v>
      </c>
      <c r="E664" s="2" t="s">
        <v>104</v>
      </c>
      <c r="F664" s="2" t="s">
        <v>63</v>
      </c>
      <c r="G664" s="2" t="s">
        <v>22</v>
      </c>
      <c r="H664" s="2" t="s">
        <v>23</v>
      </c>
      <c r="I664" s="2" t="s">
        <v>287</v>
      </c>
      <c r="J664" s="2">
        <v>86</v>
      </c>
      <c r="K664" s="2" t="s">
        <v>73</v>
      </c>
      <c r="L664" s="2">
        <v>2089</v>
      </c>
      <c r="M664" s="2" t="s">
        <v>87</v>
      </c>
      <c r="N664" s="2">
        <v>780</v>
      </c>
      <c r="O664" s="2">
        <v>16748138.99</v>
      </c>
      <c r="P664" s="2">
        <v>21471.97</v>
      </c>
    </row>
    <row r="665" spans="1:16" outlineLevel="2" x14ac:dyDescent="0.2">
      <c r="A665" s="5">
        <v>46052</v>
      </c>
      <c r="B665" s="2">
        <v>156314</v>
      </c>
      <c r="C665" s="2">
        <v>2</v>
      </c>
      <c r="D665" s="2" t="s">
        <v>70</v>
      </c>
      <c r="E665" s="2" t="s">
        <v>23</v>
      </c>
      <c r="F665" s="2" t="s">
        <v>63</v>
      </c>
      <c r="G665" s="2" t="s">
        <v>22</v>
      </c>
      <c r="H665" s="2" t="s">
        <v>23</v>
      </c>
      <c r="I665" s="2" t="s">
        <v>219</v>
      </c>
      <c r="J665" s="2">
        <v>86</v>
      </c>
      <c r="K665" s="2" t="s">
        <v>73</v>
      </c>
      <c r="L665" s="2">
        <v>2089</v>
      </c>
      <c r="M665" s="2" t="s">
        <v>87</v>
      </c>
      <c r="N665" s="2">
        <v>1170</v>
      </c>
      <c r="O665" s="2">
        <v>26514967.859999999</v>
      </c>
      <c r="P665" s="2">
        <v>22662.37</v>
      </c>
    </row>
    <row r="666" spans="1:16" outlineLevel="2" x14ac:dyDescent="0.2">
      <c r="A666" s="5">
        <v>46050</v>
      </c>
      <c r="B666" s="2">
        <v>156314</v>
      </c>
      <c r="C666" s="2">
        <v>3</v>
      </c>
      <c r="D666" s="2" t="s">
        <v>70</v>
      </c>
      <c r="E666" s="2" t="s">
        <v>23</v>
      </c>
      <c r="F666" s="2" t="s">
        <v>63</v>
      </c>
      <c r="G666" s="2" t="s">
        <v>22</v>
      </c>
      <c r="H666" s="2" t="s">
        <v>23</v>
      </c>
      <c r="I666" s="2" t="s">
        <v>288</v>
      </c>
      <c r="J666" s="2">
        <v>86</v>
      </c>
      <c r="K666" s="2" t="s">
        <v>73</v>
      </c>
      <c r="L666" s="2">
        <v>2089</v>
      </c>
      <c r="M666" s="2" t="s">
        <v>87</v>
      </c>
      <c r="N666" s="2">
        <v>2223</v>
      </c>
      <c r="O666" s="2">
        <v>52634389.530000001</v>
      </c>
      <c r="P666" s="2">
        <v>23677.19</v>
      </c>
    </row>
    <row r="667" spans="1:16" outlineLevel="1" x14ac:dyDescent="0.2">
      <c r="A667" s="5"/>
      <c r="D667" s="3" t="s">
        <v>695</v>
      </c>
      <c r="N667" s="2">
        <f>SUBTOTAL(9,N664:N666)</f>
        <v>4173</v>
      </c>
      <c r="O667" s="2">
        <f>SUBTOTAL(9,O664:O666)</f>
        <v>95897496.379999995</v>
      </c>
    </row>
    <row r="668" spans="1:16" outlineLevel="2" x14ac:dyDescent="0.2">
      <c r="A668" s="5">
        <v>46087</v>
      </c>
      <c r="B668" s="2">
        <v>156341</v>
      </c>
      <c r="C668" s="2">
        <v>306</v>
      </c>
      <c r="D668" s="2" t="s">
        <v>45</v>
      </c>
      <c r="E668" s="2" t="s">
        <v>46</v>
      </c>
      <c r="F668" s="2" t="s">
        <v>55</v>
      </c>
      <c r="G668" s="2" t="s">
        <v>23</v>
      </c>
      <c r="H668" s="2" t="s">
        <v>23</v>
      </c>
      <c r="I668" s="2" t="s">
        <v>23</v>
      </c>
      <c r="J668" s="2">
        <v>2</v>
      </c>
      <c r="K668" s="2" t="s">
        <v>48</v>
      </c>
      <c r="L668" s="2">
        <v>600</v>
      </c>
      <c r="M668" s="2" t="s">
        <v>112</v>
      </c>
      <c r="N668" s="2">
        <v>7</v>
      </c>
      <c r="O668" s="2">
        <v>26865.99</v>
      </c>
      <c r="P668" s="2">
        <v>3838</v>
      </c>
    </row>
    <row r="669" spans="1:16" outlineLevel="2" x14ac:dyDescent="0.2">
      <c r="A669" s="5">
        <v>46162</v>
      </c>
      <c r="B669" s="2">
        <v>156341</v>
      </c>
      <c r="C669" s="2">
        <v>315</v>
      </c>
      <c r="D669" s="2" t="s">
        <v>45</v>
      </c>
      <c r="E669" s="2" t="s">
        <v>46</v>
      </c>
      <c r="F669" s="2" t="s">
        <v>289</v>
      </c>
      <c r="G669" s="2" t="s">
        <v>22</v>
      </c>
      <c r="H669" s="2" t="s">
        <v>23</v>
      </c>
      <c r="I669" s="2" t="s">
        <v>23</v>
      </c>
      <c r="J669" s="2">
        <v>2</v>
      </c>
      <c r="K669" s="2" t="s">
        <v>48</v>
      </c>
      <c r="L669" s="2">
        <v>2316</v>
      </c>
      <c r="M669" s="2" t="s">
        <v>206</v>
      </c>
      <c r="N669" s="2">
        <v>56</v>
      </c>
      <c r="O669" s="2">
        <v>521023.35</v>
      </c>
      <c r="P669" s="2">
        <v>9303.99</v>
      </c>
    </row>
    <row r="670" spans="1:16" outlineLevel="1" x14ac:dyDescent="0.2">
      <c r="A670" s="5"/>
      <c r="D670" s="3" t="s">
        <v>733</v>
      </c>
      <c r="N670" s="2">
        <f>SUBTOTAL(9,N668:N669)</f>
        <v>63</v>
      </c>
      <c r="O670" s="2">
        <f>SUBTOTAL(9,O668:O669)</f>
        <v>547889.34</v>
      </c>
    </row>
    <row r="671" spans="1:16" outlineLevel="2" x14ac:dyDescent="0.2">
      <c r="A671" s="5">
        <v>46045</v>
      </c>
      <c r="B671" s="2">
        <v>156346</v>
      </c>
      <c r="C671" s="2">
        <v>1</v>
      </c>
      <c r="D671" s="2" t="s">
        <v>102</v>
      </c>
      <c r="E671" s="2" t="s">
        <v>104</v>
      </c>
      <c r="F671" s="2" t="s">
        <v>40</v>
      </c>
      <c r="G671" s="2" t="s">
        <v>22</v>
      </c>
      <c r="H671" s="2" t="s">
        <v>23</v>
      </c>
      <c r="I671" s="2" t="s">
        <v>23</v>
      </c>
      <c r="J671" s="2">
        <v>1</v>
      </c>
      <c r="K671" s="2" t="s">
        <v>24</v>
      </c>
      <c r="L671" s="2">
        <v>25120</v>
      </c>
      <c r="M671" s="2" t="s">
        <v>103</v>
      </c>
      <c r="N671" s="2">
        <v>140</v>
      </c>
      <c r="O671" s="2">
        <v>9135667.1400000006</v>
      </c>
      <c r="P671" s="2">
        <v>65254.77</v>
      </c>
    </row>
    <row r="672" spans="1:16" outlineLevel="1" x14ac:dyDescent="0.2">
      <c r="A672" s="5"/>
      <c r="D672" s="3" t="s">
        <v>707</v>
      </c>
      <c r="N672" s="2">
        <f>SUBTOTAL(9,N671:N671)</f>
        <v>140</v>
      </c>
      <c r="O672" s="2">
        <f>SUBTOTAL(9,O671:O671)</f>
        <v>9135667.1400000006</v>
      </c>
    </row>
    <row r="673" spans="1:16" outlineLevel="2" x14ac:dyDescent="0.2">
      <c r="A673" s="5">
        <v>46045</v>
      </c>
      <c r="B673" s="2">
        <v>156347</v>
      </c>
      <c r="C673" s="2">
        <v>1</v>
      </c>
      <c r="D673" s="2" t="s">
        <v>92</v>
      </c>
      <c r="E673" s="2" t="s">
        <v>93</v>
      </c>
      <c r="F673" s="2" t="s">
        <v>40</v>
      </c>
      <c r="G673" s="2" t="s">
        <v>22</v>
      </c>
      <c r="H673" s="2" t="s">
        <v>23</v>
      </c>
      <c r="I673" s="2" t="s">
        <v>23</v>
      </c>
      <c r="J673" s="2">
        <v>5</v>
      </c>
      <c r="K673" s="2" t="s">
        <v>27</v>
      </c>
      <c r="L673" s="2">
        <v>2521</v>
      </c>
      <c r="M673" s="2" t="s">
        <v>82</v>
      </c>
      <c r="N673" s="2">
        <v>111</v>
      </c>
      <c r="O673" s="2">
        <v>2476459.4300000002</v>
      </c>
      <c r="P673" s="2">
        <v>22310.45</v>
      </c>
    </row>
    <row r="674" spans="1:16" outlineLevel="1" x14ac:dyDescent="0.2">
      <c r="A674" s="5"/>
      <c r="D674" s="3" t="s">
        <v>702</v>
      </c>
      <c r="N674" s="2">
        <f>SUBTOTAL(9,N673:N673)</f>
        <v>111</v>
      </c>
      <c r="O674" s="2">
        <f>SUBTOTAL(9,O673:O673)</f>
        <v>2476459.4300000002</v>
      </c>
    </row>
    <row r="675" spans="1:16" outlineLevel="2" x14ac:dyDescent="0.2">
      <c r="A675" s="5">
        <v>46045</v>
      </c>
      <c r="B675" s="2">
        <v>156347</v>
      </c>
      <c r="C675" s="2">
        <v>2</v>
      </c>
      <c r="D675" s="2" t="s">
        <v>131</v>
      </c>
      <c r="E675" s="2" t="s">
        <v>132</v>
      </c>
      <c r="F675" s="2" t="s">
        <v>40</v>
      </c>
      <c r="G675" s="2" t="s">
        <v>22</v>
      </c>
      <c r="H675" s="2" t="s">
        <v>23</v>
      </c>
      <c r="I675" s="2" t="s">
        <v>23</v>
      </c>
      <c r="J675" s="2">
        <v>1</v>
      </c>
      <c r="K675" s="2" t="s">
        <v>24</v>
      </c>
      <c r="L675" s="2">
        <v>2521</v>
      </c>
      <c r="M675" s="2" t="s">
        <v>82</v>
      </c>
      <c r="N675" s="2">
        <v>273</v>
      </c>
      <c r="O675" s="2">
        <v>8672865.0800000001</v>
      </c>
      <c r="P675" s="2">
        <v>31768.74</v>
      </c>
    </row>
    <row r="676" spans="1:16" outlineLevel="1" x14ac:dyDescent="0.2">
      <c r="A676" s="5"/>
      <c r="D676" s="3" t="s">
        <v>713</v>
      </c>
      <c r="N676" s="2">
        <f>SUBTOTAL(9,N675:N675)</f>
        <v>273</v>
      </c>
      <c r="O676" s="2">
        <f>SUBTOTAL(9,O675:O675)</f>
        <v>8672865.0800000001</v>
      </c>
    </row>
    <row r="677" spans="1:16" outlineLevel="2" x14ac:dyDescent="0.2">
      <c r="A677" s="5">
        <v>46066</v>
      </c>
      <c r="B677" s="2">
        <v>156348</v>
      </c>
      <c r="C677" s="2">
        <v>2</v>
      </c>
      <c r="D677" s="2" t="s">
        <v>119</v>
      </c>
      <c r="E677" s="2" t="s">
        <v>120</v>
      </c>
      <c r="F677" s="2" t="s">
        <v>195</v>
      </c>
      <c r="G677" s="2" t="s">
        <v>22</v>
      </c>
      <c r="H677" s="2" t="s">
        <v>23</v>
      </c>
      <c r="I677" s="2" t="s">
        <v>124</v>
      </c>
      <c r="J677" s="2">
        <v>1</v>
      </c>
      <c r="K677" s="2" t="s">
        <v>24</v>
      </c>
      <c r="L677" s="2">
        <v>2120</v>
      </c>
      <c r="M677" s="2" t="s">
        <v>196</v>
      </c>
      <c r="N677" s="2">
        <v>328</v>
      </c>
      <c r="O677" s="2">
        <v>12750999.710000001</v>
      </c>
      <c r="P677" s="2">
        <v>38875</v>
      </c>
    </row>
    <row r="678" spans="1:16" outlineLevel="1" x14ac:dyDescent="0.2">
      <c r="A678" s="5"/>
      <c r="D678" s="3" t="s">
        <v>708</v>
      </c>
      <c r="N678" s="2">
        <f>SUBTOTAL(9,N677:N677)</f>
        <v>328</v>
      </c>
      <c r="O678" s="2">
        <f>SUBTOTAL(9,O677:O677)</f>
        <v>12750999.710000001</v>
      </c>
    </row>
    <row r="679" spans="1:16" outlineLevel="2" x14ac:dyDescent="0.2">
      <c r="A679" s="5">
        <v>46080</v>
      </c>
      <c r="B679" s="2">
        <v>156349</v>
      </c>
      <c r="C679" s="2">
        <v>2</v>
      </c>
      <c r="D679" s="2" t="s">
        <v>186</v>
      </c>
      <c r="E679" s="2" t="s">
        <v>55</v>
      </c>
      <c r="F679" s="2" t="s">
        <v>23</v>
      </c>
      <c r="G679" s="2" t="s">
        <v>23</v>
      </c>
      <c r="H679" s="2" t="s">
        <v>23</v>
      </c>
      <c r="I679" s="2" t="s">
        <v>23</v>
      </c>
      <c r="J679" s="2">
        <v>1</v>
      </c>
      <c r="K679" s="2" t="s">
        <v>24</v>
      </c>
      <c r="L679" s="2">
        <v>25144</v>
      </c>
      <c r="M679" s="2" t="s">
        <v>189</v>
      </c>
      <c r="N679" s="2">
        <v>2</v>
      </c>
      <c r="O679" s="2">
        <v>36745.94</v>
      </c>
      <c r="P679" s="2">
        <v>18372.97</v>
      </c>
    </row>
    <row r="680" spans="1:16" outlineLevel="1" x14ac:dyDescent="0.2">
      <c r="A680" s="5"/>
      <c r="D680" s="3" t="s">
        <v>731</v>
      </c>
      <c r="N680" s="2">
        <f>SUBTOTAL(9,N679:N679)</f>
        <v>2</v>
      </c>
      <c r="O680" s="2">
        <f>SUBTOTAL(9,O679:O679)</f>
        <v>36745.94</v>
      </c>
    </row>
    <row r="681" spans="1:16" outlineLevel="2" x14ac:dyDescent="0.2">
      <c r="A681" s="5">
        <v>46048</v>
      </c>
      <c r="B681" s="2">
        <v>156350</v>
      </c>
      <c r="C681" s="2">
        <v>1</v>
      </c>
      <c r="D681" s="2" t="s">
        <v>150</v>
      </c>
      <c r="E681" s="2" t="s">
        <v>151</v>
      </c>
      <c r="F681" s="2" t="s">
        <v>40</v>
      </c>
      <c r="G681" s="2" t="s">
        <v>22</v>
      </c>
      <c r="H681" s="2" t="s">
        <v>23</v>
      </c>
      <c r="I681" s="2" t="s">
        <v>152</v>
      </c>
      <c r="J681" s="2">
        <v>1</v>
      </c>
      <c r="K681" s="2" t="s">
        <v>24</v>
      </c>
      <c r="L681" s="2">
        <v>634</v>
      </c>
      <c r="M681" s="2" t="s">
        <v>153</v>
      </c>
      <c r="N681" s="2">
        <v>190</v>
      </c>
      <c r="O681" s="2">
        <v>4207148.28</v>
      </c>
      <c r="P681" s="2">
        <v>22142.89</v>
      </c>
    </row>
    <row r="682" spans="1:16" outlineLevel="2" x14ac:dyDescent="0.2">
      <c r="A682" s="5">
        <v>46064</v>
      </c>
      <c r="B682" s="2">
        <v>156350</v>
      </c>
      <c r="C682" s="2">
        <v>2</v>
      </c>
      <c r="D682" s="2" t="s">
        <v>150</v>
      </c>
      <c r="E682" s="2" t="s">
        <v>151</v>
      </c>
      <c r="F682" s="2" t="s">
        <v>40</v>
      </c>
      <c r="G682" s="2" t="s">
        <v>22</v>
      </c>
      <c r="H682" s="2" t="s">
        <v>23</v>
      </c>
      <c r="I682" s="2" t="s">
        <v>23</v>
      </c>
      <c r="J682" s="2">
        <v>1</v>
      </c>
      <c r="K682" s="2" t="s">
        <v>24</v>
      </c>
      <c r="L682" s="2">
        <v>634</v>
      </c>
      <c r="M682" s="2" t="s">
        <v>153</v>
      </c>
      <c r="N682" s="2">
        <v>60</v>
      </c>
      <c r="O682" s="2">
        <v>1302123.8600000001</v>
      </c>
      <c r="P682" s="2">
        <v>21702.06</v>
      </c>
    </row>
    <row r="683" spans="1:16" outlineLevel="1" x14ac:dyDescent="0.2">
      <c r="A683" s="5"/>
      <c r="D683" s="3" t="s">
        <v>718</v>
      </c>
      <c r="N683" s="2">
        <f>SUBTOTAL(9,N681:N682)</f>
        <v>250</v>
      </c>
      <c r="O683" s="2">
        <f>SUBTOTAL(9,O681:O682)</f>
        <v>5509272.1400000006</v>
      </c>
    </row>
    <row r="684" spans="1:16" outlineLevel="2" x14ac:dyDescent="0.2">
      <c r="A684" s="5">
        <v>46045</v>
      </c>
      <c r="B684" s="2">
        <v>156351</v>
      </c>
      <c r="C684" s="2">
        <v>2</v>
      </c>
      <c r="D684" s="2" t="s">
        <v>38</v>
      </c>
      <c r="E684" s="2" t="s">
        <v>39</v>
      </c>
      <c r="F684" s="2" t="s">
        <v>290</v>
      </c>
      <c r="G684" s="2" t="s">
        <v>291</v>
      </c>
      <c r="H684" s="2" t="s">
        <v>23</v>
      </c>
      <c r="I684" s="2" t="s">
        <v>23</v>
      </c>
      <c r="J684" s="2">
        <v>40</v>
      </c>
      <c r="K684" s="2" t="s">
        <v>43</v>
      </c>
      <c r="L684" s="2">
        <v>2551</v>
      </c>
      <c r="M684" s="2" t="s">
        <v>292</v>
      </c>
      <c r="N684" s="2">
        <v>336</v>
      </c>
      <c r="O684" s="2">
        <v>9828149.1300000008</v>
      </c>
      <c r="P684" s="2">
        <v>29250.44</v>
      </c>
    </row>
    <row r="685" spans="1:16" outlineLevel="1" x14ac:dyDescent="0.2">
      <c r="A685" s="5"/>
      <c r="D685" s="3" t="s">
        <v>721</v>
      </c>
      <c r="N685" s="2">
        <f>SUBTOTAL(9,N684:N684)</f>
        <v>336</v>
      </c>
      <c r="O685" s="2">
        <f>SUBTOTAL(9,O684:O684)</f>
        <v>9828149.1300000008</v>
      </c>
    </row>
    <row r="686" spans="1:16" outlineLevel="2" x14ac:dyDescent="0.2">
      <c r="A686" s="5">
        <v>46045</v>
      </c>
      <c r="B686" s="2">
        <v>156354</v>
      </c>
      <c r="C686" s="2">
        <v>307</v>
      </c>
      <c r="D686" s="2" t="s">
        <v>45</v>
      </c>
      <c r="E686" s="2" t="s">
        <v>228</v>
      </c>
      <c r="F686" s="2" t="s">
        <v>55</v>
      </c>
      <c r="G686" s="2" t="s">
        <v>23</v>
      </c>
      <c r="H686" s="2" t="s">
        <v>23</v>
      </c>
      <c r="I686" s="2" t="s">
        <v>23</v>
      </c>
      <c r="J686" s="2">
        <v>2</v>
      </c>
      <c r="K686" s="2" t="s">
        <v>48</v>
      </c>
      <c r="L686" s="2">
        <v>1964</v>
      </c>
      <c r="M686" s="2" t="s">
        <v>49</v>
      </c>
      <c r="N686" s="2">
        <v>5</v>
      </c>
      <c r="O686" s="2">
        <v>185237.8</v>
      </c>
      <c r="P686" s="2">
        <v>37047.56</v>
      </c>
    </row>
    <row r="687" spans="1:16" outlineLevel="2" x14ac:dyDescent="0.2">
      <c r="A687" s="5">
        <v>46045</v>
      </c>
      <c r="B687" s="2">
        <v>156354</v>
      </c>
      <c r="C687" s="2">
        <v>315</v>
      </c>
      <c r="D687" s="2" t="s">
        <v>45</v>
      </c>
      <c r="E687" s="2" t="s">
        <v>125</v>
      </c>
      <c r="F687" s="2" t="s">
        <v>55</v>
      </c>
      <c r="G687" s="2" t="s">
        <v>23</v>
      </c>
      <c r="H687" s="2" t="s">
        <v>23</v>
      </c>
      <c r="I687" s="2" t="s">
        <v>23</v>
      </c>
      <c r="J687" s="2">
        <v>2</v>
      </c>
      <c r="K687" s="2" t="s">
        <v>48</v>
      </c>
      <c r="L687" s="2">
        <v>1964</v>
      </c>
      <c r="M687" s="2" t="s">
        <v>49</v>
      </c>
      <c r="N687" s="2">
        <v>30</v>
      </c>
      <c r="O687" s="2">
        <v>103312.5</v>
      </c>
      <c r="P687" s="2">
        <v>3443.75</v>
      </c>
    </row>
    <row r="688" spans="1:16" outlineLevel="2" x14ac:dyDescent="0.2">
      <c r="A688" s="5">
        <v>46048</v>
      </c>
      <c r="B688" s="2">
        <v>156354</v>
      </c>
      <c r="C688" s="2">
        <v>316</v>
      </c>
      <c r="D688" s="2" t="s">
        <v>45</v>
      </c>
      <c r="E688" s="2" t="s">
        <v>228</v>
      </c>
      <c r="F688" s="2" t="s">
        <v>55</v>
      </c>
      <c r="G688" s="2" t="s">
        <v>23</v>
      </c>
      <c r="H688" s="2" t="s">
        <v>23</v>
      </c>
      <c r="I688" s="2" t="s">
        <v>23</v>
      </c>
      <c r="J688" s="2">
        <v>41</v>
      </c>
      <c r="K688" s="2" t="s">
        <v>129</v>
      </c>
      <c r="L688" s="2">
        <v>1964</v>
      </c>
      <c r="M688" s="2" t="s">
        <v>49</v>
      </c>
      <c r="N688" s="2">
        <v>6</v>
      </c>
      <c r="O688" s="2">
        <v>121473.96</v>
      </c>
      <c r="P688" s="2">
        <v>20245.66</v>
      </c>
    </row>
    <row r="689" spans="1:16" outlineLevel="1" x14ac:dyDescent="0.2">
      <c r="A689" s="5"/>
      <c r="D689" s="3" t="s">
        <v>733</v>
      </c>
      <c r="N689" s="2">
        <f>SUBTOTAL(9,N686:N688)</f>
        <v>41</v>
      </c>
      <c r="O689" s="2">
        <f>SUBTOTAL(9,O686:O688)</f>
        <v>410024.26</v>
      </c>
    </row>
    <row r="690" spans="1:16" outlineLevel="2" x14ac:dyDescent="0.2">
      <c r="A690" s="5">
        <v>46048</v>
      </c>
      <c r="B690" s="2">
        <v>156364</v>
      </c>
      <c r="C690" s="2">
        <v>5</v>
      </c>
      <c r="D690" s="2" t="s">
        <v>54</v>
      </c>
      <c r="E690" s="2" t="s">
        <v>151</v>
      </c>
      <c r="F690" s="2" t="s">
        <v>55</v>
      </c>
      <c r="G690" s="2" t="s">
        <v>23</v>
      </c>
      <c r="H690" s="2" t="s">
        <v>23</v>
      </c>
      <c r="I690" s="2" t="s">
        <v>23</v>
      </c>
      <c r="J690" s="2">
        <v>2</v>
      </c>
      <c r="K690" s="2" t="s">
        <v>48</v>
      </c>
      <c r="L690" s="2">
        <v>912</v>
      </c>
      <c r="M690" s="2" t="s">
        <v>281</v>
      </c>
      <c r="N690" s="2">
        <v>2</v>
      </c>
      <c r="O690" s="2">
        <v>5954.07</v>
      </c>
      <c r="P690" s="2">
        <v>2977.04</v>
      </c>
    </row>
    <row r="691" spans="1:16" outlineLevel="1" x14ac:dyDescent="0.2">
      <c r="A691" s="5"/>
      <c r="D691" s="3" t="s">
        <v>719</v>
      </c>
      <c r="N691" s="2">
        <f>SUBTOTAL(9,N690:N690)</f>
        <v>2</v>
      </c>
      <c r="O691" s="2">
        <f>SUBTOTAL(9,O690:O690)</f>
        <v>5954.07</v>
      </c>
    </row>
    <row r="692" spans="1:16" outlineLevel="2" x14ac:dyDescent="0.2">
      <c r="A692" s="5">
        <v>46064</v>
      </c>
      <c r="B692" s="2">
        <v>156366</v>
      </c>
      <c r="C692" s="2">
        <v>1</v>
      </c>
      <c r="D692" s="2" t="s">
        <v>26</v>
      </c>
      <c r="E692" s="2" t="s">
        <v>55</v>
      </c>
      <c r="F692" s="2" t="s">
        <v>23</v>
      </c>
      <c r="G692" s="2" t="s">
        <v>23</v>
      </c>
      <c r="H692" s="2" t="s">
        <v>23</v>
      </c>
      <c r="I692" s="2" t="s">
        <v>23</v>
      </c>
      <c r="J692" s="2">
        <v>1</v>
      </c>
      <c r="K692" s="2" t="s">
        <v>24</v>
      </c>
      <c r="L692" s="2">
        <v>369</v>
      </c>
      <c r="M692" s="2" t="s">
        <v>293</v>
      </c>
      <c r="N692" s="2">
        <v>2</v>
      </c>
      <c r="O692" s="2">
        <v>9676.2199999999993</v>
      </c>
      <c r="P692" s="2">
        <v>4838.1099999999997</v>
      </c>
    </row>
    <row r="693" spans="1:16" outlineLevel="2" x14ac:dyDescent="0.2">
      <c r="A693" s="5">
        <v>46150</v>
      </c>
      <c r="B693" s="2">
        <v>156366</v>
      </c>
      <c r="C693" s="2">
        <v>300</v>
      </c>
      <c r="D693" s="2" t="s">
        <v>26</v>
      </c>
      <c r="E693" s="2" t="s">
        <v>55</v>
      </c>
      <c r="F693" s="2" t="s">
        <v>23</v>
      </c>
      <c r="G693" s="2" t="s">
        <v>23</v>
      </c>
      <c r="H693" s="2" t="s">
        <v>23</v>
      </c>
      <c r="I693" s="2" t="s">
        <v>23</v>
      </c>
      <c r="J693" s="2">
        <v>5</v>
      </c>
      <c r="K693" s="2" t="s">
        <v>27</v>
      </c>
      <c r="L693" s="2">
        <v>369</v>
      </c>
      <c r="M693" s="2" t="s">
        <v>293</v>
      </c>
      <c r="N693" s="2">
        <v>12</v>
      </c>
      <c r="O693" s="2">
        <v>69184.2</v>
      </c>
      <c r="P693" s="2">
        <v>5765.35</v>
      </c>
    </row>
    <row r="694" spans="1:16" outlineLevel="1" x14ac:dyDescent="0.2">
      <c r="A694" s="5"/>
      <c r="D694" s="3" t="s">
        <v>711</v>
      </c>
      <c r="N694" s="2">
        <f>SUBTOTAL(9,N692:N693)</f>
        <v>14</v>
      </c>
      <c r="O694" s="2">
        <f>SUBTOTAL(9,O692:O693)</f>
        <v>78860.42</v>
      </c>
    </row>
    <row r="695" spans="1:16" outlineLevel="2" x14ac:dyDescent="0.2">
      <c r="A695" s="5">
        <v>46050</v>
      </c>
      <c r="B695" s="2">
        <v>156367</v>
      </c>
      <c r="C695" s="2">
        <v>315</v>
      </c>
      <c r="D695" s="2" t="s">
        <v>45</v>
      </c>
      <c r="E695" s="2" t="s">
        <v>125</v>
      </c>
      <c r="F695" s="2" t="s">
        <v>55</v>
      </c>
      <c r="G695" s="2" t="s">
        <v>23</v>
      </c>
      <c r="H695" s="2" t="s">
        <v>23</v>
      </c>
      <c r="I695" s="2" t="s">
        <v>23</v>
      </c>
      <c r="J695" s="2">
        <v>2</v>
      </c>
      <c r="K695" s="2" t="s">
        <v>48</v>
      </c>
      <c r="L695" s="2">
        <v>341</v>
      </c>
      <c r="M695" s="2" t="s">
        <v>142</v>
      </c>
      <c r="N695" s="2">
        <v>9</v>
      </c>
      <c r="O695" s="2">
        <v>44061.91</v>
      </c>
      <c r="P695" s="2">
        <v>4895.7700000000004</v>
      </c>
    </row>
    <row r="696" spans="1:16" outlineLevel="1" x14ac:dyDescent="0.2">
      <c r="A696" s="5"/>
      <c r="D696" s="3" t="s">
        <v>733</v>
      </c>
      <c r="N696" s="2">
        <f>SUBTOTAL(9,N695:N695)</f>
        <v>9</v>
      </c>
      <c r="O696" s="2">
        <f>SUBTOTAL(9,O695:O695)</f>
        <v>44061.91</v>
      </c>
    </row>
    <row r="697" spans="1:16" outlineLevel="2" x14ac:dyDescent="0.2">
      <c r="A697" s="5">
        <v>46057</v>
      </c>
      <c r="B697" s="2">
        <v>156372</v>
      </c>
      <c r="C697" s="2">
        <v>315</v>
      </c>
      <c r="D697" s="2" t="s">
        <v>110</v>
      </c>
      <c r="E697" s="2" t="s">
        <v>111</v>
      </c>
      <c r="F697" s="2" t="s">
        <v>55</v>
      </c>
      <c r="G697" s="2" t="s">
        <v>23</v>
      </c>
      <c r="H697" s="2" t="s">
        <v>23</v>
      </c>
      <c r="I697" s="2" t="s">
        <v>23</v>
      </c>
      <c r="J697" s="2">
        <v>1</v>
      </c>
      <c r="K697" s="2" t="s">
        <v>24</v>
      </c>
      <c r="L697" s="2">
        <v>600</v>
      </c>
      <c r="M697" s="2" t="s">
        <v>112</v>
      </c>
      <c r="N697" s="2">
        <v>8</v>
      </c>
      <c r="O697" s="2">
        <v>15368.95</v>
      </c>
      <c r="P697" s="2">
        <v>1921.12</v>
      </c>
    </row>
    <row r="698" spans="1:16" outlineLevel="1" x14ac:dyDescent="0.2">
      <c r="A698" s="5"/>
      <c r="D698" s="3" t="s">
        <v>697</v>
      </c>
      <c r="N698" s="2">
        <f>SUBTOTAL(9,N697:N697)</f>
        <v>8</v>
      </c>
      <c r="O698" s="2">
        <f>SUBTOTAL(9,O697:O697)</f>
        <v>15368.95</v>
      </c>
    </row>
    <row r="699" spans="1:16" outlineLevel="2" x14ac:dyDescent="0.2">
      <c r="A699" s="5">
        <v>46050</v>
      </c>
      <c r="B699" s="2">
        <v>156373</v>
      </c>
      <c r="C699" s="2">
        <v>1</v>
      </c>
      <c r="D699" s="2" t="s">
        <v>140</v>
      </c>
      <c r="E699" s="2" t="s">
        <v>55</v>
      </c>
      <c r="F699" s="2" t="s">
        <v>23</v>
      </c>
      <c r="G699" s="2" t="s">
        <v>23</v>
      </c>
      <c r="H699" s="2" t="s">
        <v>23</v>
      </c>
      <c r="I699" s="2" t="s">
        <v>23</v>
      </c>
      <c r="J699" s="2">
        <v>1</v>
      </c>
      <c r="K699" s="2" t="s">
        <v>24</v>
      </c>
      <c r="L699" s="2">
        <v>1833</v>
      </c>
      <c r="M699" s="2" t="s">
        <v>142</v>
      </c>
      <c r="N699" s="2">
        <v>5</v>
      </c>
      <c r="O699" s="2">
        <v>115229.9</v>
      </c>
      <c r="P699" s="2">
        <v>23045.98</v>
      </c>
    </row>
    <row r="700" spans="1:16" outlineLevel="1" x14ac:dyDescent="0.2">
      <c r="A700" s="5"/>
      <c r="D700" s="3" t="s">
        <v>696</v>
      </c>
      <c r="N700" s="2">
        <f>SUBTOTAL(9,N699:N699)</f>
        <v>5</v>
      </c>
      <c r="O700" s="2">
        <f>SUBTOTAL(9,O699:O699)</f>
        <v>115229.9</v>
      </c>
    </row>
    <row r="701" spans="1:16" outlineLevel="2" x14ac:dyDescent="0.2">
      <c r="A701" s="5">
        <v>46044</v>
      </c>
      <c r="B701" s="2">
        <v>156377</v>
      </c>
      <c r="C701" s="2">
        <v>1</v>
      </c>
      <c r="D701" s="2" t="s">
        <v>54</v>
      </c>
      <c r="E701" s="2" t="s">
        <v>30</v>
      </c>
      <c r="F701" s="2" t="s">
        <v>47</v>
      </c>
      <c r="G701" s="2" t="s">
        <v>22</v>
      </c>
      <c r="H701" s="2" t="s">
        <v>23</v>
      </c>
      <c r="I701" s="2" t="s">
        <v>23</v>
      </c>
      <c r="J701" s="2">
        <v>1</v>
      </c>
      <c r="K701" s="2" t="s">
        <v>24</v>
      </c>
      <c r="L701" s="2">
        <v>626</v>
      </c>
      <c r="M701" s="2" t="s">
        <v>49</v>
      </c>
      <c r="N701" s="2">
        <v>1</v>
      </c>
      <c r="O701" s="2">
        <v>5310.63</v>
      </c>
      <c r="P701" s="2">
        <v>5310.63</v>
      </c>
    </row>
    <row r="702" spans="1:16" outlineLevel="2" x14ac:dyDescent="0.2">
      <c r="A702" s="5">
        <v>46052</v>
      </c>
      <c r="B702" s="2">
        <v>156377</v>
      </c>
      <c r="C702" s="2">
        <v>315</v>
      </c>
      <c r="D702" s="2" t="s">
        <v>54</v>
      </c>
      <c r="E702" s="2" t="s">
        <v>30</v>
      </c>
      <c r="F702" s="2" t="s">
        <v>55</v>
      </c>
      <c r="G702" s="2" t="s">
        <v>23</v>
      </c>
      <c r="H702" s="2" t="s">
        <v>23</v>
      </c>
      <c r="I702" s="2" t="s">
        <v>23</v>
      </c>
      <c r="J702" s="2">
        <v>2</v>
      </c>
      <c r="K702" s="2" t="s">
        <v>48</v>
      </c>
      <c r="L702" s="2">
        <v>600</v>
      </c>
      <c r="M702" s="2" t="s">
        <v>112</v>
      </c>
      <c r="N702" s="2">
        <v>29</v>
      </c>
      <c r="O702" s="2">
        <v>222073.99</v>
      </c>
      <c r="P702" s="2">
        <v>7657.72</v>
      </c>
    </row>
    <row r="703" spans="1:16" outlineLevel="1" x14ac:dyDescent="0.2">
      <c r="A703" s="5"/>
      <c r="D703" s="3" t="s">
        <v>719</v>
      </c>
      <c r="N703" s="2">
        <f>SUBTOTAL(9,N701:N702)</f>
        <v>30</v>
      </c>
      <c r="O703" s="2">
        <f>SUBTOTAL(9,O701:O702)</f>
        <v>227384.62</v>
      </c>
    </row>
    <row r="704" spans="1:16" outlineLevel="2" x14ac:dyDescent="0.2">
      <c r="A704" s="5">
        <v>46044</v>
      </c>
      <c r="B704" s="2">
        <v>156378</v>
      </c>
      <c r="C704" s="2">
        <v>1</v>
      </c>
      <c r="D704" s="2" t="s">
        <v>45</v>
      </c>
      <c r="E704" s="2" t="s">
        <v>46</v>
      </c>
      <c r="F704" s="2" t="s">
        <v>47</v>
      </c>
      <c r="G704" s="2" t="s">
        <v>22</v>
      </c>
      <c r="H704" s="2" t="s">
        <v>23</v>
      </c>
      <c r="I704" s="2" t="s">
        <v>23</v>
      </c>
      <c r="J704" s="2">
        <v>2</v>
      </c>
      <c r="K704" s="2" t="s">
        <v>48</v>
      </c>
      <c r="L704" s="2">
        <v>1876</v>
      </c>
      <c r="M704" s="2" t="s">
        <v>138</v>
      </c>
      <c r="N704" s="2">
        <v>12</v>
      </c>
      <c r="O704" s="2">
        <v>141203.01</v>
      </c>
      <c r="P704" s="2">
        <v>11766.92</v>
      </c>
    </row>
    <row r="705" spans="1:16" outlineLevel="1" x14ac:dyDescent="0.2">
      <c r="A705" s="5"/>
      <c r="D705" s="3" t="s">
        <v>733</v>
      </c>
      <c r="N705" s="2">
        <f>SUBTOTAL(9,N704:N704)</f>
        <v>12</v>
      </c>
      <c r="O705" s="2">
        <f>SUBTOTAL(9,O704:O704)</f>
        <v>141203.01</v>
      </c>
    </row>
    <row r="706" spans="1:16" outlineLevel="2" x14ac:dyDescent="0.2">
      <c r="A706" s="5">
        <v>46044</v>
      </c>
      <c r="B706" s="2">
        <v>156382</v>
      </c>
      <c r="C706" s="2">
        <v>1</v>
      </c>
      <c r="D706" s="2" t="s">
        <v>143</v>
      </c>
      <c r="E706" s="2" t="s">
        <v>23</v>
      </c>
      <c r="F706" s="2" t="s">
        <v>144</v>
      </c>
      <c r="G706" s="2" t="s">
        <v>22</v>
      </c>
      <c r="H706" s="2" t="s">
        <v>23</v>
      </c>
      <c r="I706" s="2" t="s">
        <v>23</v>
      </c>
      <c r="J706" s="2">
        <v>1</v>
      </c>
      <c r="K706" s="2" t="s">
        <v>24</v>
      </c>
      <c r="L706" s="2">
        <v>2101</v>
      </c>
      <c r="M706" s="2" t="s">
        <v>145</v>
      </c>
      <c r="N706" s="2">
        <v>41</v>
      </c>
      <c r="O706" s="2">
        <v>595425.18000000005</v>
      </c>
      <c r="P706" s="2">
        <v>14522.57</v>
      </c>
    </row>
    <row r="707" spans="1:16" outlineLevel="1" x14ac:dyDescent="0.2">
      <c r="A707" s="5"/>
      <c r="D707" s="3" t="s">
        <v>706</v>
      </c>
      <c r="N707" s="2">
        <f>SUBTOTAL(9,N706:N706)</f>
        <v>41</v>
      </c>
      <c r="O707" s="2">
        <f>SUBTOTAL(9,O706:O706)</f>
        <v>595425.18000000005</v>
      </c>
    </row>
    <row r="708" spans="1:16" outlineLevel="2" x14ac:dyDescent="0.2">
      <c r="A708" s="5">
        <v>46045</v>
      </c>
      <c r="B708" s="2">
        <v>156383</v>
      </c>
      <c r="C708" s="2">
        <v>1</v>
      </c>
      <c r="D708" s="2" t="s">
        <v>207</v>
      </c>
      <c r="E708" s="2" t="s">
        <v>23</v>
      </c>
      <c r="F708" s="2" t="s">
        <v>47</v>
      </c>
      <c r="G708" s="2" t="s">
        <v>22</v>
      </c>
      <c r="H708" s="2" t="s">
        <v>208</v>
      </c>
      <c r="I708" s="2" t="s">
        <v>23</v>
      </c>
      <c r="J708" s="2">
        <v>41</v>
      </c>
      <c r="K708" s="2" t="s">
        <v>129</v>
      </c>
      <c r="L708" s="2">
        <v>25213</v>
      </c>
      <c r="M708" s="2" t="s">
        <v>130</v>
      </c>
      <c r="N708" s="2">
        <v>50</v>
      </c>
      <c r="O708" s="2">
        <v>162853.5</v>
      </c>
      <c r="P708" s="2">
        <v>3257.07</v>
      </c>
    </row>
    <row r="709" spans="1:16" outlineLevel="1" x14ac:dyDescent="0.2">
      <c r="A709" s="5"/>
      <c r="D709" s="3" t="s">
        <v>699</v>
      </c>
      <c r="N709" s="2">
        <f>SUBTOTAL(9,N708:N708)</f>
        <v>50</v>
      </c>
      <c r="O709" s="2">
        <f>SUBTOTAL(9,O708:O708)</f>
        <v>162853.5</v>
      </c>
    </row>
    <row r="710" spans="1:16" outlineLevel="2" x14ac:dyDescent="0.2">
      <c r="A710" s="5">
        <v>46045</v>
      </c>
      <c r="B710" s="2">
        <v>156383</v>
      </c>
      <c r="C710" s="2">
        <v>2</v>
      </c>
      <c r="D710" s="2" t="s">
        <v>128</v>
      </c>
      <c r="E710" s="2" t="s">
        <v>23</v>
      </c>
      <c r="F710" s="2" t="s">
        <v>47</v>
      </c>
      <c r="G710" s="2" t="s">
        <v>22</v>
      </c>
      <c r="H710" s="2" t="s">
        <v>23</v>
      </c>
      <c r="I710" s="2" t="s">
        <v>23</v>
      </c>
      <c r="J710" s="2">
        <v>41</v>
      </c>
      <c r="K710" s="2" t="s">
        <v>129</v>
      </c>
      <c r="L710" s="2">
        <v>25213</v>
      </c>
      <c r="M710" s="2" t="s">
        <v>130</v>
      </c>
      <c r="N710" s="2">
        <v>25</v>
      </c>
      <c r="O710" s="2">
        <v>86093.75</v>
      </c>
      <c r="P710" s="2">
        <v>3443.75</v>
      </c>
    </row>
    <row r="711" spans="1:16" outlineLevel="1" x14ac:dyDescent="0.2">
      <c r="A711" s="5"/>
      <c r="D711" s="3" t="s">
        <v>732</v>
      </c>
      <c r="N711" s="2">
        <f>SUBTOTAL(9,N710:N710)</f>
        <v>25</v>
      </c>
      <c r="O711" s="2">
        <f>SUBTOTAL(9,O710:O710)</f>
        <v>86093.75</v>
      </c>
    </row>
    <row r="712" spans="1:16" outlineLevel="2" x14ac:dyDescent="0.2">
      <c r="A712" s="5">
        <v>46045</v>
      </c>
      <c r="B712" s="2">
        <v>156383</v>
      </c>
      <c r="C712" s="2">
        <v>3</v>
      </c>
      <c r="D712" s="2" t="s">
        <v>294</v>
      </c>
      <c r="E712" s="2" t="s">
        <v>23</v>
      </c>
      <c r="F712" s="2" t="s">
        <v>47</v>
      </c>
      <c r="G712" s="2" t="s">
        <v>22</v>
      </c>
      <c r="H712" s="2" t="s">
        <v>23</v>
      </c>
      <c r="I712" s="2" t="s">
        <v>23</v>
      </c>
      <c r="J712" s="2">
        <v>41</v>
      </c>
      <c r="K712" s="2" t="s">
        <v>129</v>
      </c>
      <c r="L712" s="2">
        <v>25213</v>
      </c>
      <c r="M712" s="2" t="s">
        <v>130</v>
      </c>
      <c r="N712" s="2">
        <v>25</v>
      </c>
      <c r="O712" s="2">
        <v>78252.98</v>
      </c>
      <c r="P712" s="2">
        <v>3130.12</v>
      </c>
    </row>
    <row r="713" spans="1:16" outlineLevel="1" x14ac:dyDescent="0.2">
      <c r="A713" s="5"/>
      <c r="D713" s="3" t="s">
        <v>740</v>
      </c>
      <c r="N713" s="2">
        <f>SUBTOTAL(9,N712:N712)</f>
        <v>25</v>
      </c>
      <c r="O713" s="2">
        <f>SUBTOTAL(9,O712:O712)</f>
        <v>78252.98</v>
      </c>
    </row>
    <row r="714" spans="1:16" outlineLevel="2" x14ac:dyDescent="0.2">
      <c r="A714" s="5">
        <v>46045</v>
      </c>
      <c r="B714" s="2">
        <v>156384</v>
      </c>
      <c r="C714" s="2">
        <v>1</v>
      </c>
      <c r="D714" s="2" t="s">
        <v>45</v>
      </c>
      <c r="E714" s="2" t="s">
        <v>295</v>
      </c>
      <c r="F714" s="2" t="s">
        <v>47</v>
      </c>
      <c r="G714" s="2" t="s">
        <v>22</v>
      </c>
      <c r="H714" s="2" t="s">
        <v>23</v>
      </c>
      <c r="I714" s="2" t="s">
        <v>23</v>
      </c>
      <c r="J714" s="2">
        <v>41</v>
      </c>
      <c r="K714" s="2" t="s">
        <v>129</v>
      </c>
      <c r="L714" s="2">
        <v>1964</v>
      </c>
      <c r="M714" s="2" t="s">
        <v>49</v>
      </c>
      <c r="N714" s="2">
        <v>30</v>
      </c>
      <c r="O714" s="2">
        <v>487889.48</v>
      </c>
      <c r="P714" s="2">
        <v>16262.98</v>
      </c>
    </row>
    <row r="715" spans="1:16" outlineLevel="1" x14ac:dyDescent="0.2">
      <c r="A715" s="5"/>
      <c r="D715" s="3" t="s">
        <v>733</v>
      </c>
      <c r="N715" s="2">
        <f>SUBTOTAL(9,N714:N714)</f>
        <v>30</v>
      </c>
      <c r="O715" s="2">
        <f>SUBTOTAL(9,O714:O714)</f>
        <v>487889.48</v>
      </c>
    </row>
    <row r="716" spans="1:16" outlineLevel="2" x14ac:dyDescent="0.2">
      <c r="A716" s="5">
        <v>46045</v>
      </c>
      <c r="B716" s="2">
        <v>156384</v>
      </c>
      <c r="C716" s="2">
        <v>2</v>
      </c>
      <c r="D716" s="2" t="s">
        <v>226</v>
      </c>
      <c r="E716" s="2" t="s">
        <v>227</v>
      </c>
      <c r="F716" s="2" t="s">
        <v>47</v>
      </c>
      <c r="G716" s="2" t="s">
        <v>22</v>
      </c>
      <c r="H716" s="2" t="s">
        <v>23</v>
      </c>
      <c r="I716" s="2" t="s">
        <v>23</v>
      </c>
      <c r="J716" s="2">
        <v>41</v>
      </c>
      <c r="K716" s="2" t="s">
        <v>129</v>
      </c>
      <c r="L716" s="2">
        <v>1964</v>
      </c>
      <c r="M716" s="2" t="s">
        <v>49</v>
      </c>
      <c r="N716" s="2">
        <v>30</v>
      </c>
      <c r="O716" s="2">
        <v>698846.89</v>
      </c>
      <c r="P716" s="2">
        <v>23294.9</v>
      </c>
    </row>
    <row r="717" spans="1:16" outlineLevel="1" x14ac:dyDescent="0.2">
      <c r="A717" s="5"/>
      <c r="D717" s="3" t="s">
        <v>736</v>
      </c>
      <c r="N717" s="2">
        <f>SUBTOTAL(9,N716:N716)</f>
        <v>30</v>
      </c>
      <c r="O717" s="2">
        <f>SUBTOTAL(9,O716:O716)</f>
        <v>698846.89</v>
      </c>
    </row>
    <row r="718" spans="1:16" outlineLevel="2" x14ac:dyDescent="0.2">
      <c r="A718" s="5">
        <v>46048</v>
      </c>
      <c r="B718" s="2">
        <v>156387</v>
      </c>
      <c r="C718" s="2">
        <v>1</v>
      </c>
      <c r="D718" s="2" t="s">
        <v>70</v>
      </c>
      <c r="E718" s="2" t="s">
        <v>23</v>
      </c>
      <c r="F718" s="2" t="s">
        <v>72</v>
      </c>
      <c r="G718" s="2" t="s">
        <v>22</v>
      </c>
      <c r="H718" s="2" t="s">
        <v>23</v>
      </c>
      <c r="I718" s="2" t="s">
        <v>23</v>
      </c>
      <c r="J718" s="2">
        <v>86</v>
      </c>
      <c r="K718" s="2" t="s">
        <v>73</v>
      </c>
      <c r="L718" s="2">
        <v>25073</v>
      </c>
      <c r="M718" s="2" t="s">
        <v>148</v>
      </c>
      <c r="N718" s="2">
        <v>162</v>
      </c>
      <c r="O718" s="2">
        <v>1639100.48</v>
      </c>
      <c r="P718" s="2">
        <v>10117.9</v>
      </c>
    </row>
    <row r="719" spans="1:16" outlineLevel="1" x14ac:dyDescent="0.2">
      <c r="A719" s="5"/>
      <c r="D719" s="3" t="s">
        <v>695</v>
      </c>
      <c r="N719" s="2">
        <f>SUBTOTAL(9,N718:N718)</f>
        <v>162</v>
      </c>
      <c r="O719" s="2">
        <f>SUBTOTAL(9,O718:O718)</f>
        <v>1639100.48</v>
      </c>
    </row>
    <row r="720" spans="1:16" outlineLevel="2" x14ac:dyDescent="0.2">
      <c r="A720" s="5">
        <v>46048</v>
      </c>
      <c r="B720" s="2">
        <v>156388</v>
      </c>
      <c r="C720" s="2">
        <v>2</v>
      </c>
      <c r="D720" s="2" t="s">
        <v>38</v>
      </c>
      <c r="E720" s="2" t="s">
        <v>39</v>
      </c>
      <c r="F720" s="2" t="s">
        <v>63</v>
      </c>
      <c r="G720" s="2" t="s">
        <v>22</v>
      </c>
      <c r="H720" s="2" t="s">
        <v>23</v>
      </c>
      <c r="I720" s="2" t="s">
        <v>135</v>
      </c>
      <c r="J720" s="2">
        <v>1</v>
      </c>
      <c r="K720" s="2" t="s">
        <v>24</v>
      </c>
      <c r="L720" s="2">
        <v>1846</v>
      </c>
      <c r="M720" s="2" t="s">
        <v>134</v>
      </c>
      <c r="N720" s="2">
        <v>270</v>
      </c>
      <c r="O720" s="2">
        <v>16258627.99</v>
      </c>
      <c r="P720" s="2">
        <v>60217.14</v>
      </c>
    </row>
    <row r="721" spans="1:16" outlineLevel="2" x14ac:dyDescent="0.2">
      <c r="A721" s="5">
        <v>46048</v>
      </c>
      <c r="B721" s="2">
        <v>156388</v>
      </c>
      <c r="C721" s="2">
        <v>3</v>
      </c>
      <c r="D721" s="2" t="s">
        <v>38</v>
      </c>
      <c r="E721" s="2" t="s">
        <v>39</v>
      </c>
      <c r="F721" s="2" t="s">
        <v>63</v>
      </c>
      <c r="G721" s="2" t="s">
        <v>22</v>
      </c>
      <c r="H721" s="2" t="s">
        <v>23</v>
      </c>
      <c r="I721" s="2" t="s">
        <v>133</v>
      </c>
      <c r="J721" s="2">
        <v>1</v>
      </c>
      <c r="K721" s="2" t="s">
        <v>24</v>
      </c>
      <c r="L721" s="2">
        <v>1846</v>
      </c>
      <c r="M721" s="2" t="s">
        <v>134</v>
      </c>
      <c r="N721" s="2">
        <v>384</v>
      </c>
      <c r="O721" s="2">
        <v>18733936.850000001</v>
      </c>
      <c r="P721" s="2">
        <v>48786.29</v>
      </c>
    </row>
    <row r="722" spans="1:16" outlineLevel="1" x14ac:dyDescent="0.2">
      <c r="A722" s="5"/>
      <c r="D722" s="3" t="s">
        <v>721</v>
      </c>
      <c r="N722" s="2">
        <f>SUBTOTAL(9,N720:N721)</f>
        <v>654</v>
      </c>
      <c r="O722" s="2">
        <f>SUBTOTAL(9,O720:O721)</f>
        <v>34992564.840000004</v>
      </c>
    </row>
    <row r="723" spans="1:16" outlineLevel="2" x14ac:dyDescent="0.2">
      <c r="A723" s="5">
        <v>46045</v>
      </c>
      <c r="B723" s="2">
        <v>156389</v>
      </c>
      <c r="C723" s="2">
        <v>1</v>
      </c>
      <c r="D723" s="2" t="s">
        <v>88</v>
      </c>
      <c r="E723" s="2" t="s">
        <v>235</v>
      </c>
      <c r="F723" s="2" t="s">
        <v>63</v>
      </c>
      <c r="G723" s="2" t="s">
        <v>22</v>
      </c>
      <c r="H723" s="2" t="s">
        <v>23</v>
      </c>
      <c r="I723" s="2" t="s">
        <v>23</v>
      </c>
      <c r="J723" s="2">
        <v>1</v>
      </c>
      <c r="K723" s="2" t="s">
        <v>24</v>
      </c>
      <c r="L723" s="2">
        <v>2104</v>
      </c>
      <c r="M723" s="2" t="s">
        <v>118</v>
      </c>
      <c r="N723" s="2">
        <v>473</v>
      </c>
      <c r="O723" s="2">
        <v>19394413.899999999</v>
      </c>
      <c r="P723" s="2">
        <v>41002.99</v>
      </c>
    </row>
    <row r="724" spans="1:16" outlineLevel="2" x14ac:dyDescent="0.2">
      <c r="A724" s="5">
        <v>46045</v>
      </c>
      <c r="B724" s="2">
        <v>156389</v>
      </c>
      <c r="C724" s="2">
        <v>2</v>
      </c>
      <c r="D724" s="2" t="s">
        <v>88</v>
      </c>
      <c r="E724" s="2" t="s">
        <v>23</v>
      </c>
      <c r="F724" s="2" t="s">
        <v>63</v>
      </c>
      <c r="G724" s="2" t="s">
        <v>22</v>
      </c>
      <c r="H724" s="2" t="s">
        <v>23</v>
      </c>
      <c r="I724" s="2" t="s">
        <v>23</v>
      </c>
      <c r="J724" s="2">
        <v>1</v>
      </c>
      <c r="K724" s="2" t="s">
        <v>24</v>
      </c>
      <c r="L724" s="2">
        <v>2104</v>
      </c>
      <c r="M724" s="2" t="s">
        <v>118</v>
      </c>
      <c r="N724" s="2">
        <v>384</v>
      </c>
      <c r="O724" s="2">
        <v>5146081.3099999996</v>
      </c>
      <c r="P724" s="2">
        <v>13401.25</v>
      </c>
    </row>
    <row r="725" spans="1:16" outlineLevel="1" x14ac:dyDescent="0.2">
      <c r="A725" s="5"/>
      <c r="D725" s="3" t="s">
        <v>698</v>
      </c>
      <c r="N725" s="2">
        <f>SUBTOTAL(9,N723:N724)</f>
        <v>857</v>
      </c>
      <c r="O725" s="2">
        <f>SUBTOTAL(9,O723:O724)</f>
        <v>24540495.209999997</v>
      </c>
    </row>
    <row r="726" spans="1:16" outlineLevel="2" x14ac:dyDescent="0.2">
      <c r="A726" s="5">
        <v>46045</v>
      </c>
      <c r="B726" s="2">
        <v>156389</v>
      </c>
      <c r="C726" s="2">
        <v>3</v>
      </c>
      <c r="D726" s="2" t="s">
        <v>107</v>
      </c>
      <c r="E726" s="2" t="s">
        <v>224</v>
      </c>
      <c r="F726" s="2" t="s">
        <v>63</v>
      </c>
      <c r="G726" s="2" t="s">
        <v>22</v>
      </c>
      <c r="H726" s="2" t="s">
        <v>23</v>
      </c>
      <c r="I726" s="2" t="s">
        <v>23</v>
      </c>
      <c r="J726" s="2">
        <v>1</v>
      </c>
      <c r="K726" s="2" t="s">
        <v>24</v>
      </c>
      <c r="L726" s="2">
        <v>2104</v>
      </c>
      <c r="M726" s="2" t="s">
        <v>118</v>
      </c>
      <c r="N726" s="2">
        <v>101</v>
      </c>
      <c r="O726" s="2">
        <v>1878658.38</v>
      </c>
      <c r="P726" s="2">
        <v>18600.580000000002</v>
      </c>
    </row>
    <row r="727" spans="1:16" outlineLevel="1" x14ac:dyDescent="0.2">
      <c r="A727" s="5"/>
      <c r="D727" s="3" t="s">
        <v>726</v>
      </c>
      <c r="N727" s="2">
        <f>SUBTOTAL(9,N726:N726)</f>
        <v>101</v>
      </c>
      <c r="O727" s="2">
        <f>SUBTOTAL(9,O726:O726)</f>
        <v>1878658.38</v>
      </c>
    </row>
    <row r="728" spans="1:16" outlineLevel="2" x14ac:dyDescent="0.2">
      <c r="A728" s="5">
        <v>46045</v>
      </c>
      <c r="B728" s="2">
        <v>156398</v>
      </c>
      <c r="C728" s="2">
        <v>1</v>
      </c>
      <c r="D728" s="2" t="s">
        <v>60</v>
      </c>
      <c r="E728" s="2" t="s">
        <v>253</v>
      </c>
      <c r="F728" s="2" t="s">
        <v>31</v>
      </c>
      <c r="G728" s="2" t="s">
        <v>22</v>
      </c>
      <c r="H728" s="2" t="s">
        <v>23</v>
      </c>
      <c r="I728" s="2" t="s">
        <v>23</v>
      </c>
      <c r="J728" s="2">
        <v>78</v>
      </c>
      <c r="K728" s="2" t="s">
        <v>212</v>
      </c>
      <c r="L728" s="2">
        <v>226</v>
      </c>
      <c r="M728" s="2" t="s">
        <v>59</v>
      </c>
      <c r="N728" s="2">
        <v>91</v>
      </c>
      <c r="O728" s="2">
        <v>1903227.89</v>
      </c>
      <c r="P728" s="2">
        <v>20914.59</v>
      </c>
    </row>
    <row r="729" spans="1:16" outlineLevel="1" x14ac:dyDescent="0.2">
      <c r="A729" s="5"/>
      <c r="D729" s="3" t="s">
        <v>728</v>
      </c>
      <c r="N729" s="2">
        <f>SUBTOTAL(9,N728:N728)</f>
        <v>91</v>
      </c>
      <c r="O729" s="2">
        <f>SUBTOTAL(9,O728:O728)</f>
        <v>1903227.89</v>
      </c>
    </row>
    <row r="730" spans="1:16" outlineLevel="2" x14ac:dyDescent="0.2">
      <c r="A730" s="5">
        <v>46057</v>
      </c>
      <c r="B730" s="2">
        <v>156401</v>
      </c>
      <c r="C730" s="2">
        <v>315</v>
      </c>
      <c r="D730" s="2" t="s">
        <v>45</v>
      </c>
      <c r="E730" s="2" t="s">
        <v>46</v>
      </c>
      <c r="F730" s="2" t="s">
        <v>55</v>
      </c>
      <c r="G730" s="2" t="s">
        <v>23</v>
      </c>
      <c r="H730" s="2" t="s">
        <v>23</v>
      </c>
      <c r="I730" s="2" t="s">
        <v>23</v>
      </c>
      <c r="J730" s="2">
        <v>2</v>
      </c>
      <c r="K730" s="2" t="s">
        <v>48</v>
      </c>
      <c r="L730" s="2">
        <v>341</v>
      </c>
      <c r="M730" s="2" t="s">
        <v>142</v>
      </c>
      <c r="N730" s="2">
        <v>11</v>
      </c>
      <c r="O730" s="2">
        <v>52752.49</v>
      </c>
      <c r="P730" s="2">
        <v>4795.68</v>
      </c>
    </row>
    <row r="731" spans="1:16" outlineLevel="2" x14ac:dyDescent="0.2">
      <c r="A731" s="5">
        <v>46050</v>
      </c>
      <c r="B731" s="2">
        <v>156407</v>
      </c>
      <c r="C731" s="2">
        <v>315</v>
      </c>
      <c r="D731" s="2" t="s">
        <v>45</v>
      </c>
      <c r="E731" s="2" t="s">
        <v>46</v>
      </c>
      <c r="F731" s="2" t="s">
        <v>55</v>
      </c>
      <c r="G731" s="2" t="s">
        <v>23</v>
      </c>
      <c r="H731" s="2" t="s">
        <v>23</v>
      </c>
      <c r="I731" s="2" t="s">
        <v>23</v>
      </c>
      <c r="J731" s="2">
        <v>2</v>
      </c>
      <c r="K731" s="2" t="s">
        <v>48</v>
      </c>
      <c r="L731" s="2">
        <v>1876</v>
      </c>
      <c r="M731" s="2" t="s">
        <v>138</v>
      </c>
      <c r="N731" s="2">
        <v>8</v>
      </c>
      <c r="O731" s="2">
        <v>46218.8</v>
      </c>
      <c r="P731" s="2">
        <v>5777.35</v>
      </c>
    </row>
    <row r="732" spans="1:16" outlineLevel="1" x14ac:dyDescent="0.2">
      <c r="A732" s="5"/>
      <c r="D732" s="3" t="s">
        <v>733</v>
      </c>
      <c r="N732" s="2">
        <f>SUBTOTAL(9,N730:N731)</f>
        <v>19</v>
      </c>
      <c r="O732" s="2">
        <f>SUBTOTAL(9,O730:O731)</f>
        <v>98971.290000000008</v>
      </c>
    </row>
    <row r="733" spans="1:16" outlineLevel="2" x14ac:dyDescent="0.2">
      <c r="A733" s="5">
        <v>46052</v>
      </c>
      <c r="B733" s="2">
        <v>156407</v>
      </c>
      <c r="C733" s="2">
        <v>325</v>
      </c>
      <c r="D733" s="2" t="s">
        <v>110</v>
      </c>
      <c r="E733" s="2" t="s">
        <v>111</v>
      </c>
      <c r="F733" s="2" t="s">
        <v>55</v>
      </c>
      <c r="G733" s="2" t="s">
        <v>23</v>
      </c>
      <c r="H733" s="2" t="s">
        <v>23</v>
      </c>
      <c r="I733" s="2" t="s">
        <v>23</v>
      </c>
      <c r="J733" s="2">
        <v>2</v>
      </c>
      <c r="K733" s="2" t="s">
        <v>48</v>
      </c>
      <c r="L733" s="2">
        <v>25095</v>
      </c>
      <c r="M733" s="2" t="s">
        <v>216</v>
      </c>
      <c r="N733" s="2">
        <v>2</v>
      </c>
      <c r="O733" s="2">
        <v>6887.5</v>
      </c>
      <c r="P733" s="2">
        <v>3443.75</v>
      </c>
    </row>
    <row r="734" spans="1:16" outlineLevel="1" x14ac:dyDescent="0.2">
      <c r="A734" s="5"/>
      <c r="D734" s="3" t="s">
        <v>697</v>
      </c>
      <c r="N734" s="2">
        <f>SUBTOTAL(9,N733:N733)</f>
        <v>2</v>
      </c>
      <c r="O734" s="2">
        <f>SUBTOTAL(9,O733:O733)</f>
        <v>6887.5</v>
      </c>
    </row>
    <row r="735" spans="1:16" outlineLevel="2" x14ac:dyDescent="0.2">
      <c r="A735" s="5">
        <v>46052</v>
      </c>
      <c r="B735" s="2">
        <v>156408</v>
      </c>
      <c r="C735" s="2">
        <v>315</v>
      </c>
      <c r="D735" s="2" t="s">
        <v>54</v>
      </c>
      <c r="E735" s="2" t="s">
        <v>30</v>
      </c>
      <c r="F735" s="2" t="s">
        <v>55</v>
      </c>
      <c r="G735" s="2" t="s">
        <v>23</v>
      </c>
      <c r="H735" s="2" t="s">
        <v>23</v>
      </c>
      <c r="I735" s="2" t="s">
        <v>23</v>
      </c>
      <c r="J735" s="2">
        <v>2</v>
      </c>
      <c r="K735" s="2" t="s">
        <v>48</v>
      </c>
      <c r="L735" s="2">
        <v>534</v>
      </c>
      <c r="M735" s="2" t="s">
        <v>241</v>
      </c>
      <c r="N735" s="2">
        <v>20</v>
      </c>
      <c r="O735" s="2">
        <v>180887.8</v>
      </c>
      <c r="P735" s="2">
        <v>9044.39</v>
      </c>
    </row>
    <row r="736" spans="1:16" outlineLevel="1" x14ac:dyDescent="0.2">
      <c r="A736" s="5"/>
      <c r="D736" s="3" t="s">
        <v>719</v>
      </c>
      <c r="N736" s="2">
        <f>SUBTOTAL(9,N735:N735)</f>
        <v>20</v>
      </c>
      <c r="O736" s="2">
        <f>SUBTOTAL(9,O735:O735)</f>
        <v>180887.8</v>
      </c>
    </row>
    <row r="737" spans="1:16" outlineLevel="2" x14ac:dyDescent="0.2">
      <c r="A737" s="5">
        <v>46050</v>
      </c>
      <c r="B737" s="2">
        <v>156412</v>
      </c>
      <c r="C737" s="2">
        <v>315</v>
      </c>
      <c r="D737" s="2" t="s">
        <v>45</v>
      </c>
      <c r="E737" s="2" t="s">
        <v>46</v>
      </c>
      <c r="F737" s="2" t="s">
        <v>55</v>
      </c>
      <c r="G737" s="2" t="s">
        <v>23</v>
      </c>
      <c r="H737" s="2" t="s">
        <v>23</v>
      </c>
      <c r="I737" s="2" t="s">
        <v>23</v>
      </c>
      <c r="J737" s="2">
        <v>2</v>
      </c>
      <c r="K737" s="2" t="s">
        <v>48</v>
      </c>
      <c r="L737" s="2">
        <v>1557</v>
      </c>
      <c r="M737" s="2" t="s">
        <v>98</v>
      </c>
      <c r="N737" s="2">
        <v>38</v>
      </c>
      <c r="O737" s="2">
        <v>166333.22</v>
      </c>
      <c r="P737" s="2">
        <v>4377.1899999999996</v>
      </c>
    </row>
    <row r="738" spans="1:16" outlineLevel="1" x14ac:dyDescent="0.2">
      <c r="A738" s="5"/>
      <c r="D738" s="3" t="s">
        <v>733</v>
      </c>
      <c r="N738" s="2">
        <f>SUBTOTAL(9,N737:N737)</f>
        <v>38</v>
      </c>
      <c r="O738" s="2">
        <f>SUBTOTAL(9,O737:O737)</f>
        <v>166333.22</v>
      </c>
    </row>
    <row r="739" spans="1:16" outlineLevel="2" x14ac:dyDescent="0.2">
      <c r="A739" s="5">
        <v>46050</v>
      </c>
      <c r="B739" s="2">
        <v>156414</v>
      </c>
      <c r="C739" s="2">
        <v>1</v>
      </c>
      <c r="D739" s="2" t="s">
        <v>140</v>
      </c>
      <c r="E739" s="2" t="s">
        <v>55</v>
      </c>
      <c r="F739" s="2" t="s">
        <v>23</v>
      </c>
      <c r="G739" s="2" t="s">
        <v>23</v>
      </c>
      <c r="H739" s="2" t="s">
        <v>23</v>
      </c>
      <c r="I739" s="2" t="s">
        <v>23</v>
      </c>
      <c r="J739" s="2">
        <v>1</v>
      </c>
      <c r="K739" s="2" t="s">
        <v>24</v>
      </c>
      <c r="L739" s="2">
        <v>1833</v>
      </c>
      <c r="M739" s="2" t="s">
        <v>142</v>
      </c>
      <c r="N739" s="2">
        <v>9</v>
      </c>
      <c r="O739" s="2">
        <v>126204.55</v>
      </c>
      <c r="P739" s="2">
        <v>14022.73</v>
      </c>
    </row>
    <row r="740" spans="1:16" outlineLevel="2" x14ac:dyDescent="0.2">
      <c r="A740" s="5">
        <v>46048</v>
      </c>
      <c r="B740" s="2">
        <v>156415</v>
      </c>
      <c r="C740" s="2">
        <v>1</v>
      </c>
      <c r="D740" s="2" t="s">
        <v>140</v>
      </c>
      <c r="E740" s="2" t="s">
        <v>141</v>
      </c>
      <c r="F740" s="2" t="s">
        <v>108</v>
      </c>
      <c r="G740" s="2" t="s">
        <v>22</v>
      </c>
      <c r="H740" s="2" t="s">
        <v>23</v>
      </c>
      <c r="I740" s="2" t="s">
        <v>23</v>
      </c>
      <c r="J740" s="2">
        <v>1</v>
      </c>
      <c r="K740" s="2" t="s">
        <v>24</v>
      </c>
      <c r="L740" s="2">
        <v>1833</v>
      </c>
      <c r="M740" s="2" t="s">
        <v>142</v>
      </c>
      <c r="N740" s="2">
        <v>51</v>
      </c>
      <c r="O740" s="2">
        <v>1079780.48</v>
      </c>
      <c r="P740" s="2">
        <v>21172.17</v>
      </c>
    </row>
    <row r="741" spans="1:16" outlineLevel="1" x14ac:dyDescent="0.2">
      <c r="A741" s="5"/>
      <c r="D741" s="3" t="s">
        <v>696</v>
      </c>
      <c r="N741" s="2">
        <f>SUBTOTAL(9,N739:N740)</f>
        <v>60</v>
      </c>
      <c r="O741" s="2">
        <f>SUBTOTAL(9,O739:O740)</f>
        <v>1205985.03</v>
      </c>
    </row>
    <row r="742" spans="1:16" outlineLevel="2" x14ac:dyDescent="0.2">
      <c r="A742" s="5">
        <v>46050</v>
      </c>
      <c r="B742" s="2">
        <v>156416</v>
      </c>
      <c r="C742" s="2">
        <v>1</v>
      </c>
      <c r="D742" s="2" t="s">
        <v>45</v>
      </c>
      <c r="E742" s="2" t="s">
        <v>125</v>
      </c>
      <c r="F742" s="2" t="s">
        <v>55</v>
      </c>
      <c r="G742" s="2" t="s">
        <v>23</v>
      </c>
      <c r="H742" s="2" t="s">
        <v>23</v>
      </c>
      <c r="I742" s="2" t="s">
        <v>23</v>
      </c>
      <c r="J742" s="2">
        <v>2</v>
      </c>
      <c r="K742" s="2" t="s">
        <v>48</v>
      </c>
      <c r="L742" s="2">
        <v>1557</v>
      </c>
      <c r="M742" s="2" t="s">
        <v>98</v>
      </c>
      <c r="N742" s="2">
        <v>14</v>
      </c>
      <c r="O742" s="2">
        <v>59413.78</v>
      </c>
      <c r="P742" s="2">
        <v>4243.84</v>
      </c>
    </row>
    <row r="743" spans="1:16" outlineLevel="1" x14ac:dyDescent="0.2">
      <c r="A743" s="5"/>
      <c r="D743" s="3" t="s">
        <v>733</v>
      </c>
      <c r="N743" s="2">
        <f>SUBTOTAL(9,N742:N742)</f>
        <v>14</v>
      </c>
      <c r="O743" s="2">
        <f>SUBTOTAL(9,O742:O742)</f>
        <v>59413.78</v>
      </c>
    </row>
    <row r="744" spans="1:16" outlineLevel="2" x14ac:dyDescent="0.2">
      <c r="A744" s="5">
        <v>46048</v>
      </c>
      <c r="B744" s="2">
        <v>156419</v>
      </c>
      <c r="C744" s="2">
        <v>1</v>
      </c>
      <c r="D744" s="2" t="s">
        <v>26</v>
      </c>
      <c r="E744" s="2" t="s">
        <v>51</v>
      </c>
      <c r="F744" s="2" t="s">
        <v>52</v>
      </c>
      <c r="G744" s="2" t="s">
        <v>22</v>
      </c>
      <c r="H744" s="2" t="s">
        <v>23</v>
      </c>
      <c r="I744" s="2" t="s">
        <v>23</v>
      </c>
      <c r="J744" s="2">
        <v>5</v>
      </c>
      <c r="K744" s="2" t="s">
        <v>27</v>
      </c>
      <c r="L744" s="2">
        <v>3048</v>
      </c>
      <c r="M744" s="2" t="s">
        <v>53</v>
      </c>
      <c r="N744" s="2">
        <v>40</v>
      </c>
      <c r="O744" s="2">
        <v>491396.49</v>
      </c>
      <c r="P744" s="2">
        <v>12284.91</v>
      </c>
    </row>
    <row r="745" spans="1:16" outlineLevel="1" x14ac:dyDescent="0.2">
      <c r="A745" s="5"/>
      <c r="D745" s="3" t="s">
        <v>711</v>
      </c>
      <c r="N745" s="2">
        <f>SUBTOTAL(9,N744:N744)</f>
        <v>40</v>
      </c>
      <c r="O745" s="2">
        <f>SUBTOTAL(9,O744:O744)</f>
        <v>491396.49</v>
      </c>
    </row>
    <row r="746" spans="1:16" outlineLevel="2" x14ac:dyDescent="0.2">
      <c r="A746" s="5">
        <v>46048</v>
      </c>
      <c r="B746" s="2">
        <v>156420</v>
      </c>
      <c r="C746" s="2">
        <v>1</v>
      </c>
      <c r="D746" s="2" t="s">
        <v>207</v>
      </c>
      <c r="E746" s="2" t="s">
        <v>23</v>
      </c>
      <c r="F746" s="2" t="s">
        <v>47</v>
      </c>
      <c r="G746" s="2" t="s">
        <v>210</v>
      </c>
      <c r="H746" s="2" t="s">
        <v>23</v>
      </c>
      <c r="I746" s="2" t="s">
        <v>23</v>
      </c>
      <c r="J746" s="2">
        <v>1</v>
      </c>
      <c r="K746" s="2" t="s">
        <v>24</v>
      </c>
      <c r="L746" s="2">
        <v>25213</v>
      </c>
      <c r="M746" s="2" t="s">
        <v>130</v>
      </c>
      <c r="N746" s="2">
        <v>2</v>
      </c>
      <c r="O746" s="2">
        <v>101164.84</v>
      </c>
      <c r="P746" s="2">
        <v>50582.42</v>
      </c>
    </row>
    <row r="747" spans="1:16" outlineLevel="1" x14ac:dyDescent="0.2">
      <c r="A747" s="5"/>
      <c r="D747" s="3" t="s">
        <v>699</v>
      </c>
      <c r="N747" s="2">
        <f>SUBTOTAL(9,N746:N746)</f>
        <v>2</v>
      </c>
      <c r="O747" s="2">
        <f>SUBTOTAL(9,O746:O746)</f>
        <v>101164.84</v>
      </c>
    </row>
    <row r="748" spans="1:16" outlineLevel="2" x14ac:dyDescent="0.2">
      <c r="A748" s="5">
        <v>46048</v>
      </c>
      <c r="B748" s="2">
        <v>156420</v>
      </c>
      <c r="C748" s="2">
        <v>2</v>
      </c>
      <c r="D748" s="2" t="s">
        <v>128</v>
      </c>
      <c r="E748" s="2" t="s">
        <v>23</v>
      </c>
      <c r="F748" s="2" t="s">
        <v>47</v>
      </c>
      <c r="G748" s="2" t="s">
        <v>22</v>
      </c>
      <c r="H748" s="2" t="s">
        <v>23</v>
      </c>
      <c r="I748" s="2" t="s">
        <v>23</v>
      </c>
      <c r="J748" s="2">
        <v>1</v>
      </c>
      <c r="K748" s="2" t="s">
        <v>24</v>
      </c>
      <c r="L748" s="2">
        <v>25213</v>
      </c>
      <c r="M748" s="2" t="s">
        <v>130</v>
      </c>
      <c r="N748" s="2">
        <v>2</v>
      </c>
      <c r="O748" s="2">
        <v>162771.81</v>
      </c>
      <c r="P748" s="2">
        <v>81385.91</v>
      </c>
    </row>
    <row r="749" spans="1:16" outlineLevel="2" x14ac:dyDescent="0.2">
      <c r="A749" s="5">
        <v>46048</v>
      </c>
      <c r="B749" s="2">
        <v>156420</v>
      </c>
      <c r="C749" s="2">
        <v>3</v>
      </c>
      <c r="D749" s="2" t="s">
        <v>128</v>
      </c>
      <c r="E749" s="2" t="s">
        <v>23</v>
      </c>
      <c r="F749" s="2" t="s">
        <v>47</v>
      </c>
      <c r="G749" s="2" t="s">
        <v>22</v>
      </c>
      <c r="H749" s="2" t="s">
        <v>23</v>
      </c>
      <c r="I749" s="2" t="s">
        <v>23</v>
      </c>
      <c r="J749" s="2">
        <v>41</v>
      </c>
      <c r="K749" s="2" t="s">
        <v>129</v>
      </c>
      <c r="L749" s="2">
        <v>25213</v>
      </c>
      <c r="M749" s="2" t="s">
        <v>130</v>
      </c>
      <c r="N749" s="2">
        <v>25</v>
      </c>
      <c r="O749" s="2">
        <v>83293.490000000005</v>
      </c>
      <c r="P749" s="2">
        <v>3331.74</v>
      </c>
    </row>
    <row r="750" spans="1:16" outlineLevel="1" x14ac:dyDescent="0.2">
      <c r="A750" s="5"/>
      <c r="D750" s="3" t="s">
        <v>732</v>
      </c>
      <c r="N750" s="2">
        <f>SUBTOTAL(9,N748:N749)</f>
        <v>27</v>
      </c>
      <c r="O750" s="2">
        <f>SUBTOTAL(9,O748:O749)</f>
        <v>246065.3</v>
      </c>
    </row>
    <row r="751" spans="1:16" outlineLevel="2" x14ac:dyDescent="0.2">
      <c r="A751" s="5">
        <v>46048</v>
      </c>
      <c r="B751" s="2">
        <v>156421</v>
      </c>
      <c r="C751" s="2">
        <v>1</v>
      </c>
      <c r="D751" s="2" t="s">
        <v>88</v>
      </c>
      <c r="E751" s="2" t="s">
        <v>275</v>
      </c>
      <c r="F751" s="2" t="s">
        <v>31</v>
      </c>
      <c r="G751" s="2" t="s">
        <v>22</v>
      </c>
      <c r="H751" s="2" t="s">
        <v>23</v>
      </c>
      <c r="I751" s="2" t="s">
        <v>90</v>
      </c>
      <c r="J751" s="2">
        <v>1</v>
      </c>
      <c r="K751" s="2" t="s">
        <v>24</v>
      </c>
      <c r="L751" s="2">
        <v>2355</v>
      </c>
      <c r="M751" s="2" t="s">
        <v>213</v>
      </c>
      <c r="N751" s="2">
        <v>507</v>
      </c>
      <c r="O751" s="2">
        <v>15605333.720000001</v>
      </c>
      <c r="P751" s="2">
        <v>30779.75</v>
      </c>
    </row>
    <row r="752" spans="1:16" outlineLevel="2" x14ac:dyDescent="0.2">
      <c r="A752" s="5">
        <v>46048</v>
      </c>
      <c r="B752" s="2">
        <v>156421</v>
      </c>
      <c r="C752" s="2">
        <v>3</v>
      </c>
      <c r="D752" s="2" t="s">
        <v>88</v>
      </c>
      <c r="E752" s="2" t="s">
        <v>296</v>
      </c>
      <c r="F752" s="2" t="s">
        <v>31</v>
      </c>
      <c r="G752" s="2" t="s">
        <v>22</v>
      </c>
      <c r="H752" s="2" t="s">
        <v>23</v>
      </c>
      <c r="I752" s="2" t="s">
        <v>169</v>
      </c>
      <c r="J752" s="2">
        <v>1</v>
      </c>
      <c r="K752" s="2" t="s">
        <v>24</v>
      </c>
      <c r="L752" s="2">
        <v>2355</v>
      </c>
      <c r="M752" s="2" t="s">
        <v>213</v>
      </c>
      <c r="N752" s="2">
        <v>168</v>
      </c>
      <c r="O752" s="2">
        <v>6808548.5099999998</v>
      </c>
      <c r="P752" s="2">
        <v>40527.07</v>
      </c>
    </row>
    <row r="753" spans="1:16" outlineLevel="1" x14ac:dyDescent="0.2">
      <c r="A753" s="5"/>
      <c r="D753" s="3" t="s">
        <v>698</v>
      </c>
      <c r="N753" s="2">
        <f>SUBTOTAL(9,N751:N752)</f>
        <v>675</v>
      </c>
      <c r="O753" s="2">
        <f>SUBTOTAL(9,O751:O752)</f>
        <v>22413882.23</v>
      </c>
    </row>
    <row r="754" spans="1:16" outlineLevel="2" x14ac:dyDescent="0.2">
      <c r="A754" s="5">
        <v>46048</v>
      </c>
      <c r="B754" s="2">
        <v>156422</v>
      </c>
      <c r="C754" s="2">
        <v>1</v>
      </c>
      <c r="D754" s="2" t="s">
        <v>143</v>
      </c>
      <c r="E754" s="2" t="s">
        <v>23</v>
      </c>
      <c r="F754" s="2" t="s">
        <v>144</v>
      </c>
      <c r="G754" s="2" t="s">
        <v>22</v>
      </c>
      <c r="H754" s="2" t="s">
        <v>23</v>
      </c>
      <c r="I754" s="2" t="s">
        <v>23</v>
      </c>
      <c r="J754" s="2">
        <v>1</v>
      </c>
      <c r="K754" s="2" t="s">
        <v>24</v>
      </c>
      <c r="L754" s="2">
        <v>2101</v>
      </c>
      <c r="M754" s="2" t="s">
        <v>145</v>
      </c>
      <c r="N754" s="2">
        <v>68</v>
      </c>
      <c r="O754" s="2">
        <v>735431.96</v>
      </c>
      <c r="P754" s="2">
        <v>10815.18</v>
      </c>
    </row>
    <row r="755" spans="1:16" outlineLevel="1" x14ac:dyDescent="0.2">
      <c r="A755" s="5"/>
      <c r="D755" s="3" t="s">
        <v>706</v>
      </c>
      <c r="N755" s="2">
        <f>SUBTOTAL(9,N754:N754)</f>
        <v>68</v>
      </c>
      <c r="O755" s="2">
        <f>SUBTOTAL(9,O754:O754)</f>
        <v>735431.96</v>
      </c>
    </row>
    <row r="756" spans="1:16" outlineLevel="2" x14ac:dyDescent="0.2">
      <c r="A756" s="5">
        <v>46048</v>
      </c>
      <c r="B756" s="2">
        <v>156423</v>
      </c>
      <c r="C756" s="2">
        <v>1</v>
      </c>
      <c r="D756" s="2" t="s">
        <v>297</v>
      </c>
      <c r="E756" s="2" t="s">
        <v>298</v>
      </c>
      <c r="F756" s="2" t="s">
        <v>47</v>
      </c>
      <c r="G756" s="2" t="s">
        <v>22</v>
      </c>
      <c r="H756" s="2" t="s">
        <v>23</v>
      </c>
      <c r="I756" s="2" t="s">
        <v>23</v>
      </c>
      <c r="J756" s="2">
        <v>2</v>
      </c>
      <c r="K756" s="2" t="s">
        <v>48</v>
      </c>
      <c r="L756" s="2">
        <v>1964</v>
      </c>
      <c r="M756" s="2" t="s">
        <v>49</v>
      </c>
      <c r="N756" s="2">
        <v>3</v>
      </c>
      <c r="O756" s="2">
        <v>39734.58</v>
      </c>
      <c r="P756" s="2">
        <v>13244.86</v>
      </c>
    </row>
    <row r="757" spans="1:16" outlineLevel="1" x14ac:dyDescent="0.2">
      <c r="A757" s="5"/>
      <c r="D757" s="3" t="s">
        <v>741</v>
      </c>
      <c r="N757" s="2">
        <f>SUBTOTAL(9,N756:N756)</f>
        <v>3</v>
      </c>
      <c r="O757" s="2">
        <f>SUBTOTAL(9,O756:O756)</f>
        <v>39734.58</v>
      </c>
    </row>
    <row r="758" spans="1:16" outlineLevel="2" x14ac:dyDescent="0.2">
      <c r="A758" s="5">
        <v>46048</v>
      </c>
      <c r="B758" s="2">
        <v>156423</v>
      </c>
      <c r="C758" s="2">
        <v>2</v>
      </c>
      <c r="D758" s="2" t="s">
        <v>299</v>
      </c>
      <c r="E758" s="2" t="s">
        <v>298</v>
      </c>
      <c r="F758" s="2" t="s">
        <v>47</v>
      </c>
      <c r="G758" s="2" t="s">
        <v>22</v>
      </c>
      <c r="H758" s="2" t="s">
        <v>23</v>
      </c>
      <c r="I758" s="2" t="s">
        <v>23</v>
      </c>
      <c r="J758" s="2">
        <v>2</v>
      </c>
      <c r="K758" s="2" t="s">
        <v>48</v>
      </c>
      <c r="L758" s="2">
        <v>1964</v>
      </c>
      <c r="M758" s="2" t="s">
        <v>49</v>
      </c>
      <c r="N758" s="2">
        <v>3</v>
      </c>
      <c r="O758" s="2">
        <v>39579.01</v>
      </c>
      <c r="P758" s="2">
        <v>13193</v>
      </c>
    </row>
    <row r="759" spans="1:16" outlineLevel="1" x14ac:dyDescent="0.2">
      <c r="A759" s="5"/>
      <c r="D759" s="3" t="s">
        <v>742</v>
      </c>
      <c r="N759" s="2">
        <f>SUBTOTAL(9,N758:N758)</f>
        <v>3</v>
      </c>
      <c r="O759" s="2">
        <f>SUBTOTAL(9,O758:O758)</f>
        <v>39579.01</v>
      </c>
    </row>
    <row r="760" spans="1:16" outlineLevel="2" x14ac:dyDescent="0.2">
      <c r="A760" s="5">
        <v>46048</v>
      </c>
      <c r="B760" s="2">
        <v>156423</v>
      </c>
      <c r="C760" s="2">
        <v>3</v>
      </c>
      <c r="D760" s="2" t="s">
        <v>300</v>
      </c>
      <c r="E760" s="2" t="s">
        <v>298</v>
      </c>
      <c r="F760" s="2" t="s">
        <v>47</v>
      </c>
      <c r="G760" s="2" t="s">
        <v>22</v>
      </c>
      <c r="H760" s="2" t="s">
        <v>23</v>
      </c>
      <c r="I760" s="2" t="s">
        <v>23</v>
      </c>
      <c r="J760" s="2">
        <v>2</v>
      </c>
      <c r="K760" s="2" t="s">
        <v>48</v>
      </c>
      <c r="L760" s="2">
        <v>1964</v>
      </c>
      <c r="M760" s="2" t="s">
        <v>49</v>
      </c>
      <c r="N760" s="2">
        <v>3</v>
      </c>
      <c r="O760" s="2">
        <v>47668.82</v>
      </c>
      <c r="P760" s="2">
        <v>15889.61</v>
      </c>
    </row>
    <row r="761" spans="1:16" outlineLevel="1" x14ac:dyDescent="0.2">
      <c r="A761" s="5"/>
      <c r="D761" s="3" t="s">
        <v>743</v>
      </c>
      <c r="N761" s="2">
        <f>SUBTOTAL(9,N760:N760)</f>
        <v>3</v>
      </c>
      <c r="O761" s="2">
        <f>SUBTOTAL(9,O760:O760)</f>
        <v>47668.82</v>
      </c>
    </row>
    <row r="762" spans="1:16" outlineLevel="2" x14ac:dyDescent="0.2">
      <c r="A762" s="5">
        <v>46048</v>
      </c>
      <c r="B762" s="2">
        <v>156423</v>
      </c>
      <c r="C762" s="2">
        <v>4</v>
      </c>
      <c r="D762" s="2" t="s">
        <v>301</v>
      </c>
      <c r="E762" s="2" t="s">
        <v>298</v>
      </c>
      <c r="F762" s="2" t="s">
        <v>47</v>
      </c>
      <c r="G762" s="2" t="s">
        <v>22</v>
      </c>
      <c r="H762" s="2" t="s">
        <v>23</v>
      </c>
      <c r="I762" s="2" t="s">
        <v>23</v>
      </c>
      <c r="J762" s="2">
        <v>2</v>
      </c>
      <c r="K762" s="2" t="s">
        <v>48</v>
      </c>
      <c r="L762" s="2">
        <v>1964</v>
      </c>
      <c r="M762" s="2" t="s">
        <v>49</v>
      </c>
      <c r="N762" s="2">
        <v>3</v>
      </c>
      <c r="O762" s="2">
        <v>49535.7</v>
      </c>
      <c r="P762" s="2">
        <v>16511.900000000001</v>
      </c>
    </row>
    <row r="763" spans="1:16" outlineLevel="2" x14ac:dyDescent="0.2">
      <c r="A763" s="5">
        <v>46048</v>
      </c>
      <c r="B763" s="2">
        <v>156423</v>
      </c>
      <c r="C763" s="2">
        <v>5</v>
      </c>
      <c r="D763" s="2" t="s">
        <v>301</v>
      </c>
      <c r="E763" s="2" t="s">
        <v>298</v>
      </c>
      <c r="F763" s="2" t="s">
        <v>47</v>
      </c>
      <c r="G763" s="2" t="s">
        <v>22</v>
      </c>
      <c r="H763" s="2" t="s">
        <v>23</v>
      </c>
      <c r="I763" s="2" t="s">
        <v>23</v>
      </c>
      <c r="J763" s="2">
        <v>2</v>
      </c>
      <c r="K763" s="2" t="s">
        <v>48</v>
      </c>
      <c r="L763" s="2">
        <v>1964</v>
      </c>
      <c r="M763" s="2" t="s">
        <v>49</v>
      </c>
      <c r="N763" s="2">
        <v>3</v>
      </c>
      <c r="O763" s="2">
        <v>37089.83</v>
      </c>
      <c r="P763" s="2">
        <v>12363.28</v>
      </c>
    </row>
    <row r="764" spans="1:16" outlineLevel="1" x14ac:dyDescent="0.2">
      <c r="A764" s="5"/>
      <c r="D764" s="3" t="s">
        <v>744</v>
      </c>
      <c r="N764" s="2">
        <f>SUBTOTAL(9,N762:N763)</f>
        <v>6</v>
      </c>
      <c r="O764" s="2">
        <f>SUBTOTAL(9,O762:O763)</f>
        <v>86625.53</v>
      </c>
    </row>
    <row r="765" spans="1:16" outlineLevel="2" x14ac:dyDescent="0.2">
      <c r="A765" s="5">
        <v>46048</v>
      </c>
      <c r="B765" s="2">
        <v>156423</v>
      </c>
      <c r="C765" s="2">
        <v>6</v>
      </c>
      <c r="D765" s="2" t="s">
        <v>302</v>
      </c>
      <c r="E765" s="2" t="s">
        <v>298</v>
      </c>
      <c r="F765" s="2" t="s">
        <v>47</v>
      </c>
      <c r="G765" s="2" t="s">
        <v>22</v>
      </c>
      <c r="H765" s="2" t="s">
        <v>23</v>
      </c>
      <c r="I765" s="2" t="s">
        <v>23</v>
      </c>
      <c r="J765" s="2">
        <v>2</v>
      </c>
      <c r="K765" s="2" t="s">
        <v>48</v>
      </c>
      <c r="L765" s="2">
        <v>1964</v>
      </c>
      <c r="M765" s="2" t="s">
        <v>49</v>
      </c>
      <c r="N765" s="2">
        <v>3</v>
      </c>
      <c r="O765" s="2">
        <v>38801.14</v>
      </c>
      <c r="P765" s="2">
        <v>12933.71</v>
      </c>
    </row>
    <row r="766" spans="1:16" outlineLevel="1" x14ac:dyDescent="0.2">
      <c r="A766" s="5"/>
      <c r="D766" s="3" t="s">
        <v>745</v>
      </c>
      <c r="N766" s="2">
        <f>SUBTOTAL(9,N765:N765)</f>
        <v>3</v>
      </c>
      <c r="O766" s="2">
        <f>SUBTOTAL(9,O765:O765)</f>
        <v>38801.14</v>
      </c>
    </row>
    <row r="767" spans="1:16" outlineLevel="2" x14ac:dyDescent="0.2">
      <c r="A767" s="5">
        <v>46048</v>
      </c>
      <c r="B767" s="2">
        <v>156423</v>
      </c>
      <c r="C767" s="2">
        <v>7</v>
      </c>
      <c r="D767" s="2" t="s">
        <v>303</v>
      </c>
      <c r="E767" s="2" t="s">
        <v>298</v>
      </c>
      <c r="F767" s="2" t="s">
        <v>47</v>
      </c>
      <c r="G767" s="2" t="s">
        <v>22</v>
      </c>
      <c r="H767" s="2" t="s">
        <v>23</v>
      </c>
      <c r="I767" s="2" t="s">
        <v>23</v>
      </c>
      <c r="J767" s="2">
        <v>2</v>
      </c>
      <c r="K767" s="2" t="s">
        <v>48</v>
      </c>
      <c r="L767" s="2">
        <v>1964</v>
      </c>
      <c r="M767" s="2" t="s">
        <v>49</v>
      </c>
      <c r="N767" s="2">
        <v>3</v>
      </c>
      <c r="O767" s="2">
        <v>41134.74</v>
      </c>
      <c r="P767" s="2">
        <v>13711.58</v>
      </c>
    </row>
    <row r="768" spans="1:16" outlineLevel="1" x14ac:dyDescent="0.2">
      <c r="A768" s="5"/>
      <c r="D768" s="3" t="s">
        <v>746</v>
      </c>
      <c r="N768" s="2">
        <f>SUBTOTAL(9,N767:N767)</f>
        <v>3</v>
      </c>
      <c r="O768" s="2">
        <f>SUBTOTAL(9,O767:O767)</f>
        <v>41134.74</v>
      </c>
    </row>
    <row r="769" spans="1:16" outlineLevel="2" x14ac:dyDescent="0.2">
      <c r="A769" s="5">
        <v>46048</v>
      </c>
      <c r="B769" s="2">
        <v>156423</v>
      </c>
      <c r="C769" s="2">
        <v>8</v>
      </c>
      <c r="D769" s="2" t="s">
        <v>304</v>
      </c>
      <c r="E769" s="2" t="s">
        <v>305</v>
      </c>
      <c r="F769" s="2" t="s">
        <v>47</v>
      </c>
      <c r="G769" s="2" t="s">
        <v>22</v>
      </c>
      <c r="H769" s="2" t="s">
        <v>23</v>
      </c>
      <c r="I769" s="2" t="s">
        <v>23</v>
      </c>
      <c r="J769" s="2">
        <v>2</v>
      </c>
      <c r="K769" s="2" t="s">
        <v>48</v>
      </c>
      <c r="L769" s="2">
        <v>1964</v>
      </c>
      <c r="M769" s="2" t="s">
        <v>49</v>
      </c>
      <c r="N769" s="2">
        <v>3</v>
      </c>
      <c r="O769" s="2">
        <v>43935.06</v>
      </c>
      <c r="P769" s="2">
        <v>14645.02</v>
      </c>
    </row>
    <row r="770" spans="1:16" outlineLevel="1" x14ac:dyDescent="0.2">
      <c r="A770" s="5"/>
      <c r="D770" s="3" t="s">
        <v>747</v>
      </c>
      <c r="N770" s="2">
        <f>SUBTOTAL(9,N769:N769)</f>
        <v>3</v>
      </c>
      <c r="O770" s="2">
        <f>SUBTOTAL(9,O769:O769)</f>
        <v>43935.06</v>
      </c>
    </row>
    <row r="771" spans="1:16" outlineLevel="2" x14ac:dyDescent="0.2">
      <c r="A771" s="5">
        <v>46048</v>
      </c>
      <c r="B771" s="2">
        <v>156423</v>
      </c>
      <c r="C771" s="2">
        <v>9</v>
      </c>
      <c r="D771" s="2" t="s">
        <v>45</v>
      </c>
      <c r="E771" s="2" t="s">
        <v>228</v>
      </c>
      <c r="F771" s="2" t="s">
        <v>47</v>
      </c>
      <c r="G771" s="2" t="s">
        <v>22</v>
      </c>
      <c r="H771" s="2" t="s">
        <v>23</v>
      </c>
      <c r="I771" s="2" t="s">
        <v>23</v>
      </c>
      <c r="J771" s="2">
        <v>41</v>
      </c>
      <c r="K771" s="2" t="s">
        <v>129</v>
      </c>
      <c r="L771" s="2">
        <v>1964</v>
      </c>
      <c r="M771" s="2" t="s">
        <v>49</v>
      </c>
      <c r="N771" s="2">
        <v>10</v>
      </c>
      <c r="O771" s="2">
        <v>282732.34000000003</v>
      </c>
      <c r="P771" s="2">
        <v>28273.23</v>
      </c>
    </row>
    <row r="772" spans="1:16" outlineLevel="1" x14ac:dyDescent="0.2">
      <c r="A772" s="5"/>
      <c r="D772" s="3" t="s">
        <v>733</v>
      </c>
      <c r="N772" s="2">
        <f>SUBTOTAL(9,N771:N771)</f>
        <v>10</v>
      </c>
      <c r="O772" s="2">
        <f>SUBTOTAL(9,O771:O771)</f>
        <v>282732.34000000003</v>
      </c>
    </row>
    <row r="773" spans="1:16" outlineLevel="2" x14ac:dyDescent="0.2">
      <c r="A773" s="5">
        <v>46048</v>
      </c>
      <c r="B773" s="2">
        <v>156423</v>
      </c>
      <c r="C773" s="2">
        <v>10</v>
      </c>
      <c r="D773" s="2" t="s">
        <v>226</v>
      </c>
      <c r="E773" s="2" t="s">
        <v>227</v>
      </c>
      <c r="F773" s="2" t="s">
        <v>47</v>
      </c>
      <c r="G773" s="2" t="s">
        <v>22</v>
      </c>
      <c r="H773" s="2" t="s">
        <v>23</v>
      </c>
      <c r="I773" s="2" t="s">
        <v>23</v>
      </c>
      <c r="J773" s="2">
        <v>41</v>
      </c>
      <c r="K773" s="2" t="s">
        <v>129</v>
      </c>
      <c r="L773" s="2">
        <v>1964</v>
      </c>
      <c r="M773" s="2" t="s">
        <v>49</v>
      </c>
      <c r="N773" s="2">
        <v>48</v>
      </c>
      <c r="O773" s="2">
        <v>1033398.68</v>
      </c>
      <c r="P773" s="2">
        <v>21529.14</v>
      </c>
    </row>
    <row r="774" spans="1:16" outlineLevel="1" x14ac:dyDescent="0.2">
      <c r="A774" s="5"/>
      <c r="D774" s="3" t="s">
        <v>736</v>
      </c>
      <c r="N774" s="2">
        <f>SUBTOTAL(9,N773:N773)</f>
        <v>48</v>
      </c>
      <c r="O774" s="2">
        <f>SUBTOTAL(9,O773:O773)</f>
        <v>1033398.68</v>
      </c>
    </row>
    <row r="775" spans="1:16" outlineLevel="2" x14ac:dyDescent="0.2">
      <c r="A775" s="5">
        <v>46048</v>
      </c>
      <c r="B775" s="2">
        <v>156423</v>
      </c>
      <c r="C775" s="2">
        <v>11</v>
      </c>
      <c r="D775" s="2" t="s">
        <v>45</v>
      </c>
      <c r="E775" s="2" t="s">
        <v>227</v>
      </c>
      <c r="F775" s="2" t="s">
        <v>47</v>
      </c>
      <c r="G775" s="2" t="s">
        <v>22</v>
      </c>
      <c r="H775" s="2" t="s">
        <v>23</v>
      </c>
      <c r="I775" s="2" t="s">
        <v>23</v>
      </c>
      <c r="J775" s="2">
        <v>41</v>
      </c>
      <c r="K775" s="2" t="s">
        <v>129</v>
      </c>
      <c r="L775" s="2">
        <v>1964</v>
      </c>
      <c r="M775" s="2" t="s">
        <v>49</v>
      </c>
      <c r="N775" s="2">
        <v>48</v>
      </c>
      <c r="O775" s="2">
        <v>671020.48</v>
      </c>
      <c r="P775" s="2">
        <v>13979.59</v>
      </c>
    </row>
    <row r="776" spans="1:16" outlineLevel="1" x14ac:dyDescent="0.2">
      <c r="A776" s="5"/>
      <c r="D776" s="3" t="s">
        <v>733</v>
      </c>
      <c r="N776" s="2">
        <f>SUBTOTAL(9,N775:N775)</f>
        <v>48</v>
      </c>
      <c r="O776" s="2">
        <f>SUBTOTAL(9,O775:O775)</f>
        <v>671020.48</v>
      </c>
    </row>
    <row r="777" spans="1:16" outlineLevel="2" x14ac:dyDescent="0.2">
      <c r="A777" s="5">
        <v>46048</v>
      </c>
      <c r="B777" s="2">
        <v>156423</v>
      </c>
      <c r="C777" s="2">
        <v>12</v>
      </c>
      <c r="D777" s="2" t="s">
        <v>226</v>
      </c>
      <c r="E777" s="2" t="s">
        <v>151</v>
      </c>
      <c r="F777" s="2" t="s">
        <v>47</v>
      </c>
      <c r="G777" s="2" t="s">
        <v>22</v>
      </c>
      <c r="H777" s="2" t="s">
        <v>23</v>
      </c>
      <c r="I777" s="2" t="s">
        <v>23</v>
      </c>
      <c r="J777" s="2">
        <v>2</v>
      </c>
      <c r="K777" s="2" t="s">
        <v>48</v>
      </c>
      <c r="L777" s="2">
        <v>1964</v>
      </c>
      <c r="M777" s="2" t="s">
        <v>49</v>
      </c>
      <c r="N777" s="2">
        <v>24</v>
      </c>
      <c r="O777" s="2">
        <v>329077.92</v>
      </c>
      <c r="P777" s="2">
        <v>13711.58</v>
      </c>
    </row>
    <row r="778" spans="1:16" outlineLevel="1" x14ac:dyDescent="0.2">
      <c r="A778" s="5"/>
      <c r="D778" s="3" t="s">
        <v>736</v>
      </c>
      <c r="N778" s="2">
        <f>SUBTOTAL(9,N777:N777)</f>
        <v>24</v>
      </c>
      <c r="O778" s="2">
        <f>SUBTOTAL(9,O777:O777)</f>
        <v>329077.92</v>
      </c>
    </row>
    <row r="779" spans="1:16" outlineLevel="2" x14ac:dyDescent="0.2">
      <c r="A779" s="5">
        <v>46092</v>
      </c>
      <c r="B779" s="2">
        <v>156425</v>
      </c>
      <c r="C779" s="2">
        <v>310</v>
      </c>
      <c r="D779" s="2" t="s">
        <v>110</v>
      </c>
      <c r="E779" s="2" t="s">
        <v>111</v>
      </c>
      <c r="F779" s="2" t="s">
        <v>55</v>
      </c>
      <c r="G779" s="2" t="s">
        <v>22</v>
      </c>
      <c r="H779" s="2" t="s">
        <v>23</v>
      </c>
      <c r="I779" s="2" t="s">
        <v>23</v>
      </c>
      <c r="J779" s="2">
        <v>2</v>
      </c>
      <c r="K779" s="2" t="s">
        <v>48</v>
      </c>
      <c r="L779" s="2">
        <v>626</v>
      </c>
      <c r="M779" s="2" t="s">
        <v>49</v>
      </c>
      <c r="N779" s="2">
        <v>3</v>
      </c>
      <c r="O779" s="2">
        <v>9380.43</v>
      </c>
      <c r="P779" s="2">
        <v>3126.81</v>
      </c>
    </row>
    <row r="780" spans="1:16" outlineLevel="1" x14ac:dyDescent="0.2">
      <c r="A780" s="5"/>
      <c r="D780" s="3" t="s">
        <v>697</v>
      </c>
      <c r="N780" s="2">
        <f>SUBTOTAL(9,N779:N779)</f>
        <v>3</v>
      </c>
      <c r="O780" s="2">
        <f>SUBTOTAL(9,O779:O779)</f>
        <v>9380.43</v>
      </c>
    </row>
    <row r="781" spans="1:16" outlineLevel="2" x14ac:dyDescent="0.2">
      <c r="A781" s="5">
        <v>46052</v>
      </c>
      <c r="B781" s="2">
        <v>156425</v>
      </c>
      <c r="C781" s="2">
        <v>325</v>
      </c>
      <c r="D781" s="2" t="s">
        <v>203</v>
      </c>
      <c r="E781" s="2" t="s">
        <v>125</v>
      </c>
      <c r="F781" s="2" t="s">
        <v>55</v>
      </c>
      <c r="G781" s="2" t="s">
        <v>23</v>
      </c>
      <c r="H781" s="2" t="s">
        <v>23</v>
      </c>
      <c r="I781" s="2" t="s">
        <v>23</v>
      </c>
      <c r="J781" s="2">
        <v>2</v>
      </c>
      <c r="K781" s="2" t="s">
        <v>48</v>
      </c>
      <c r="L781" s="2">
        <v>626</v>
      </c>
      <c r="M781" s="2" t="s">
        <v>49</v>
      </c>
      <c r="N781" s="2">
        <v>7</v>
      </c>
      <c r="O781" s="2">
        <v>27344.34</v>
      </c>
      <c r="P781" s="2">
        <v>3906.33</v>
      </c>
    </row>
    <row r="782" spans="1:16" outlineLevel="1" x14ac:dyDescent="0.2">
      <c r="A782" s="5"/>
      <c r="D782" s="3" t="s">
        <v>735</v>
      </c>
      <c r="N782" s="2">
        <f>SUBTOTAL(9,N781:N781)</f>
        <v>7</v>
      </c>
      <c r="O782" s="2">
        <f>SUBTOTAL(9,O781:O781)</f>
        <v>27344.34</v>
      </c>
    </row>
    <row r="783" spans="1:16" outlineLevel="2" x14ac:dyDescent="0.2">
      <c r="A783" s="5">
        <v>46052</v>
      </c>
      <c r="B783" s="2">
        <v>156425</v>
      </c>
      <c r="C783" s="2">
        <v>326</v>
      </c>
      <c r="D783" s="2" t="s">
        <v>110</v>
      </c>
      <c r="E783" s="2" t="s">
        <v>111</v>
      </c>
      <c r="F783" s="2" t="s">
        <v>55</v>
      </c>
      <c r="G783" s="2" t="s">
        <v>23</v>
      </c>
      <c r="H783" s="2" t="s">
        <v>23</v>
      </c>
      <c r="I783" s="2" t="s">
        <v>23</v>
      </c>
      <c r="J783" s="2">
        <v>2</v>
      </c>
      <c r="K783" s="2" t="s">
        <v>48</v>
      </c>
      <c r="L783" s="2">
        <v>626</v>
      </c>
      <c r="M783" s="2" t="s">
        <v>49</v>
      </c>
      <c r="N783" s="2">
        <v>1</v>
      </c>
      <c r="O783" s="2">
        <v>3443.75</v>
      </c>
      <c r="P783" s="2">
        <v>3443.75</v>
      </c>
    </row>
    <row r="784" spans="1:16" outlineLevel="1" x14ac:dyDescent="0.2">
      <c r="A784" s="5"/>
      <c r="D784" s="3" t="s">
        <v>697</v>
      </c>
      <c r="N784" s="2">
        <f>SUBTOTAL(9,N783:N783)</f>
        <v>1</v>
      </c>
      <c r="O784" s="2">
        <f>SUBTOTAL(9,O783:O783)</f>
        <v>3443.75</v>
      </c>
    </row>
    <row r="785" spans="1:16" outlineLevel="2" x14ac:dyDescent="0.2">
      <c r="A785" s="5">
        <v>46050</v>
      </c>
      <c r="B785" s="2">
        <v>156427</v>
      </c>
      <c r="C785" s="2">
        <v>1</v>
      </c>
      <c r="D785" s="2" t="s">
        <v>306</v>
      </c>
      <c r="E785" s="2" t="s">
        <v>250</v>
      </c>
      <c r="F785" s="2" t="s">
        <v>55</v>
      </c>
      <c r="G785" s="2" t="s">
        <v>22</v>
      </c>
      <c r="H785" s="2" t="s">
        <v>23</v>
      </c>
      <c r="I785" s="2" t="s">
        <v>23</v>
      </c>
      <c r="J785" s="2">
        <v>1</v>
      </c>
      <c r="K785" s="2" t="s">
        <v>24</v>
      </c>
      <c r="L785" s="2">
        <v>25177</v>
      </c>
      <c r="M785" s="2" t="s">
        <v>32</v>
      </c>
      <c r="N785" s="2">
        <v>261</v>
      </c>
      <c r="O785" s="2">
        <v>3164988.39</v>
      </c>
      <c r="P785" s="2">
        <v>12126.39</v>
      </c>
    </row>
    <row r="786" spans="1:16" outlineLevel="1" x14ac:dyDescent="0.2">
      <c r="A786" s="5"/>
      <c r="D786" s="3" t="s">
        <v>748</v>
      </c>
      <c r="N786" s="2">
        <f>SUBTOTAL(9,N785:N785)</f>
        <v>261</v>
      </c>
      <c r="O786" s="2">
        <f>SUBTOTAL(9,O785:O785)</f>
        <v>3164988.39</v>
      </c>
    </row>
    <row r="787" spans="1:16" outlineLevel="2" x14ac:dyDescent="0.2">
      <c r="A787" s="5">
        <v>46055</v>
      </c>
      <c r="B787" s="2">
        <v>156428</v>
      </c>
      <c r="C787" s="2">
        <v>1</v>
      </c>
      <c r="D787" s="2" t="s">
        <v>175</v>
      </c>
      <c r="E787" s="2" t="s">
        <v>23</v>
      </c>
      <c r="F787" s="2" t="s">
        <v>40</v>
      </c>
      <c r="G787" s="2" t="s">
        <v>22</v>
      </c>
      <c r="H787" s="2" t="s">
        <v>23</v>
      </c>
      <c r="I787" s="2" t="s">
        <v>23</v>
      </c>
      <c r="J787" s="2">
        <v>5</v>
      </c>
      <c r="K787" s="2" t="s">
        <v>27</v>
      </c>
      <c r="L787" s="2">
        <v>2521</v>
      </c>
      <c r="M787" s="2" t="s">
        <v>82</v>
      </c>
      <c r="N787" s="2">
        <v>38</v>
      </c>
      <c r="O787" s="2">
        <v>909130.48</v>
      </c>
      <c r="P787" s="2">
        <v>23924.49</v>
      </c>
    </row>
    <row r="788" spans="1:16" outlineLevel="1" x14ac:dyDescent="0.2">
      <c r="A788" s="5"/>
      <c r="D788" s="3" t="s">
        <v>725</v>
      </c>
      <c r="N788" s="2">
        <f>SUBTOTAL(9,N787:N787)</f>
        <v>38</v>
      </c>
      <c r="O788" s="2">
        <f>SUBTOTAL(9,O787:O787)</f>
        <v>909130.48</v>
      </c>
    </row>
    <row r="789" spans="1:16" outlineLevel="2" x14ac:dyDescent="0.2">
      <c r="A789" s="5">
        <v>46048</v>
      </c>
      <c r="B789" s="2">
        <v>156428</v>
      </c>
      <c r="C789" s="2">
        <v>3</v>
      </c>
      <c r="D789" s="2" t="s">
        <v>271</v>
      </c>
      <c r="E789" s="2" t="s">
        <v>23</v>
      </c>
      <c r="F789" s="2" t="s">
        <v>40</v>
      </c>
      <c r="G789" s="2" t="s">
        <v>22</v>
      </c>
      <c r="H789" s="2" t="s">
        <v>23</v>
      </c>
      <c r="I789" s="2" t="s">
        <v>23</v>
      </c>
      <c r="J789" s="2">
        <v>5</v>
      </c>
      <c r="K789" s="2" t="s">
        <v>27</v>
      </c>
      <c r="L789" s="2">
        <v>2521</v>
      </c>
      <c r="M789" s="2" t="s">
        <v>82</v>
      </c>
      <c r="N789" s="2">
        <v>130</v>
      </c>
      <c r="O789" s="2">
        <v>3317781.06</v>
      </c>
      <c r="P789" s="2">
        <v>25521.39</v>
      </c>
    </row>
    <row r="790" spans="1:16" outlineLevel="1" x14ac:dyDescent="0.2">
      <c r="A790" s="5"/>
      <c r="D790" s="3" t="s">
        <v>738</v>
      </c>
      <c r="N790" s="2">
        <f>SUBTOTAL(9,N789:N789)</f>
        <v>130</v>
      </c>
      <c r="O790" s="2">
        <f>SUBTOTAL(9,O789:O789)</f>
        <v>3317781.06</v>
      </c>
    </row>
    <row r="791" spans="1:16" outlineLevel="2" x14ac:dyDescent="0.2">
      <c r="A791" s="5">
        <v>46048</v>
      </c>
      <c r="B791" s="2">
        <v>156432</v>
      </c>
      <c r="C791" s="2">
        <v>315</v>
      </c>
      <c r="D791" s="2" t="s">
        <v>45</v>
      </c>
      <c r="E791" s="2" t="s">
        <v>228</v>
      </c>
      <c r="F791" s="2" t="s">
        <v>55</v>
      </c>
      <c r="G791" s="2" t="s">
        <v>23</v>
      </c>
      <c r="H791" s="2" t="s">
        <v>23</v>
      </c>
      <c r="I791" s="2" t="s">
        <v>23</v>
      </c>
      <c r="J791" s="2">
        <v>41</v>
      </c>
      <c r="K791" s="2" t="s">
        <v>129</v>
      </c>
      <c r="L791" s="2">
        <v>1964</v>
      </c>
      <c r="M791" s="2" t="s">
        <v>49</v>
      </c>
      <c r="N791" s="2">
        <v>6</v>
      </c>
      <c r="O791" s="2">
        <v>121473.96</v>
      </c>
      <c r="P791" s="2">
        <v>20245.66</v>
      </c>
    </row>
    <row r="792" spans="1:16" outlineLevel="2" x14ac:dyDescent="0.2">
      <c r="A792" s="5">
        <v>46048</v>
      </c>
      <c r="B792" s="2">
        <v>156432</v>
      </c>
      <c r="C792" s="2">
        <v>316</v>
      </c>
      <c r="D792" s="2" t="s">
        <v>45</v>
      </c>
      <c r="E792" s="2" t="s">
        <v>228</v>
      </c>
      <c r="F792" s="2" t="s">
        <v>55</v>
      </c>
      <c r="G792" s="2" t="s">
        <v>23</v>
      </c>
      <c r="H792" s="2" t="s">
        <v>23</v>
      </c>
      <c r="I792" s="2" t="s">
        <v>23</v>
      </c>
      <c r="J792" s="2">
        <v>2</v>
      </c>
      <c r="K792" s="2" t="s">
        <v>48</v>
      </c>
      <c r="L792" s="2">
        <v>1964</v>
      </c>
      <c r="M792" s="2" t="s">
        <v>49</v>
      </c>
      <c r="N792" s="2">
        <v>15</v>
      </c>
      <c r="O792" s="2">
        <v>553846.52</v>
      </c>
      <c r="P792" s="2">
        <v>36923.1</v>
      </c>
    </row>
    <row r="793" spans="1:16" outlineLevel="1" x14ac:dyDescent="0.2">
      <c r="A793" s="5"/>
      <c r="D793" s="3" t="s">
        <v>733</v>
      </c>
      <c r="N793" s="2">
        <f>SUBTOTAL(9,N791:N792)</f>
        <v>21</v>
      </c>
      <c r="O793" s="2">
        <f>SUBTOTAL(9,O791:O792)</f>
        <v>675320.48</v>
      </c>
    </row>
    <row r="794" spans="1:16" outlineLevel="2" x14ac:dyDescent="0.2">
      <c r="A794" s="5">
        <v>46052</v>
      </c>
      <c r="B794" s="2">
        <v>156440</v>
      </c>
      <c r="C794" s="2">
        <v>1</v>
      </c>
      <c r="D794" s="2" t="s">
        <v>54</v>
      </c>
      <c r="E794" s="2" t="s">
        <v>30</v>
      </c>
      <c r="F794" s="2" t="s">
        <v>55</v>
      </c>
      <c r="G794" s="2" t="s">
        <v>23</v>
      </c>
      <c r="H794" s="2" t="s">
        <v>23</v>
      </c>
      <c r="I794" s="2" t="s">
        <v>23</v>
      </c>
      <c r="J794" s="2">
        <v>2</v>
      </c>
      <c r="K794" s="2" t="s">
        <v>48</v>
      </c>
      <c r="L794" s="2">
        <v>534</v>
      </c>
      <c r="M794" s="2" t="s">
        <v>241</v>
      </c>
      <c r="N794" s="2">
        <v>16</v>
      </c>
      <c r="O794" s="2">
        <v>142843.35999999999</v>
      </c>
      <c r="P794" s="2">
        <v>8927.7099999999991</v>
      </c>
    </row>
    <row r="795" spans="1:16" outlineLevel="1" x14ac:dyDescent="0.2">
      <c r="A795" s="5"/>
      <c r="D795" s="3" t="s">
        <v>719</v>
      </c>
      <c r="N795" s="2">
        <f>SUBTOTAL(9,N794:N794)</f>
        <v>16</v>
      </c>
      <c r="O795" s="2">
        <f>SUBTOTAL(9,O794:O794)</f>
        <v>142843.35999999999</v>
      </c>
    </row>
    <row r="796" spans="1:16" outlineLevel="2" x14ac:dyDescent="0.2">
      <c r="A796" s="5">
        <v>46050</v>
      </c>
      <c r="B796" s="2">
        <v>156450</v>
      </c>
      <c r="C796" s="2">
        <v>1</v>
      </c>
      <c r="D796" s="2" t="s">
        <v>45</v>
      </c>
      <c r="E796" s="2" t="s">
        <v>46</v>
      </c>
      <c r="F796" s="2" t="s">
        <v>55</v>
      </c>
      <c r="G796" s="2" t="s">
        <v>23</v>
      </c>
      <c r="H796" s="2" t="s">
        <v>23</v>
      </c>
      <c r="I796" s="2" t="s">
        <v>23</v>
      </c>
      <c r="J796" s="2">
        <v>2</v>
      </c>
      <c r="K796" s="2" t="s">
        <v>48</v>
      </c>
      <c r="L796" s="2">
        <v>600</v>
      </c>
      <c r="M796" s="2" t="s">
        <v>112</v>
      </c>
      <c r="N796" s="2">
        <v>11</v>
      </c>
      <c r="O796" s="2">
        <v>69618.210000000006</v>
      </c>
      <c r="P796" s="2">
        <v>6328.93</v>
      </c>
    </row>
    <row r="797" spans="1:16" outlineLevel="2" x14ac:dyDescent="0.2">
      <c r="A797" s="5">
        <v>46050</v>
      </c>
      <c r="B797" s="2">
        <v>156452</v>
      </c>
      <c r="C797" s="2">
        <v>5</v>
      </c>
      <c r="D797" s="2" t="s">
        <v>45</v>
      </c>
      <c r="E797" s="2" t="s">
        <v>46</v>
      </c>
      <c r="F797" s="2" t="s">
        <v>55</v>
      </c>
      <c r="G797" s="2" t="s">
        <v>23</v>
      </c>
      <c r="H797" s="2" t="s">
        <v>23</v>
      </c>
      <c r="I797" s="2" t="s">
        <v>23</v>
      </c>
      <c r="J797" s="2">
        <v>2</v>
      </c>
      <c r="K797" s="2" t="s">
        <v>48</v>
      </c>
      <c r="L797" s="2">
        <v>912</v>
      </c>
      <c r="M797" s="2" t="s">
        <v>281</v>
      </c>
      <c r="N797" s="2">
        <v>2</v>
      </c>
      <c r="O797" s="2">
        <v>12488.14</v>
      </c>
      <c r="P797" s="2">
        <v>6244.07</v>
      </c>
    </row>
    <row r="798" spans="1:16" outlineLevel="2" x14ac:dyDescent="0.2">
      <c r="A798" s="5">
        <v>46050</v>
      </c>
      <c r="B798" s="2">
        <v>156458</v>
      </c>
      <c r="C798" s="2">
        <v>1</v>
      </c>
      <c r="D798" s="2" t="s">
        <v>45</v>
      </c>
      <c r="E798" s="2" t="s">
        <v>125</v>
      </c>
      <c r="F798" s="2" t="s">
        <v>47</v>
      </c>
      <c r="G798" s="2" t="s">
        <v>22</v>
      </c>
      <c r="H798" s="2" t="s">
        <v>23</v>
      </c>
      <c r="I798" s="2" t="s">
        <v>23</v>
      </c>
      <c r="J798" s="2">
        <v>2</v>
      </c>
      <c r="K798" s="2" t="s">
        <v>48</v>
      </c>
      <c r="L798" s="2">
        <v>1964</v>
      </c>
      <c r="M798" s="2" t="s">
        <v>49</v>
      </c>
      <c r="N798" s="2">
        <v>28</v>
      </c>
      <c r="O798" s="2">
        <v>174833.96</v>
      </c>
      <c r="P798" s="2">
        <v>6244.07</v>
      </c>
    </row>
    <row r="799" spans="1:16" outlineLevel="1" x14ac:dyDescent="0.2">
      <c r="A799" s="5"/>
      <c r="D799" s="3" t="s">
        <v>733</v>
      </c>
      <c r="N799" s="2">
        <f>SUBTOTAL(9,N796:N798)</f>
        <v>41</v>
      </c>
      <c r="O799" s="2">
        <f>SUBTOTAL(9,O796:O798)</f>
        <v>256940.31</v>
      </c>
    </row>
    <row r="800" spans="1:16" outlineLevel="2" x14ac:dyDescent="0.2">
      <c r="A800" s="5">
        <v>46050</v>
      </c>
      <c r="B800" s="2">
        <v>156458</v>
      </c>
      <c r="C800" s="2">
        <v>2</v>
      </c>
      <c r="D800" s="2" t="s">
        <v>226</v>
      </c>
      <c r="E800" s="2" t="s">
        <v>151</v>
      </c>
      <c r="F800" s="2" t="s">
        <v>47</v>
      </c>
      <c r="G800" s="2" t="s">
        <v>22</v>
      </c>
      <c r="H800" s="2" t="s">
        <v>23</v>
      </c>
      <c r="I800" s="2" t="s">
        <v>23</v>
      </c>
      <c r="J800" s="2">
        <v>2</v>
      </c>
      <c r="K800" s="2" t="s">
        <v>48</v>
      </c>
      <c r="L800" s="2">
        <v>1964</v>
      </c>
      <c r="M800" s="2" t="s">
        <v>49</v>
      </c>
      <c r="N800" s="2">
        <v>24</v>
      </c>
      <c r="O800" s="2">
        <v>308542.24</v>
      </c>
      <c r="P800" s="2">
        <v>12855.93</v>
      </c>
    </row>
    <row r="801" spans="1:16" outlineLevel="1" x14ac:dyDescent="0.2">
      <c r="A801" s="5"/>
      <c r="D801" s="3" t="s">
        <v>736</v>
      </c>
      <c r="N801" s="2">
        <f>SUBTOTAL(9,N800:N800)</f>
        <v>24</v>
      </c>
      <c r="O801" s="2">
        <f>SUBTOTAL(9,O800:O800)</f>
        <v>308542.24</v>
      </c>
    </row>
    <row r="802" spans="1:16" outlineLevel="2" x14ac:dyDescent="0.2">
      <c r="A802" s="5">
        <v>46050</v>
      </c>
      <c r="B802" s="2">
        <v>156458</v>
      </c>
      <c r="C802" s="2">
        <v>3</v>
      </c>
      <c r="D802" s="2" t="s">
        <v>45</v>
      </c>
      <c r="E802" s="2" t="s">
        <v>228</v>
      </c>
      <c r="F802" s="2" t="s">
        <v>47</v>
      </c>
      <c r="G802" s="2" t="s">
        <v>22</v>
      </c>
      <c r="H802" s="2" t="s">
        <v>23</v>
      </c>
      <c r="I802" s="2" t="s">
        <v>23</v>
      </c>
      <c r="J802" s="2">
        <v>2</v>
      </c>
      <c r="K802" s="2" t="s">
        <v>48</v>
      </c>
      <c r="L802" s="2">
        <v>1964</v>
      </c>
      <c r="M802" s="2" t="s">
        <v>49</v>
      </c>
      <c r="N802" s="2">
        <v>30</v>
      </c>
      <c r="O802" s="2">
        <v>426195.45</v>
      </c>
      <c r="P802" s="2">
        <v>14206.52</v>
      </c>
    </row>
    <row r="803" spans="1:16" outlineLevel="1" x14ac:dyDescent="0.2">
      <c r="A803" s="5"/>
      <c r="D803" s="3" t="s">
        <v>733</v>
      </c>
      <c r="N803" s="2">
        <f>SUBTOTAL(9,N802:N802)</f>
        <v>30</v>
      </c>
      <c r="O803" s="2">
        <f>SUBTOTAL(9,O802:O802)</f>
        <v>426195.45</v>
      </c>
    </row>
    <row r="804" spans="1:16" outlineLevel="2" x14ac:dyDescent="0.2">
      <c r="A804" s="5">
        <v>46050</v>
      </c>
      <c r="B804" s="2">
        <v>156458</v>
      </c>
      <c r="C804" s="2">
        <v>4</v>
      </c>
      <c r="D804" s="2" t="s">
        <v>226</v>
      </c>
      <c r="E804" s="2" t="s">
        <v>227</v>
      </c>
      <c r="F804" s="2" t="s">
        <v>47</v>
      </c>
      <c r="G804" s="2" t="s">
        <v>22</v>
      </c>
      <c r="H804" s="2" t="s">
        <v>23</v>
      </c>
      <c r="I804" s="2" t="s">
        <v>23</v>
      </c>
      <c r="J804" s="2">
        <v>2</v>
      </c>
      <c r="K804" s="2" t="s">
        <v>48</v>
      </c>
      <c r="L804" s="2">
        <v>1964</v>
      </c>
      <c r="M804" s="2" t="s">
        <v>49</v>
      </c>
      <c r="N804" s="2">
        <v>50</v>
      </c>
      <c r="O804" s="2">
        <v>1013464.08</v>
      </c>
      <c r="P804" s="2">
        <v>20269.28</v>
      </c>
    </row>
    <row r="805" spans="1:16" outlineLevel="1" x14ac:dyDescent="0.2">
      <c r="A805" s="5"/>
      <c r="D805" s="3" t="s">
        <v>736</v>
      </c>
      <c r="N805" s="2">
        <f>SUBTOTAL(9,N804:N804)</f>
        <v>50</v>
      </c>
      <c r="O805" s="2">
        <f>SUBTOTAL(9,O804:O804)</f>
        <v>1013464.08</v>
      </c>
    </row>
    <row r="806" spans="1:16" outlineLevel="2" x14ac:dyDescent="0.2">
      <c r="A806" s="5">
        <v>46050</v>
      </c>
      <c r="B806" s="2">
        <v>156458</v>
      </c>
      <c r="C806" s="2">
        <v>5</v>
      </c>
      <c r="D806" s="2" t="s">
        <v>45</v>
      </c>
      <c r="E806" s="2" t="s">
        <v>295</v>
      </c>
      <c r="F806" s="2" t="s">
        <v>47</v>
      </c>
      <c r="G806" s="2" t="s">
        <v>22</v>
      </c>
      <c r="H806" s="2" t="s">
        <v>23</v>
      </c>
      <c r="I806" s="2" t="s">
        <v>23</v>
      </c>
      <c r="J806" s="2">
        <v>2</v>
      </c>
      <c r="K806" s="2" t="s">
        <v>48</v>
      </c>
      <c r="L806" s="2">
        <v>1964</v>
      </c>
      <c r="M806" s="2" t="s">
        <v>49</v>
      </c>
      <c r="N806" s="2">
        <v>50</v>
      </c>
      <c r="O806" s="2">
        <v>694527.65</v>
      </c>
      <c r="P806" s="2">
        <v>13890.55</v>
      </c>
    </row>
    <row r="807" spans="1:16" outlineLevel="1" x14ac:dyDescent="0.2">
      <c r="A807" s="5"/>
      <c r="D807" s="3" t="s">
        <v>733</v>
      </c>
      <c r="N807" s="2">
        <f>SUBTOTAL(9,N806:N806)</f>
        <v>50</v>
      </c>
      <c r="O807" s="2">
        <f>SUBTOTAL(9,O806:O806)</f>
        <v>694527.65</v>
      </c>
    </row>
    <row r="808" spans="1:16" outlineLevel="2" x14ac:dyDescent="0.2">
      <c r="A808" s="5">
        <v>46050</v>
      </c>
      <c r="B808" s="2">
        <v>156489</v>
      </c>
      <c r="C808" s="2">
        <v>1</v>
      </c>
      <c r="D808" s="2" t="s">
        <v>131</v>
      </c>
      <c r="E808" s="2" t="s">
        <v>132</v>
      </c>
      <c r="F808" s="2" t="s">
        <v>40</v>
      </c>
      <c r="G808" s="2" t="s">
        <v>22</v>
      </c>
      <c r="H808" s="2" t="s">
        <v>23</v>
      </c>
      <c r="I808" s="2" t="s">
        <v>23</v>
      </c>
      <c r="J808" s="2">
        <v>1</v>
      </c>
      <c r="K808" s="2" t="s">
        <v>24</v>
      </c>
      <c r="L808" s="2">
        <v>2521</v>
      </c>
      <c r="M808" s="2" t="s">
        <v>82</v>
      </c>
      <c r="N808" s="2">
        <v>130</v>
      </c>
      <c r="O808" s="2">
        <v>4590944.24</v>
      </c>
      <c r="P808" s="2">
        <v>35314.959999999999</v>
      </c>
    </row>
    <row r="809" spans="1:16" outlineLevel="1" x14ac:dyDescent="0.2">
      <c r="A809" s="5"/>
      <c r="D809" s="3" t="s">
        <v>713</v>
      </c>
      <c r="N809" s="2">
        <f>SUBTOTAL(9,N808:N808)</f>
        <v>130</v>
      </c>
      <c r="O809" s="2">
        <f>SUBTOTAL(9,O808:O808)</f>
        <v>4590944.24</v>
      </c>
    </row>
    <row r="810" spans="1:16" outlineLevel="2" x14ac:dyDescent="0.2">
      <c r="A810" s="5">
        <v>46048</v>
      </c>
      <c r="B810" s="2">
        <v>156490</v>
      </c>
      <c r="C810" s="2">
        <v>1</v>
      </c>
      <c r="D810" s="2" t="s">
        <v>160</v>
      </c>
      <c r="E810" s="2" t="s">
        <v>222</v>
      </c>
      <c r="F810" s="2" t="s">
        <v>40</v>
      </c>
      <c r="G810" s="2" t="s">
        <v>22</v>
      </c>
      <c r="H810" s="2" t="s">
        <v>23</v>
      </c>
      <c r="I810" s="2" t="s">
        <v>23</v>
      </c>
      <c r="J810" s="2">
        <v>1</v>
      </c>
      <c r="K810" s="2" t="s">
        <v>24</v>
      </c>
      <c r="L810" s="2">
        <v>25202</v>
      </c>
      <c r="M810" s="2" t="s">
        <v>307</v>
      </c>
      <c r="N810" s="2">
        <v>204</v>
      </c>
      <c r="O810" s="2">
        <v>6000503.6600000001</v>
      </c>
      <c r="P810" s="2">
        <v>29414.23</v>
      </c>
    </row>
    <row r="811" spans="1:16" outlineLevel="1" x14ac:dyDescent="0.2">
      <c r="A811" s="5"/>
      <c r="D811" s="3" t="s">
        <v>709</v>
      </c>
      <c r="N811" s="2">
        <f>SUBTOTAL(9,N810:N810)</f>
        <v>204</v>
      </c>
      <c r="O811" s="2">
        <f>SUBTOTAL(9,O810:O810)</f>
        <v>6000503.6600000001</v>
      </c>
    </row>
    <row r="812" spans="1:16" outlineLevel="2" x14ac:dyDescent="0.2">
      <c r="A812" s="5">
        <v>46057</v>
      </c>
      <c r="B812" s="2">
        <v>156491</v>
      </c>
      <c r="C812" s="2">
        <v>2</v>
      </c>
      <c r="D812" s="2" t="s">
        <v>38</v>
      </c>
      <c r="E812" s="2" t="s">
        <v>39</v>
      </c>
      <c r="F812" s="2" t="s">
        <v>290</v>
      </c>
      <c r="G812" s="2" t="s">
        <v>22</v>
      </c>
      <c r="H812" s="2" t="s">
        <v>23</v>
      </c>
      <c r="I812" s="2" t="s">
        <v>133</v>
      </c>
      <c r="J812" s="2">
        <v>40</v>
      </c>
      <c r="K812" s="2" t="s">
        <v>43</v>
      </c>
      <c r="L812" s="2">
        <v>2551</v>
      </c>
      <c r="M812" s="2" t="s">
        <v>292</v>
      </c>
      <c r="N812" s="2">
        <v>357</v>
      </c>
      <c r="O812" s="2">
        <v>8819852.0399999991</v>
      </c>
      <c r="P812" s="2">
        <v>24705.47</v>
      </c>
    </row>
    <row r="813" spans="1:16" outlineLevel="2" x14ac:dyDescent="0.2">
      <c r="A813" s="5">
        <v>46048</v>
      </c>
      <c r="B813" s="2">
        <v>156492</v>
      </c>
      <c r="C813" s="2">
        <v>4</v>
      </c>
      <c r="D813" s="2" t="s">
        <v>38</v>
      </c>
      <c r="E813" s="2" t="s">
        <v>39</v>
      </c>
      <c r="F813" s="2" t="s">
        <v>63</v>
      </c>
      <c r="G813" s="2" t="s">
        <v>22</v>
      </c>
      <c r="H813" s="2" t="s">
        <v>23</v>
      </c>
      <c r="I813" s="2" t="s">
        <v>23</v>
      </c>
      <c r="J813" s="2">
        <v>124</v>
      </c>
      <c r="K813" s="2" t="s">
        <v>155</v>
      </c>
      <c r="L813" s="2">
        <v>817</v>
      </c>
      <c r="M813" s="2" t="s">
        <v>117</v>
      </c>
      <c r="N813" s="2">
        <v>240</v>
      </c>
      <c r="O813" s="2">
        <v>15695668.130000001</v>
      </c>
      <c r="P813" s="2">
        <v>65398.62</v>
      </c>
    </row>
    <row r="814" spans="1:16" outlineLevel="2" x14ac:dyDescent="0.2">
      <c r="A814" s="5">
        <v>46051</v>
      </c>
      <c r="B814" s="2">
        <v>156493</v>
      </c>
      <c r="C814" s="2">
        <v>1</v>
      </c>
      <c r="D814" s="2" t="s">
        <v>38</v>
      </c>
      <c r="E814" s="2" t="s">
        <v>39</v>
      </c>
      <c r="F814" s="2" t="s">
        <v>63</v>
      </c>
      <c r="G814" s="2" t="s">
        <v>22</v>
      </c>
      <c r="H814" s="2" t="s">
        <v>23</v>
      </c>
      <c r="I814" s="2" t="s">
        <v>116</v>
      </c>
      <c r="J814" s="2">
        <v>1</v>
      </c>
      <c r="K814" s="2" t="s">
        <v>24</v>
      </c>
      <c r="L814" s="2">
        <v>1846</v>
      </c>
      <c r="M814" s="2" t="s">
        <v>134</v>
      </c>
      <c r="N814" s="2">
        <v>138</v>
      </c>
      <c r="O814" s="2">
        <v>8245128.8300000001</v>
      </c>
      <c r="P814" s="2">
        <v>59747.31</v>
      </c>
    </row>
    <row r="815" spans="1:16" outlineLevel="2" x14ac:dyDescent="0.2">
      <c r="A815" s="5">
        <v>46050</v>
      </c>
      <c r="B815" s="2">
        <v>156493</v>
      </c>
      <c r="C815" s="2">
        <v>2</v>
      </c>
      <c r="D815" s="2" t="s">
        <v>38</v>
      </c>
      <c r="E815" s="2" t="s">
        <v>39</v>
      </c>
      <c r="F815" s="2" t="s">
        <v>63</v>
      </c>
      <c r="G815" s="2" t="s">
        <v>22</v>
      </c>
      <c r="H815" s="2" t="s">
        <v>23</v>
      </c>
      <c r="I815" s="2" t="s">
        <v>135</v>
      </c>
      <c r="J815" s="2">
        <v>1</v>
      </c>
      <c r="K815" s="2" t="s">
        <v>24</v>
      </c>
      <c r="L815" s="2">
        <v>1846</v>
      </c>
      <c r="M815" s="2" t="s">
        <v>134</v>
      </c>
      <c r="N815" s="2">
        <v>264</v>
      </c>
      <c r="O815" s="2">
        <v>15790291.539999999</v>
      </c>
      <c r="P815" s="2">
        <v>59811.71</v>
      </c>
    </row>
    <row r="816" spans="1:16" outlineLevel="2" x14ac:dyDescent="0.2">
      <c r="A816" s="5">
        <v>46050</v>
      </c>
      <c r="B816" s="2">
        <v>156493</v>
      </c>
      <c r="C816" s="2">
        <v>3</v>
      </c>
      <c r="D816" s="2" t="s">
        <v>38</v>
      </c>
      <c r="E816" s="2" t="s">
        <v>39</v>
      </c>
      <c r="F816" s="2" t="s">
        <v>63</v>
      </c>
      <c r="G816" s="2" t="s">
        <v>22</v>
      </c>
      <c r="H816" s="2" t="s">
        <v>23</v>
      </c>
      <c r="I816" s="2" t="s">
        <v>133</v>
      </c>
      <c r="J816" s="2">
        <v>1</v>
      </c>
      <c r="K816" s="2" t="s">
        <v>24</v>
      </c>
      <c r="L816" s="2">
        <v>1846</v>
      </c>
      <c r="M816" s="2" t="s">
        <v>134</v>
      </c>
      <c r="N816" s="2">
        <v>468</v>
      </c>
      <c r="O816" s="2">
        <v>22966728.649999999</v>
      </c>
      <c r="P816" s="2">
        <v>49074.21</v>
      </c>
    </row>
    <row r="817" spans="1:16" outlineLevel="2" x14ac:dyDescent="0.2">
      <c r="A817" s="5">
        <v>46048</v>
      </c>
      <c r="B817" s="2">
        <v>156493</v>
      </c>
      <c r="C817" s="2">
        <v>4</v>
      </c>
      <c r="D817" s="2" t="s">
        <v>38</v>
      </c>
      <c r="E817" s="2" t="s">
        <v>39</v>
      </c>
      <c r="F817" s="2" t="s">
        <v>63</v>
      </c>
      <c r="G817" s="2" t="s">
        <v>22</v>
      </c>
      <c r="H817" s="2" t="s">
        <v>23</v>
      </c>
      <c r="I817" s="2" t="s">
        <v>23</v>
      </c>
      <c r="J817" s="2">
        <v>124</v>
      </c>
      <c r="K817" s="2" t="s">
        <v>155</v>
      </c>
      <c r="L817" s="2">
        <v>1846</v>
      </c>
      <c r="M817" s="2" t="s">
        <v>134</v>
      </c>
      <c r="N817" s="2">
        <v>220</v>
      </c>
      <c r="O817" s="2">
        <v>13921836.220000001</v>
      </c>
      <c r="P817" s="2">
        <v>63281.07</v>
      </c>
    </row>
    <row r="818" spans="1:16" outlineLevel="2" x14ac:dyDescent="0.2">
      <c r="A818" s="5">
        <v>46051</v>
      </c>
      <c r="B818" s="2">
        <v>156509</v>
      </c>
      <c r="C818" s="2">
        <v>2</v>
      </c>
      <c r="D818" s="2" t="s">
        <v>38</v>
      </c>
      <c r="E818" s="2" t="s">
        <v>39</v>
      </c>
      <c r="F818" s="2" t="s">
        <v>63</v>
      </c>
      <c r="G818" s="2" t="s">
        <v>22</v>
      </c>
      <c r="H818" s="2" t="s">
        <v>23</v>
      </c>
      <c r="I818" s="2" t="s">
        <v>135</v>
      </c>
      <c r="J818" s="2">
        <v>1</v>
      </c>
      <c r="K818" s="2" t="s">
        <v>24</v>
      </c>
      <c r="L818" s="2">
        <v>1846</v>
      </c>
      <c r="M818" s="2" t="s">
        <v>134</v>
      </c>
      <c r="N818" s="2">
        <v>352</v>
      </c>
      <c r="O818" s="2">
        <v>21229556.32</v>
      </c>
      <c r="P818" s="2">
        <v>60311.24</v>
      </c>
    </row>
    <row r="819" spans="1:16" outlineLevel="2" x14ac:dyDescent="0.2">
      <c r="A819" s="5">
        <v>46055</v>
      </c>
      <c r="B819" s="2">
        <v>156509</v>
      </c>
      <c r="C819" s="2">
        <v>3</v>
      </c>
      <c r="D819" s="2" t="s">
        <v>38</v>
      </c>
      <c r="E819" s="2" t="s">
        <v>39</v>
      </c>
      <c r="F819" s="2" t="s">
        <v>63</v>
      </c>
      <c r="G819" s="2" t="s">
        <v>22</v>
      </c>
      <c r="H819" s="2" t="s">
        <v>23</v>
      </c>
      <c r="I819" s="2" t="s">
        <v>133</v>
      </c>
      <c r="J819" s="2">
        <v>1</v>
      </c>
      <c r="K819" s="2" t="s">
        <v>24</v>
      </c>
      <c r="L819" s="2">
        <v>1846</v>
      </c>
      <c r="M819" s="2" t="s">
        <v>134</v>
      </c>
      <c r="N819" s="2">
        <v>440</v>
      </c>
      <c r="O819" s="2">
        <v>21888895.440000001</v>
      </c>
      <c r="P819" s="2">
        <v>49747.49</v>
      </c>
    </row>
    <row r="820" spans="1:16" outlineLevel="2" x14ac:dyDescent="0.2">
      <c r="A820" s="5">
        <v>46050</v>
      </c>
      <c r="B820" s="2">
        <v>156509</v>
      </c>
      <c r="C820" s="2">
        <v>4</v>
      </c>
      <c r="D820" s="2" t="s">
        <v>38</v>
      </c>
      <c r="E820" s="2" t="s">
        <v>39</v>
      </c>
      <c r="F820" s="2" t="s">
        <v>63</v>
      </c>
      <c r="G820" s="2" t="s">
        <v>22</v>
      </c>
      <c r="H820" s="2" t="s">
        <v>23</v>
      </c>
      <c r="I820" s="2" t="s">
        <v>23</v>
      </c>
      <c r="J820" s="2">
        <v>124</v>
      </c>
      <c r="K820" s="2" t="s">
        <v>155</v>
      </c>
      <c r="L820" s="2">
        <v>1846</v>
      </c>
      <c r="M820" s="2" t="s">
        <v>134</v>
      </c>
      <c r="N820" s="2">
        <v>165</v>
      </c>
      <c r="O820" s="2">
        <v>10349726.6</v>
      </c>
      <c r="P820" s="2">
        <v>62725.62</v>
      </c>
    </row>
    <row r="821" spans="1:16" outlineLevel="1" x14ac:dyDescent="0.2">
      <c r="A821" s="5"/>
      <c r="D821" s="3" t="s">
        <v>721</v>
      </c>
      <c r="N821" s="2">
        <f>SUBTOTAL(9,N812:N820)</f>
        <v>2644</v>
      </c>
      <c r="O821" s="2">
        <f>SUBTOTAL(9,O812:O820)</f>
        <v>138907683.76999998</v>
      </c>
    </row>
    <row r="822" spans="1:16" outlineLevel="2" x14ac:dyDescent="0.2">
      <c r="A822" s="5">
        <v>46048</v>
      </c>
      <c r="B822" s="2">
        <v>156513</v>
      </c>
      <c r="C822" s="2">
        <v>1</v>
      </c>
      <c r="D822" s="2" t="s">
        <v>197</v>
      </c>
      <c r="E822" s="2" t="s">
        <v>88</v>
      </c>
      <c r="F822" s="2" t="s">
        <v>199</v>
      </c>
      <c r="G822" s="2" t="s">
        <v>22</v>
      </c>
      <c r="H822" s="2" t="s">
        <v>23</v>
      </c>
      <c r="I822" s="2" t="s">
        <v>23</v>
      </c>
      <c r="J822" s="2">
        <v>2</v>
      </c>
      <c r="K822" s="2" t="s">
        <v>48</v>
      </c>
      <c r="L822" s="2">
        <v>600</v>
      </c>
      <c r="M822" s="2" t="s">
        <v>112</v>
      </c>
      <c r="N822" s="2">
        <v>101</v>
      </c>
      <c r="O822" s="2">
        <v>1661135.39</v>
      </c>
      <c r="P822" s="2">
        <v>16446.89</v>
      </c>
    </row>
    <row r="823" spans="1:16" outlineLevel="1" x14ac:dyDescent="0.2">
      <c r="A823" s="5"/>
      <c r="D823" s="3" t="s">
        <v>734</v>
      </c>
      <c r="N823" s="2">
        <f>SUBTOTAL(9,N822:N822)</f>
        <v>101</v>
      </c>
      <c r="O823" s="2">
        <f>SUBTOTAL(9,O822:O822)</f>
        <v>1661135.39</v>
      </c>
    </row>
    <row r="824" spans="1:16" outlineLevel="2" x14ac:dyDescent="0.2">
      <c r="A824" s="5">
        <v>46051</v>
      </c>
      <c r="B824" s="2">
        <v>156519</v>
      </c>
      <c r="C824" s="2">
        <v>2</v>
      </c>
      <c r="D824" s="2" t="s">
        <v>57</v>
      </c>
      <c r="E824" s="2" t="s">
        <v>308</v>
      </c>
      <c r="F824" s="2" t="s">
        <v>31</v>
      </c>
      <c r="G824" s="2" t="s">
        <v>22</v>
      </c>
      <c r="H824" s="2" t="s">
        <v>23</v>
      </c>
      <c r="I824" s="2" t="s">
        <v>309</v>
      </c>
      <c r="J824" s="2">
        <v>1</v>
      </c>
      <c r="K824" s="2" t="s">
        <v>24</v>
      </c>
      <c r="L824" s="2">
        <v>226</v>
      </c>
      <c r="M824" s="2" t="s">
        <v>59</v>
      </c>
      <c r="N824" s="2">
        <v>42</v>
      </c>
      <c r="O824" s="2">
        <v>2147040</v>
      </c>
      <c r="P824" s="2">
        <v>51120</v>
      </c>
    </row>
    <row r="825" spans="1:16" outlineLevel="1" x14ac:dyDescent="0.2">
      <c r="A825" s="5"/>
      <c r="D825" s="3" t="s">
        <v>716</v>
      </c>
      <c r="N825" s="2">
        <f>SUBTOTAL(9,N824:N824)</f>
        <v>42</v>
      </c>
      <c r="O825" s="2">
        <f>SUBTOTAL(9,O824:O824)</f>
        <v>2147040</v>
      </c>
    </row>
    <row r="826" spans="1:16" outlineLevel="2" x14ac:dyDescent="0.2">
      <c r="A826" s="5">
        <v>46050</v>
      </c>
      <c r="B826" s="2">
        <v>156520</v>
      </c>
      <c r="C826" s="2">
        <v>310</v>
      </c>
      <c r="D826" s="2" t="s">
        <v>45</v>
      </c>
      <c r="E826" s="2" t="s">
        <v>228</v>
      </c>
      <c r="F826" s="2" t="s">
        <v>55</v>
      </c>
      <c r="G826" s="2" t="s">
        <v>23</v>
      </c>
      <c r="H826" s="2" t="s">
        <v>23</v>
      </c>
      <c r="I826" s="2" t="s">
        <v>23</v>
      </c>
      <c r="J826" s="2">
        <v>2</v>
      </c>
      <c r="K826" s="2" t="s">
        <v>48</v>
      </c>
      <c r="L826" s="2">
        <v>1964</v>
      </c>
      <c r="M826" s="2" t="s">
        <v>49</v>
      </c>
      <c r="N826" s="2">
        <v>11</v>
      </c>
      <c r="O826" s="2">
        <v>112216.26</v>
      </c>
      <c r="P826" s="2">
        <v>10201.48</v>
      </c>
    </row>
    <row r="827" spans="1:16" outlineLevel="2" x14ac:dyDescent="0.2">
      <c r="A827" s="5">
        <v>46052</v>
      </c>
      <c r="B827" s="2">
        <v>156520</v>
      </c>
      <c r="C827" s="2">
        <v>312</v>
      </c>
      <c r="D827" s="2" t="s">
        <v>45</v>
      </c>
      <c r="E827" s="2" t="s">
        <v>228</v>
      </c>
      <c r="F827" s="2" t="s">
        <v>55</v>
      </c>
      <c r="G827" s="2" t="s">
        <v>23</v>
      </c>
      <c r="H827" s="2" t="s">
        <v>23</v>
      </c>
      <c r="I827" s="2" t="s">
        <v>23</v>
      </c>
      <c r="J827" s="2">
        <v>2</v>
      </c>
      <c r="K827" s="2" t="s">
        <v>48</v>
      </c>
      <c r="L827" s="2">
        <v>1964</v>
      </c>
      <c r="M827" s="2" t="s">
        <v>49</v>
      </c>
      <c r="N827" s="2">
        <v>29</v>
      </c>
      <c r="O827" s="2">
        <v>90366.25</v>
      </c>
      <c r="P827" s="2">
        <v>3116.08</v>
      </c>
    </row>
    <row r="828" spans="1:16" outlineLevel="1" x14ac:dyDescent="0.2">
      <c r="A828" s="5"/>
      <c r="D828" s="3" t="s">
        <v>733</v>
      </c>
      <c r="N828" s="2">
        <f>SUBTOTAL(9,N826:N827)</f>
        <v>40</v>
      </c>
      <c r="O828" s="2">
        <f>SUBTOTAL(9,O826:O827)</f>
        <v>202582.51</v>
      </c>
    </row>
    <row r="829" spans="1:16" outlineLevel="2" x14ac:dyDescent="0.2">
      <c r="A829" s="5">
        <v>46057</v>
      </c>
      <c r="B829" s="2">
        <v>156520</v>
      </c>
      <c r="C829" s="2">
        <v>315</v>
      </c>
      <c r="D829" s="2" t="s">
        <v>54</v>
      </c>
      <c r="E829" s="2" t="s">
        <v>272</v>
      </c>
      <c r="F829" s="2" t="s">
        <v>55</v>
      </c>
      <c r="G829" s="2" t="s">
        <v>23</v>
      </c>
      <c r="H829" s="2" t="s">
        <v>23</v>
      </c>
      <c r="I829" s="2" t="s">
        <v>23</v>
      </c>
      <c r="J829" s="2">
        <v>2</v>
      </c>
      <c r="K829" s="2" t="s">
        <v>48</v>
      </c>
      <c r="L829" s="2">
        <v>1964</v>
      </c>
      <c r="M829" s="2" t="s">
        <v>49</v>
      </c>
      <c r="N829" s="2">
        <v>12</v>
      </c>
      <c r="O829" s="2">
        <v>84193.63</v>
      </c>
      <c r="P829" s="2">
        <v>7016.14</v>
      </c>
    </row>
    <row r="830" spans="1:16" outlineLevel="1" x14ac:dyDescent="0.2">
      <c r="A830" s="5"/>
      <c r="D830" s="3" t="s">
        <v>719</v>
      </c>
      <c r="N830" s="2">
        <f>SUBTOTAL(9,N829:N829)</f>
        <v>12</v>
      </c>
      <c r="O830" s="2">
        <f>SUBTOTAL(9,O829:O829)</f>
        <v>84193.63</v>
      </c>
    </row>
    <row r="831" spans="1:16" outlineLevel="2" x14ac:dyDescent="0.2">
      <c r="A831" s="5">
        <v>46050</v>
      </c>
      <c r="B831" s="2">
        <v>156526</v>
      </c>
      <c r="C831" s="2">
        <v>1</v>
      </c>
      <c r="D831" s="2" t="s">
        <v>19</v>
      </c>
      <c r="E831" s="2" t="s">
        <v>20</v>
      </c>
      <c r="F831" s="2" t="s">
        <v>35</v>
      </c>
      <c r="G831" s="2" t="s">
        <v>22</v>
      </c>
      <c r="H831" s="2" t="s">
        <v>23</v>
      </c>
      <c r="I831" s="2" t="s">
        <v>23</v>
      </c>
      <c r="J831" s="2">
        <v>1</v>
      </c>
      <c r="K831" s="2" t="s">
        <v>24</v>
      </c>
      <c r="L831" s="2">
        <v>1829</v>
      </c>
      <c r="M831" s="2" t="s">
        <v>25</v>
      </c>
      <c r="N831" s="2">
        <v>131</v>
      </c>
      <c r="O831" s="2">
        <v>10891342.130000001</v>
      </c>
      <c r="P831" s="2">
        <v>83140.02</v>
      </c>
    </row>
    <row r="832" spans="1:16" outlineLevel="1" x14ac:dyDescent="0.2">
      <c r="A832" s="5"/>
      <c r="D832" s="3" t="s">
        <v>704</v>
      </c>
      <c r="N832" s="2">
        <f>SUBTOTAL(9,N831:N831)</f>
        <v>131</v>
      </c>
      <c r="O832" s="2">
        <f>SUBTOTAL(9,O831:O831)</f>
        <v>10891342.130000001</v>
      </c>
    </row>
    <row r="833" spans="1:16" outlineLevel="2" x14ac:dyDescent="0.2">
      <c r="A833" s="5">
        <v>46050</v>
      </c>
      <c r="B833" s="2">
        <v>156527</v>
      </c>
      <c r="C833" s="2">
        <v>1</v>
      </c>
      <c r="D833" s="2" t="s">
        <v>140</v>
      </c>
      <c r="E833" s="2" t="s">
        <v>248</v>
      </c>
      <c r="F833" s="2" t="s">
        <v>108</v>
      </c>
      <c r="G833" s="2" t="s">
        <v>22</v>
      </c>
      <c r="H833" s="2" t="s">
        <v>23</v>
      </c>
      <c r="I833" s="2" t="s">
        <v>23</v>
      </c>
      <c r="J833" s="2">
        <v>1</v>
      </c>
      <c r="K833" s="2" t="s">
        <v>24</v>
      </c>
      <c r="L833" s="2">
        <v>1833</v>
      </c>
      <c r="M833" s="2" t="s">
        <v>142</v>
      </c>
      <c r="N833" s="2">
        <v>14</v>
      </c>
      <c r="O833" s="2">
        <v>356537.45</v>
      </c>
      <c r="P833" s="2">
        <v>25466.959999999999</v>
      </c>
    </row>
    <row r="834" spans="1:16" outlineLevel="1" x14ac:dyDescent="0.2">
      <c r="A834" s="5"/>
      <c r="D834" s="3" t="s">
        <v>696</v>
      </c>
      <c r="N834" s="2">
        <f>SUBTOTAL(9,N833:N833)</f>
        <v>14</v>
      </c>
      <c r="O834" s="2">
        <f>SUBTOTAL(9,O833:O833)</f>
        <v>356537.45</v>
      </c>
    </row>
    <row r="835" spans="1:16" outlineLevel="2" x14ac:dyDescent="0.2">
      <c r="A835" s="5">
        <v>46052</v>
      </c>
      <c r="B835" s="2">
        <v>156528</v>
      </c>
      <c r="C835" s="2">
        <v>326</v>
      </c>
      <c r="D835" s="2" t="s">
        <v>203</v>
      </c>
      <c r="E835" s="2" t="s">
        <v>238</v>
      </c>
      <c r="F835" s="2" t="s">
        <v>55</v>
      </c>
      <c r="G835" s="2" t="s">
        <v>23</v>
      </c>
      <c r="H835" s="2" t="s">
        <v>23</v>
      </c>
      <c r="I835" s="2" t="s">
        <v>23</v>
      </c>
      <c r="J835" s="2">
        <v>2</v>
      </c>
      <c r="K835" s="2" t="s">
        <v>48</v>
      </c>
      <c r="L835" s="2">
        <v>626</v>
      </c>
      <c r="M835" s="2" t="s">
        <v>49</v>
      </c>
      <c r="N835" s="2">
        <v>3</v>
      </c>
      <c r="O835" s="2">
        <v>14065.01</v>
      </c>
      <c r="P835" s="2">
        <v>4688.34</v>
      </c>
    </row>
    <row r="836" spans="1:16" outlineLevel="1" x14ac:dyDescent="0.2">
      <c r="A836" s="5"/>
      <c r="D836" s="3" t="s">
        <v>735</v>
      </c>
      <c r="N836" s="2">
        <f>SUBTOTAL(9,N835:N835)</f>
        <v>3</v>
      </c>
      <c r="O836" s="2">
        <f>SUBTOTAL(9,O835:O835)</f>
        <v>14065.01</v>
      </c>
    </row>
    <row r="837" spans="1:16" outlineLevel="2" x14ac:dyDescent="0.2">
      <c r="A837" s="5">
        <v>46052</v>
      </c>
      <c r="B837" s="2">
        <v>156533</v>
      </c>
      <c r="C837" s="2">
        <v>5</v>
      </c>
      <c r="D837" s="2" t="s">
        <v>45</v>
      </c>
      <c r="E837" s="2" t="s">
        <v>125</v>
      </c>
      <c r="F837" s="2" t="s">
        <v>55</v>
      </c>
      <c r="G837" s="2" t="s">
        <v>23</v>
      </c>
      <c r="H837" s="2" t="s">
        <v>23</v>
      </c>
      <c r="I837" s="2" t="s">
        <v>23</v>
      </c>
      <c r="J837" s="2">
        <v>2</v>
      </c>
      <c r="K837" s="2" t="s">
        <v>48</v>
      </c>
      <c r="L837" s="2">
        <v>626</v>
      </c>
      <c r="M837" s="2" t="s">
        <v>49</v>
      </c>
      <c r="N837" s="2">
        <v>26</v>
      </c>
      <c r="O837" s="2">
        <v>118474.14</v>
      </c>
      <c r="P837" s="2">
        <v>4556.7</v>
      </c>
    </row>
    <row r="838" spans="1:16" outlineLevel="1" x14ac:dyDescent="0.2">
      <c r="A838" s="5"/>
      <c r="D838" s="3" t="s">
        <v>733</v>
      </c>
      <c r="N838" s="2">
        <f>SUBTOTAL(9,N837:N837)</f>
        <v>26</v>
      </c>
      <c r="O838" s="2">
        <f>SUBTOTAL(9,O837:O837)</f>
        <v>118474.14</v>
      </c>
    </row>
    <row r="839" spans="1:16" outlineLevel="2" x14ac:dyDescent="0.2">
      <c r="A839" s="5">
        <v>46052</v>
      </c>
      <c r="B839" s="2">
        <v>156536</v>
      </c>
      <c r="C839" s="2">
        <v>1</v>
      </c>
      <c r="D839" s="2" t="s">
        <v>54</v>
      </c>
      <c r="E839" s="2" t="s">
        <v>30</v>
      </c>
      <c r="F839" s="2" t="s">
        <v>55</v>
      </c>
      <c r="G839" s="2" t="s">
        <v>23</v>
      </c>
      <c r="H839" s="2" t="s">
        <v>23</v>
      </c>
      <c r="I839" s="2" t="s">
        <v>23</v>
      </c>
      <c r="J839" s="2">
        <v>2</v>
      </c>
      <c r="K839" s="2" t="s">
        <v>48</v>
      </c>
      <c r="L839" s="2">
        <v>25223</v>
      </c>
      <c r="M839" s="2" t="s">
        <v>97</v>
      </c>
      <c r="N839" s="2">
        <v>14</v>
      </c>
      <c r="O839" s="2">
        <v>124111.13</v>
      </c>
      <c r="P839" s="2">
        <v>8865.08</v>
      </c>
    </row>
    <row r="840" spans="1:16" outlineLevel="2" x14ac:dyDescent="0.2">
      <c r="A840" s="5">
        <v>46057</v>
      </c>
      <c r="B840" s="2">
        <v>156538</v>
      </c>
      <c r="C840" s="2">
        <v>315</v>
      </c>
      <c r="D840" s="2" t="s">
        <v>54</v>
      </c>
      <c r="E840" s="2" t="s">
        <v>30</v>
      </c>
      <c r="F840" s="2" t="s">
        <v>55</v>
      </c>
      <c r="G840" s="2" t="s">
        <v>23</v>
      </c>
      <c r="H840" s="2" t="s">
        <v>23</v>
      </c>
      <c r="I840" s="2" t="s">
        <v>23</v>
      </c>
      <c r="J840" s="2">
        <v>2</v>
      </c>
      <c r="K840" s="2" t="s">
        <v>48</v>
      </c>
      <c r="L840" s="2">
        <v>600</v>
      </c>
      <c r="M840" s="2" t="s">
        <v>112</v>
      </c>
      <c r="N840" s="2">
        <v>11</v>
      </c>
      <c r="O840" s="2">
        <v>78888.81</v>
      </c>
      <c r="P840" s="2">
        <v>7171.71</v>
      </c>
    </row>
    <row r="841" spans="1:16" outlineLevel="2" x14ac:dyDescent="0.2">
      <c r="A841" s="5">
        <v>46052</v>
      </c>
      <c r="B841" s="2">
        <v>156539</v>
      </c>
      <c r="C841" s="2">
        <v>3</v>
      </c>
      <c r="D841" s="2" t="s">
        <v>54</v>
      </c>
      <c r="E841" s="2" t="s">
        <v>151</v>
      </c>
      <c r="F841" s="2" t="s">
        <v>55</v>
      </c>
      <c r="G841" s="2" t="s">
        <v>23</v>
      </c>
      <c r="H841" s="2" t="s">
        <v>23</v>
      </c>
      <c r="I841" s="2" t="s">
        <v>23</v>
      </c>
      <c r="J841" s="2">
        <v>2</v>
      </c>
      <c r="K841" s="2" t="s">
        <v>48</v>
      </c>
      <c r="L841" s="2">
        <v>912</v>
      </c>
      <c r="M841" s="2" t="s">
        <v>281</v>
      </c>
      <c r="N841" s="2">
        <v>2</v>
      </c>
      <c r="O841" s="2">
        <v>18378.78</v>
      </c>
      <c r="P841" s="2">
        <v>9189.39</v>
      </c>
    </row>
    <row r="842" spans="1:16" outlineLevel="1" x14ac:dyDescent="0.2">
      <c r="A842" s="5"/>
      <c r="D842" s="3" t="s">
        <v>719</v>
      </c>
      <c r="N842" s="2">
        <f>SUBTOTAL(9,N839:N841)</f>
        <v>27</v>
      </c>
      <c r="O842" s="2">
        <f>SUBTOTAL(9,O839:O841)</f>
        <v>221378.72</v>
      </c>
    </row>
    <row r="843" spans="1:16" outlineLevel="2" x14ac:dyDescent="0.2">
      <c r="A843" s="5">
        <v>46051</v>
      </c>
      <c r="B843" s="2">
        <v>156544</v>
      </c>
      <c r="C843" s="2">
        <v>1</v>
      </c>
      <c r="D843" s="2" t="s">
        <v>45</v>
      </c>
      <c r="E843" s="2" t="s">
        <v>46</v>
      </c>
      <c r="F843" s="2" t="s">
        <v>23</v>
      </c>
      <c r="G843" s="2" t="s">
        <v>22</v>
      </c>
      <c r="H843" s="2" t="s">
        <v>23</v>
      </c>
      <c r="I843" s="2" t="s">
        <v>23</v>
      </c>
      <c r="J843" s="2">
        <v>2</v>
      </c>
      <c r="K843" s="2" t="s">
        <v>48</v>
      </c>
      <c r="L843" s="2">
        <v>1876</v>
      </c>
      <c r="M843" s="2" t="s">
        <v>138</v>
      </c>
      <c r="N843" s="2">
        <v>10</v>
      </c>
      <c r="O843" s="2">
        <v>57773.5</v>
      </c>
      <c r="P843" s="2">
        <v>5777.35</v>
      </c>
    </row>
    <row r="844" spans="1:16" outlineLevel="2" x14ac:dyDescent="0.2">
      <c r="A844" s="5">
        <v>46052</v>
      </c>
      <c r="B844" s="2">
        <v>156544</v>
      </c>
      <c r="C844" s="2">
        <v>2</v>
      </c>
      <c r="D844" s="2" t="s">
        <v>45</v>
      </c>
      <c r="E844" s="2" t="s">
        <v>125</v>
      </c>
      <c r="F844" s="2" t="s">
        <v>55</v>
      </c>
      <c r="G844" s="2" t="s">
        <v>23</v>
      </c>
      <c r="H844" s="2" t="s">
        <v>23</v>
      </c>
      <c r="I844" s="2" t="s">
        <v>23</v>
      </c>
      <c r="J844" s="2">
        <v>2</v>
      </c>
      <c r="K844" s="2" t="s">
        <v>48</v>
      </c>
      <c r="L844" s="2">
        <v>1876</v>
      </c>
      <c r="M844" s="2" t="s">
        <v>138</v>
      </c>
      <c r="N844" s="2">
        <v>44</v>
      </c>
      <c r="O844" s="2">
        <v>189836.64</v>
      </c>
      <c r="P844" s="2">
        <v>4314.47</v>
      </c>
    </row>
    <row r="845" spans="1:16" outlineLevel="2" x14ac:dyDescent="0.2">
      <c r="A845" s="5">
        <v>46057</v>
      </c>
      <c r="B845" s="2">
        <v>156544</v>
      </c>
      <c r="C845" s="2">
        <v>315</v>
      </c>
      <c r="D845" s="2" t="s">
        <v>45</v>
      </c>
      <c r="E845" s="2" t="s">
        <v>46</v>
      </c>
      <c r="F845" s="2" t="s">
        <v>55</v>
      </c>
      <c r="G845" s="2" t="s">
        <v>23</v>
      </c>
      <c r="H845" s="2" t="s">
        <v>23</v>
      </c>
      <c r="I845" s="2" t="s">
        <v>23</v>
      </c>
      <c r="J845" s="2">
        <v>2</v>
      </c>
      <c r="K845" s="2" t="s">
        <v>48</v>
      </c>
      <c r="L845" s="2">
        <v>1876</v>
      </c>
      <c r="M845" s="2" t="s">
        <v>138</v>
      </c>
      <c r="N845" s="2">
        <v>4</v>
      </c>
      <c r="O845" s="2">
        <v>41754.97</v>
      </c>
      <c r="P845" s="2">
        <v>10438.74</v>
      </c>
    </row>
    <row r="846" spans="1:16" outlineLevel="1" x14ac:dyDescent="0.2">
      <c r="A846" s="5"/>
      <c r="D846" s="3" t="s">
        <v>733</v>
      </c>
      <c r="N846" s="2">
        <f>SUBTOTAL(9,N843:N845)</f>
        <v>58</v>
      </c>
      <c r="O846" s="2">
        <f>SUBTOTAL(9,O843:O845)</f>
        <v>289365.11</v>
      </c>
    </row>
    <row r="847" spans="1:16" outlineLevel="2" x14ac:dyDescent="0.2">
      <c r="A847" s="5">
        <v>46057</v>
      </c>
      <c r="B847" s="2">
        <v>156547</v>
      </c>
      <c r="C847" s="2">
        <v>315</v>
      </c>
      <c r="D847" s="2" t="s">
        <v>54</v>
      </c>
      <c r="E847" s="2" t="s">
        <v>30</v>
      </c>
      <c r="F847" s="2" t="s">
        <v>55</v>
      </c>
      <c r="G847" s="2" t="s">
        <v>23</v>
      </c>
      <c r="H847" s="2" t="s">
        <v>23</v>
      </c>
      <c r="I847" s="2" t="s">
        <v>23</v>
      </c>
      <c r="J847" s="2">
        <v>2</v>
      </c>
      <c r="K847" s="2" t="s">
        <v>48</v>
      </c>
      <c r="L847" s="2">
        <v>534</v>
      </c>
      <c r="M847" s="2" t="s">
        <v>241</v>
      </c>
      <c r="N847" s="2">
        <v>15</v>
      </c>
      <c r="O847" s="2">
        <v>107575.65</v>
      </c>
      <c r="P847" s="2">
        <v>7171.71</v>
      </c>
    </row>
    <row r="848" spans="1:16" outlineLevel="1" x14ac:dyDescent="0.2">
      <c r="A848" s="5"/>
      <c r="D848" s="3" t="s">
        <v>719</v>
      </c>
      <c r="N848" s="2">
        <f>SUBTOTAL(9,N847:N847)</f>
        <v>15</v>
      </c>
      <c r="O848" s="2">
        <f>SUBTOTAL(9,O847:O847)</f>
        <v>107575.65</v>
      </c>
    </row>
    <row r="849" spans="1:16" outlineLevel="2" x14ac:dyDescent="0.2">
      <c r="A849" s="5">
        <v>46052</v>
      </c>
      <c r="B849" s="2">
        <v>156550</v>
      </c>
      <c r="C849" s="2">
        <v>1</v>
      </c>
      <c r="D849" s="2" t="s">
        <v>45</v>
      </c>
      <c r="E849" s="2" t="s">
        <v>125</v>
      </c>
      <c r="F849" s="2" t="s">
        <v>55</v>
      </c>
      <c r="G849" s="2" t="s">
        <v>23</v>
      </c>
      <c r="H849" s="2" t="s">
        <v>23</v>
      </c>
      <c r="I849" s="2" t="s">
        <v>23</v>
      </c>
      <c r="J849" s="2">
        <v>2</v>
      </c>
      <c r="K849" s="2" t="s">
        <v>48</v>
      </c>
      <c r="L849" s="2">
        <v>1876</v>
      </c>
      <c r="M849" s="2" t="s">
        <v>138</v>
      </c>
      <c r="N849" s="2">
        <v>17</v>
      </c>
      <c r="O849" s="2">
        <v>92135.99</v>
      </c>
      <c r="P849" s="2">
        <v>5419.76</v>
      </c>
    </row>
    <row r="850" spans="1:16" outlineLevel="1" x14ac:dyDescent="0.2">
      <c r="A850" s="5"/>
      <c r="D850" s="3" t="s">
        <v>733</v>
      </c>
      <c r="N850" s="2">
        <f>SUBTOTAL(9,N849:N849)</f>
        <v>17</v>
      </c>
      <c r="O850" s="2">
        <f>SUBTOTAL(9,O849:O849)</f>
        <v>92135.99</v>
      </c>
    </row>
    <row r="851" spans="1:16" outlineLevel="2" x14ac:dyDescent="0.2">
      <c r="A851" s="5">
        <v>46052</v>
      </c>
      <c r="B851" s="2">
        <v>156557</v>
      </c>
      <c r="C851" s="2">
        <v>1</v>
      </c>
      <c r="D851" s="2" t="s">
        <v>38</v>
      </c>
      <c r="E851" s="2" t="s">
        <v>39</v>
      </c>
      <c r="F851" s="2" t="s">
        <v>63</v>
      </c>
      <c r="G851" s="2" t="s">
        <v>22</v>
      </c>
      <c r="H851" s="2" t="s">
        <v>23</v>
      </c>
      <c r="I851" s="2" t="s">
        <v>243</v>
      </c>
      <c r="J851" s="2">
        <v>1</v>
      </c>
      <c r="K851" s="2" t="s">
        <v>24</v>
      </c>
      <c r="L851" s="2">
        <v>1846</v>
      </c>
      <c r="M851" s="2" t="s">
        <v>134</v>
      </c>
      <c r="N851" s="2">
        <v>176</v>
      </c>
      <c r="O851" s="2">
        <v>10511231.800000001</v>
      </c>
      <c r="P851" s="2">
        <v>59722.91</v>
      </c>
    </row>
    <row r="852" spans="1:16" outlineLevel="2" x14ac:dyDescent="0.2">
      <c r="A852" s="5">
        <v>46056</v>
      </c>
      <c r="B852" s="2">
        <v>156557</v>
      </c>
      <c r="C852" s="2">
        <v>3</v>
      </c>
      <c r="D852" s="2" t="s">
        <v>38</v>
      </c>
      <c r="E852" s="2" t="s">
        <v>39</v>
      </c>
      <c r="F852" s="2" t="s">
        <v>63</v>
      </c>
      <c r="G852" s="2" t="s">
        <v>22</v>
      </c>
      <c r="H852" s="2" t="s">
        <v>23</v>
      </c>
      <c r="I852" s="2" t="s">
        <v>135</v>
      </c>
      <c r="J852" s="2">
        <v>1</v>
      </c>
      <c r="K852" s="2" t="s">
        <v>24</v>
      </c>
      <c r="L852" s="2">
        <v>1846</v>
      </c>
      <c r="M852" s="2" t="s">
        <v>134</v>
      </c>
      <c r="N852" s="2">
        <v>88</v>
      </c>
      <c r="O852" s="2">
        <v>5382314.5899999999</v>
      </c>
      <c r="P852" s="2">
        <v>61162.67</v>
      </c>
    </row>
    <row r="853" spans="1:16" outlineLevel="2" x14ac:dyDescent="0.2">
      <c r="A853" s="5">
        <v>46052</v>
      </c>
      <c r="B853" s="2">
        <v>156557</v>
      </c>
      <c r="C853" s="2">
        <v>5</v>
      </c>
      <c r="D853" s="2" t="s">
        <v>38</v>
      </c>
      <c r="E853" s="2" t="s">
        <v>39</v>
      </c>
      <c r="F853" s="2" t="s">
        <v>63</v>
      </c>
      <c r="G853" s="2" t="s">
        <v>22</v>
      </c>
      <c r="H853" s="2" t="s">
        <v>23</v>
      </c>
      <c r="I853" s="2" t="s">
        <v>23</v>
      </c>
      <c r="J853" s="2">
        <v>124</v>
      </c>
      <c r="K853" s="2" t="s">
        <v>155</v>
      </c>
      <c r="L853" s="2">
        <v>1846</v>
      </c>
      <c r="M853" s="2" t="s">
        <v>134</v>
      </c>
      <c r="N853" s="2">
        <v>165</v>
      </c>
      <c r="O853" s="2">
        <v>10884908.119999999</v>
      </c>
      <c r="P853" s="2">
        <v>65969.14</v>
      </c>
    </row>
    <row r="854" spans="1:16" outlineLevel="2" x14ac:dyDescent="0.2">
      <c r="A854" s="5">
        <v>46073</v>
      </c>
      <c r="B854" s="2">
        <v>156557</v>
      </c>
      <c r="C854" s="2">
        <v>303</v>
      </c>
      <c r="D854" s="2" t="s">
        <v>38</v>
      </c>
      <c r="E854" s="2" t="s">
        <v>39</v>
      </c>
      <c r="F854" s="2" t="s">
        <v>63</v>
      </c>
      <c r="G854" s="2" t="s">
        <v>22</v>
      </c>
      <c r="H854" s="2" t="s">
        <v>23</v>
      </c>
      <c r="I854" s="2" t="s">
        <v>23</v>
      </c>
      <c r="J854" s="2">
        <v>40</v>
      </c>
      <c r="K854" s="2" t="s">
        <v>43</v>
      </c>
      <c r="L854" s="2">
        <v>1846</v>
      </c>
      <c r="M854" s="2" t="s">
        <v>134</v>
      </c>
      <c r="N854" s="2">
        <v>42</v>
      </c>
      <c r="O854" s="2">
        <v>1414804.46</v>
      </c>
      <c r="P854" s="2">
        <v>33685.82</v>
      </c>
    </row>
    <row r="855" spans="1:16" outlineLevel="1" x14ac:dyDescent="0.2">
      <c r="A855" s="5"/>
      <c r="D855" s="3" t="s">
        <v>721</v>
      </c>
      <c r="N855" s="2">
        <f>SUBTOTAL(9,N851:N854)</f>
        <v>471</v>
      </c>
      <c r="O855" s="2">
        <f>SUBTOTAL(9,O851:O854)</f>
        <v>28193258.969999999</v>
      </c>
    </row>
    <row r="856" spans="1:16" outlineLevel="2" x14ac:dyDescent="0.2">
      <c r="A856" s="5">
        <v>46051</v>
      </c>
      <c r="B856" s="2">
        <v>156558</v>
      </c>
      <c r="C856" s="2">
        <v>1</v>
      </c>
      <c r="D856" s="2" t="s">
        <v>81</v>
      </c>
      <c r="E856" s="2" t="s">
        <v>23</v>
      </c>
      <c r="F856" s="2" t="s">
        <v>40</v>
      </c>
      <c r="G856" s="2" t="s">
        <v>22</v>
      </c>
      <c r="H856" s="2" t="s">
        <v>23</v>
      </c>
      <c r="I856" s="2" t="s">
        <v>23</v>
      </c>
      <c r="J856" s="2">
        <v>1</v>
      </c>
      <c r="K856" s="2" t="s">
        <v>24</v>
      </c>
      <c r="L856" s="2">
        <v>2521</v>
      </c>
      <c r="M856" s="2" t="s">
        <v>82</v>
      </c>
      <c r="N856" s="2">
        <v>82</v>
      </c>
      <c r="O856" s="2">
        <v>2975434.94</v>
      </c>
      <c r="P856" s="2">
        <v>36285.79</v>
      </c>
    </row>
    <row r="857" spans="1:16" outlineLevel="1" x14ac:dyDescent="0.2">
      <c r="A857" s="5"/>
      <c r="D857" s="3" t="s">
        <v>693</v>
      </c>
      <c r="N857" s="2">
        <f>SUBTOTAL(9,N856:N856)</f>
        <v>82</v>
      </c>
      <c r="O857" s="2">
        <f>SUBTOTAL(9,O856:O856)</f>
        <v>2975434.94</v>
      </c>
    </row>
    <row r="858" spans="1:16" outlineLevel="2" x14ac:dyDescent="0.2">
      <c r="A858" s="5">
        <v>46055</v>
      </c>
      <c r="B858" s="2">
        <v>156558</v>
      </c>
      <c r="C858" s="2">
        <v>2</v>
      </c>
      <c r="D858" s="2" t="s">
        <v>131</v>
      </c>
      <c r="E858" s="2" t="s">
        <v>132</v>
      </c>
      <c r="F858" s="2" t="s">
        <v>40</v>
      </c>
      <c r="G858" s="2" t="s">
        <v>22</v>
      </c>
      <c r="H858" s="2" t="s">
        <v>23</v>
      </c>
      <c r="I858" s="2" t="s">
        <v>23</v>
      </c>
      <c r="J858" s="2">
        <v>1</v>
      </c>
      <c r="K858" s="2" t="s">
        <v>24</v>
      </c>
      <c r="L858" s="2">
        <v>2521</v>
      </c>
      <c r="M858" s="2" t="s">
        <v>82</v>
      </c>
      <c r="N858" s="2">
        <v>260</v>
      </c>
      <c r="O858" s="2">
        <v>8021247.71</v>
      </c>
      <c r="P858" s="2">
        <v>30850.95</v>
      </c>
    </row>
    <row r="859" spans="1:16" outlineLevel="1" x14ac:dyDescent="0.2">
      <c r="A859" s="5"/>
      <c r="D859" s="3" t="s">
        <v>713</v>
      </c>
      <c r="N859" s="2">
        <f>SUBTOTAL(9,N858:N858)</f>
        <v>260</v>
      </c>
      <c r="O859" s="2">
        <f>SUBTOTAL(9,O858:O858)</f>
        <v>8021247.71</v>
      </c>
    </row>
    <row r="860" spans="1:16" outlineLevel="2" x14ac:dyDescent="0.2">
      <c r="A860" s="5">
        <v>46055</v>
      </c>
      <c r="B860" s="2">
        <v>156559</v>
      </c>
      <c r="C860" s="2">
        <v>1</v>
      </c>
      <c r="D860" s="2" t="s">
        <v>160</v>
      </c>
      <c r="E860" s="2" t="s">
        <v>222</v>
      </c>
      <c r="F860" s="2" t="s">
        <v>40</v>
      </c>
      <c r="G860" s="2" t="s">
        <v>22</v>
      </c>
      <c r="H860" s="2" t="s">
        <v>23</v>
      </c>
      <c r="I860" s="2" t="s">
        <v>23</v>
      </c>
      <c r="J860" s="2">
        <v>1</v>
      </c>
      <c r="K860" s="2" t="s">
        <v>24</v>
      </c>
      <c r="L860" s="2">
        <v>25202</v>
      </c>
      <c r="M860" s="2" t="s">
        <v>307</v>
      </c>
      <c r="N860" s="2">
        <v>99</v>
      </c>
      <c r="O860" s="2">
        <v>2823018.05</v>
      </c>
      <c r="P860" s="2">
        <v>28515.33</v>
      </c>
    </row>
    <row r="861" spans="1:16" outlineLevel="1" x14ac:dyDescent="0.2">
      <c r="A861" s="5"/>
      <c r="D861" s="3" t="s">
        <v>709</v>
      </c>
      <c r="N861" s="2">
        <f>SUBTOTAL(9,N860:N860)</f>
        <v>99</v>
      </c>
      <c r="O861" s="2">
        <f>SUBTOTAL(9,O860:O860)</f>
        <v>2823018.05</v>
      </c>
    </row>
    <row r="862" spans="1:16" outlineLevel="2" x14ac:dyDescent="0.2">
      <c r="A862" s="5">
        <v>46070</v>
      </c>
      <c r="B862" s="2">
        <v>156563</v>
      </c>
      <c r="C862" s="2">
        <v>1</v>
      </c>
      <c r="D862" s="2" t="s">
        <v>175</v>
      </c>
      <c r="E862" s="2" t="s">
        <v>224</v>
      </c>
      <c r="F862" s="2" t="s">
        <v>40</v>
      </c>
      <c r="G862" s="2" t="s">
        <v>276</v>
      </c>
      <c r="H862" s="2" t="s">
        <v>23</v>
      </c>
      <c r="I862" s="2" t="s">
        <v>23</v>
      </c>
      <c r="J862" s="2">
        <v>5</v>
      </c>
      <c r="K862" s="2" t="s">
        <v>27</v>
      </c>
      <c r="L862" s="2">
        <v>2521</v>
      </c>
      <c r="M862" s="2" t="s">
        <v>82</v>
      </c>
      <c r="N862" s="2">
        <v>20</v>
      </c>
      <c r="O862" s="2">
        <v>458003.28</v>
      </c>
      <c r="P862" s="2">
        <v>22900.16</v>
      </c>
    </row>
    <row r="863" spans="1:16" outlineLevel="2" x14ac:dyDescent="0.2">
      <c r="A863" s="5">
        <v>46056</v>
      </c>
      <c r="B863" s="2">
        <v>156563</v>
      </c>
      <c r="C863" s="2">
        <v>2</v>
      </c>
      <c r="D863" s="2" t="s">
        <v>175</v>
      </c>
      <c r="E863" s="2" t="s">
        <v>310</v>
      </c>
      <c r="F863" s="2" t="s">
        <v>40</v>
      </c>
      <c r="G863" s="2" t="s">
        <v>22</v>
      </c>
      <c r="H863" s="2" t="s">
        <v>23</v>
      </c>
      <c r="I863" s="2" t="s">
        <v>23</v>
      </c>
      <c r="J863" s="2">
        <v>5</v>
      </c>
      <c r="K863" s="2" t="s">
        <v>27</v>
      </c>
      <c r="L863" s="2">
        <v>2521</v>
      </c>
      <c r="M863" s="2" t="s">
        <v>82</v>
      </c>
      <c r="N863" s="2">
        <v>170</v>
      </c>
      <c r="O863" s="2">
        <v>4459905.42</v>
      </c>
      <c r="P863" s="2">
        <v>26234.74</v>
      </c>
    </row>
    <row r="864" spans="1:16" outlineLevel="1" x14ac:dyDescent="0.2">
      <c r="A864" s="5"/>
      <c r="D864" s="3" t="s">
        <v>725</v>
      </c>
      <c r="N864" s="2">
        <f>SUBTOTAL(9,N862:N863)</f>
        <v>190</v>
      </c>
      <c r="O864" s="2">
        <f>SUBTOTAL(9,O862:O863)</f>
        <v>4917908.7</v>
      </c>
    </row>
    <row r="865" spans="1:16" outlineLevel="2" x14ac:dyDescent="0.2">
      <c r="A865" s="5">
        <v>46051</v>
      </c>
      <c r="B865" s="2">
        <v>156564</v>
      </c>
      <c r="C865" s="2">
        <v>1</v>
      </c>
      <c r="D865" s="2" t="s">
        <v>67</v>
      </c>
      <c r="E865" s="2" t="s">
        <v>311</v>
      </c>
      <c r="F865" s="2" t="s">
        <v>187</v>
      </c>
      <c r="G865" s="2" t="s">
        <v>22</v>
      </c>
      <c r="H865" s="2" t="s">
        <v>23</v>
      </c>
      <c r="I865" s="2" t="s">
        <v>312</v>
      </c>
      <c r="J865" s="2">
        <v>124</v>
      </c>
      <c r="K865" s="2" t="s">
        <v>155</v>
      </c>
      <c r="L865" s="2">
        <v>25144</v>
      </c>
      <c r="M865" s="2" t="s">
        <v>189</v>
      </c>
      <c r="N865" s="2">
        <v>1</v>
      </c>
      <c r="O865" s="2">
        <v>40781.31</v>
      </c>
      <c r="P865" s="2">
        <v>40781.31</v>
      </c>
    </row>
    <row r="866" spans="1:16" outlineLevel="2" x14ac:dyDescent="0.2">
      <c r="A866" s="5">
        <v>46051</v>
      </c>
      <c r="B866" s="2">
        <v>156564</v>
      </c>
      <c r="C866" s="2">
        <v>4</v>
      </c>
      <c r="D866" s="2" t="s">
        <v>67</v>
      </c>
      <c r="E866" s="2" t="s">
        <v>311</v>
      </c>
      <c r="F866" s="2" t="s">
        <v>187</v>
      </c>
      <c r="G866" s="2" t="s">
        <v>22</v>
      </c>
      <c r="H866" s="2" t="s">
        <v>23</v>
      </c>
      <c r="I866" s="2" t="s">
        <v>313</v>
      </c>
      <c r="J866" s="2">
        <v>1</v>
      </c>
      <c r="K866" s="2" t="s">
        <v>24</v>
      </c>
      <c r="L866" s="2">
        <v>25144</v>
      </c>
      <c r="M866" s="2" t="s">
        <v>189</v>
      </c>
      <c r="N866" s="2">
        <v>59</v>
      </c>
      <c r="O866" s="2">
        <v>2104358.9500000002</v>
      </c>
      <c r="P866" s="2">
        <v>35667.1</v>
      </c>
    </row>
    <row r="867" spans="1:16" outlineLevel="2" x14ac:dyDescent="0.2">
      <c r="A867" s="5">
        <v>46051</v>
      </c>
      <c r="B867" s="2">
        <v>156564</v>
      </c>
      <c r="C867" s="2">
        <v>5</v>
      </c>
      <c r="D867" s="2" t="s">
        <v>67</v>
      </c>
      <c r="E867" s="2" t="s">
        <v>311</v>
      </c>
      <c r="F867" s="2" t="s">
        <v>187</v>
      </c>
      <c r="G867" s="2" t="s">
        <v>22</v>
      </c>
      <c r="H867" s="2" t="s">
        <v>23</v>
      </c>
      <c r="I867" s="2" t="s">
        <v>194</v>
      </c>
      <c r="J867" s="2">
        <v>1</v>
      </c>
      <c r="K867" s="2" t="s">
        <v>24</v>
      </c>
      <c r="L867" s="2">
        <v>25144</v>
      </c>
      <c r="M867" s="2" t="s">
        <v>189</v>
      </c>
      <c r="N867" s="2">
        <v>23</v>
      </c>
      <c r="O867" s="2">
        <v>809735.64</v>
      </c>
      <c r="P867" s="2">
        <v>35205.9</v>
      </c>
    </row>
    <row r="868" spans="1:16" outlineLevel="1" x14ac:dyDescent="0.2">
      <c r="A868" s="5"/>
      <c r="D868" s="3" t="s">
        <v>720</v>
      </c>
      <c r="N868" s="2">
        <f>SUBTOTAL(9,N865:N867)</f>
        <v>83</v>
      </c>
      <c r="O868" s="2">
        <f>SUBTOTAL(9,O865:O867)</f>
        <v>2954875.9000000004</v>
      </c>
    </row>
    <row r="869" spans="1:16" outlineLevel="2" x14ac:dyDescent="0.2">
      <c r="A869" s="5">
        <v>46051</v>
      </c>
      <c r="B869" s="2">
        <v>156566</v>
      </c>
      <c r="C869" s="2">
        <v>2</v>
      </c>
      <c r="D869" s="2" t="s">
        <v>57</v>
      </c>
      <c r="E869" s="2" t="s">
        <v>308</v>
      </c>
      <c r="F869" s="2" t="s">
        <v>31</v>
      </c>
      <c r="G869" s="2" t="s">
        <v>22</v>
      </c>
      <c r="H869" s="2" t="s">
        <v>23</v>
      </c>
      <c r="I869" s="2" t="s">
        <v>309</v>
      </c>
      <c r="J869" s="2">
        <v>1</v>
      </c>
      <c r="K869" s="2" t="s">
        <v>24</v>
      </c>
      <c r="L869" s="2">
        <v>226</v>
      </c>
      <c r="M869" s="2" t="s">
        <v>59</v>
      </c>
      <c r="N869" s="2">
        <v>148</v>
      </c>
      <c r="O869" s="2">
        <v>7184842.4000000004</v>
      </c>
      <c r="P869" s="2">
        <v>48546.23</v>
      </c>
    </row>
    <row r="870" spans="1:16" outlineLevel="1" x14ac:dyDescent="0.2">
      <c r="A870" s="5"/>
      <c r="D870" s="3" t="s">
        <v>716</v>
      </c>
      <c r="N870" s="2">
        <f>SUBTOTAL(9,N869:N869)</f>
        <v>148</v>
      </c>
      <c r="O870" s="2">
        <f>SUBTOTAL(9,O869:O869)</f>
        <v>7184842.4000000004</v>
      </c>
    </row>
    <row r="871" spans="1:16" outlineLevel="2" x14ac:dyDescent="0.2">
      <c r="A871" s="5">
        <v>46051</v>
      </c>
      <c r="B871" s="2">
        <v>156566</v>
      </c>
      <c r="C871" s="2">
        <v>4</v>
      </c>
      <c r="D871" s="2" t="s">
        <v>107</v>
      </c>
      <c r="E871" s="2" t="s">
        <v>314</v>
      </c>
      <c r="F871" s="2" t="s">
        <v>31</v>
      </c>
      <c r="G871" s="2" t="s">
        <v>22</v>
      </c>
      <c r="H871" s="2" t="s">
        <v>23</v>
      </c>
      <c r="I871" s="2" t="s">
        <v>315</v>
      </c>
      <c r="J871" s="2">
        <v>1</v>
      </c>
      <c r="K871" s="2" t="s">
        <v>24</v>
      </c>
      <c r="L871" s="2">
        <v>226</v>
      </c>
      <c r="M871" s="2" t="s">
        <v>59</v>
      </c>
      <c r="N871" s="2">
        <v>76</v>
      </c>
      <c r="O871" s="2">
        <v>1963330.22</v>
      </c>
      <c r="P871" s="2">
        <v>25833.29</v>
      </c>
    </row>
    <row r="872" spans="1:16" outlineLevel="1" x14ac:dyDescent="0.2">
      <c r="A872" s="5"/>
      <c r="D872" s="3" t="s">
        <v>726</v>
      </c>
      <c r="N872" s="2">
        <f>SUBTOTAL(9,N871:N871)</f>
        <v>76</v>
      </c>
      <c r="O872" s="2">
        <f>SUBTOTAL(9,O871:O871)</f>
        <v>1963330.22</v>
      </c>
    </row>
    <row r="873" spans="1:16" outlineLevel="2" x14ac:dyDescent="0.2">
      <c r="A873" s="5">
        <v>46051</v>
      </c>
      <c r="B873" s="2">
        <v>156566</v>
      </c>
      <c r="C873" s="2">
        <v>5</v>
      </c>
      <c r="D873" s="2" t="s">
        <v>29</v>
      </c>
      <c r="E873" s="2" t="s">
        <v>316</v>
      </c>
      <c r="F873" s="2" t="s">
        <v>31</v>
      </c>
      <c r="G873" s="2" t="s">
        <v>22</v>
      </c>
      <c r="H873" s="2" t="s">
        <v>23</v>
      </c>
      <c r="I873" s="2" t="s">
        <v>315</v>
      </c>
      <c r="J873" s="2">
        <v>1</v>
      </c>
      <c r="K873" s="2" t="s">
        <v>24</v>
      </c>
      <c r="L873" s="2">
        <v>226</v>
      </c>
      <c r="M873" s="2" t="s">
        <v>59</v>
      </c>
      <c r="N873" s="2">
        <v>16</v>
      </c>
      <c r="O873" s="2">
        <v>441833.84</v>
      </c>
      <c r="P873" s="2">
        <v>27614.62</v>
      </c>
    </row>
    <row r="874" spans="1:16" outlineLevel="1" x14ac:dyDescent="0.2">
      <c r="A874" s="5"/>
      <c r="D874" s="3" t="s">
        <v>703</v>
      </c>
      <c r="N874" s="2">
        <f>SUBTOTAL(9,N873:N873)</f>
        <v>16</v>
      </c>
      <c r="O874" s="2">
        <f>SUBTOTAL(9,O873:O873)</f>
        <v>441833.84</v>
      </c>
    </row>
    <row r="875" spans="1:16" outlineLevel="2" x14ac:dyDescent="0.2">
      <c r="A875" s="5">
        <v>46051</v>
      </c>
      <c r="B875" s="2">
        <v>156566</v>
      </c>
      <c r="C875" s="2">
        <v>6</v>
      </c>
      <c r="D875" s="2" t="s">
        <v>60</v>
      </c>
      <c r="E875" s="2" t="s">
        <v>253</v>
      </c>
      <c r="F875" s="2" t="s">
        <v>31</v>
      </c>
      <c r="G875" s="2" t="s">
        <v>22</v>
      </c>
      <c r="H875" s="2" t="s">
        <v>23</v>
      </c>
      <c r="I875" s="2" t="s">
        <v>23</v>
      </c>
      <c r="J875" s="2">
        <v>78</v>
      </c>
      <c r="K875" s="2" t="s">
        <v>212</v>
      </c>
      <c r="L875" s="2">
        <v>226</v>
      </c>
      <c r="M875" s="2" t="s">
        <v>59</v>
      </c>
      <c r="N875" s="2">
        <v>182</v>
      </c>
      <c r="O875" s="2">
        <v>3175947.39</v>
      </c>
      <c r="P875" s="2">
        <v>17450.259999999998</v>
      </c>
    </row>
    <row r="876" spans="1:16" outlineLevel="1" x14ac:dyDescent="0.2">
      <c r="A876" s="5"/>
      <c r="D876" s="3" t="s">
        <v>728</v>
      </c>
      <c r="N876" s="2">
        <f>SUBTOTAL(9,N875:N875)</f>
        <v>182</v>
      </c>
      <c r="O876" s="2">
        <f>SUBTOTAL(9,O875:O875)</f>
        <v>3175947.39</v>
      </c>
    </row>
    <row r="877" spans="1:16" outlineLevel="2" x14ac:dyDescent="0.2">
      <c r="A877" s="5">
        <v>46051</v>
      </c>
      <c r="B877" s="2">
        <v>156566</v>
      </c>
      <c r="C877" s="2">
        <v>7</v>
      </c>
      <c r="D877" s="2" t="s">
        <v>83</v>
      </c>
      <c r="E877" s="2" t="s">
        <v>317</v>
      </c>
      <c r="F877" s="2" t="s">
        <v>31</v>
      </c>
      <c r="G877" s="2" t="s">
        <v>22</v>
      </c>
      <c r="H877" s="2" t="s">
        <v>23</v>
      </c>
      <c r="I877" s="2" t="s">
        <v>23</v>
      </c>
      <c r="J877" s="2">
        <v>1</v>
      </c>
      <c r="K877" s="2" t="s">
        <v>24</v>
      </c>
      <c r="L877" s="2">
        <v>226</v>
      </c>
      <c r="M877" s="2" t="s">
        <v>59</v>
      </c>
      <c r="N877" s="2">
        <v>104</v>
      </c>
      <c r="O877" s="2">
        <v>2460228.5499999998</v>
      </c>
      <c r="P877" s="2">
        <v>23656.04</v>
      </c>
    </row>
    <row r="878" spans="1:16" outlineLevel="1" x14ac:dyDescent="0.2">
      <c r="A878" s="5"/>
      <c r="D878" s="3" t="s">
        <v>701</v>
      </c>
      <c r="N878" s="2">
        <f>SUBTOTAL(9,N877:N877)</f>
        <v>104</v>
      </c>
      <c r="O878" s="2">
        <f>SUBTOTAL(9,O877:O877)</f>
        <v>2460228.5499999998</v>
      </c>
    </row>
    <row r="879" spans="1:16" outlineLevel="2" x14ac:dyDescent="0.2">
      <c r="A879" s="5">
        <v>46052</v>
      </c>
      <c r="B879" s="2">
        <v>156569</v>
      </c>
      <c r="C879" s="2">
        <v>310</v>
      </c>
      <c r="D879" s="2" t="s">
        <v>45</v>
      </c>
      <c r="E879" s="2" t="s">
        <v>228</v>
      </c>
      <c r="F879" s="2" t="s">
        <v>55</v>
      </c>
      <c r="G879" s="2" t="s">
        <v>23</v>
      </c>
      <c r="H879" s="2" t="s">
        <v>23</v>
      </c>
      <c r="I879" s="2" t="s">
        <v>23</v>
      </c>
      <c r="J879" s="2">
        <v>2</v>
      </c>
      <c r="K879" s="2" t="s">
        <v>48</v>
      </c>
      <c r="L879" s="2">
        <v>1964</v>
      </c>
      <c r="M879" s="2" t="s">
        <v>49</v>
      </c>
      <c r="N879" s="2">
        <v>6</v>
      </c>
      <c r="O879" s="2">
        <v>44897.15</v>
      </c>
      <c r="P879" s="2">
        <v>7482.86</v>
      </c>
    </row>
    <row r="880" spans="1:16" outlineLevel="1" x14ac:dyDescent="0.2">
      <c r="A880" s="5"/>
      <c r="D880" s="3" t="s">
        <v>733</v>
      </c>
      <c r="N880" s="2">
        <f>SUBTOTAL(9,N879:N879)</f>
        <v>6</v>
      </c>
      <c r="O880" s="2">
        <f>SUBTOTAL(9,O879:O879)</f>
        <v>44897.15</v>
      </c>
    </row>
    <row r="881" spans="1:16" outlineLevel="2" x14ac:dyDescent="0.2">
      <c r="A881" s="5">
        <v>46055</v>
      </c>
      <c r="B881" s="2">
        <v>156574</v>
      </c>
      <c r="C881" s="2">
        <v>1</v>
      </c>
      <c r="D881" s="2" t="s">
        <v>38</v>
      </c>
      <c r="E881" s="2" t="s">
        <v>39</v>
      </c>
      <c r="F881" s="2" t="s">
        <v>63</v>
      </c>
      <c r="G881" s="2" t="s">
        <v>22</v>
      </c>
      <c r="H881" s="2" t="s">
        <v>23</v>
      </c>
      <c r="I881" s="2" t="s">
        <v>116</v>
      </c>
      <c r="J881" s="2">
        <v>1</v>
      </c>
      <c r="K881" s="2" t="s">
        <v>24</v>
      </c>
      <c r="L881" s="2">
        <v>817</v>
      </c>
      <c r="M881" s="2" t="s">
        <v>117</v>
      </c>
      <c r="N881" s="2">
        <v>352</v>
      </c>
      <c r="O881" s="2">
        <v>20705551.73</v>
      </c>
      <c r="P881" s="2">
        <v>58822.59</v>
      </c>
    </row>
    <row r="882" spans="1:16" outlineLevel="2" x14ac:dyDescent="0.2">
      <c r="A882" s="5">
        <v>46055</v>
      </c>
      <c r="B882" s="2">
        <v>156574</v>
      </c>
      <c r="C882" s="2">
        <v>2</v>
      </c>
      <c r="D882" s="2" t="s">
        <v>38</v>
      </c>
      <c r="E882" s="2" t="s">
        <v>39</v>
      </c>
      <c r="F882" s="2" t="s">
        <v>63</v>
      </c>
      <c r="G882" s="2" t="s">
        <v>22</v>
      </c>
      <c r="H882" s="2" t="s">
        <v>23</v>
      </c>
      <c r="I882" s="2" t="s">
        <v>135</v>
      </c>
      <c r="J882" s="2">
        <v>1</v>
      </c>
      <c r="K882" s="2" t="s">
        <v>24</v>
      </c>
      <c r="L882" s="2">
        <v>817</v>
      </c>
      <c r="M882" s="2" t="s">
        <v>117</v>
      </c>
      <c r="N882" s="2">
        <v>341</v>
      </c>
      <c r="O882" s="2">
        <v>20153407.32</v>
      </c>
      <c r="P882" s="2">
        <v>59100.9</v>
      </c>
    </row>
    <row r="883" spans="1:16" outlineLevel="2" x14ac:dyDescent="0.2">
      <c r="A883" s="5">
        <v>46055</v>
      </c>
      <c r="B883" s="2">
        <v>156574</v>
      </c>
      <c r="C883" s="2">
        <v>4</v>
      </c>
      <c r="D883" s="2" t="s">
        <v>38</v>
      </c>
      <c r="E883" s="2" t="s">
        <v>39</v>
      </c>
      <c r="F883" s="2" t="s">
        <v>63</v>
      </c>
      <c r="G883" s="2" t="s">
        <v>22</v>
      </c>
      <c r="H883" s="2" t="s">
        <v>23</v>
      </c>
      <c r="I883" s="2" t="s">
        <v>23</v>
      </c>
      <c r="J883" s="2">
        <v>124</v>
      </c>
      <c r="K883" s="2" t="s">
        <v>155</v>
      </c>
      <c r="L883" s="2">
        <v>817</v>
      </c>
      <c r="M883" s="2" t="s">
        <v>117</v>
      </c>
      <c r="N883" s="2">
        <v>300</v>
      </c>
      <c r="O883" s="2">
        <v>20399179.489999998</v>
      </c>
      <c r="P883" s="2">
        <v>67997.259999999995</v>
      </c>
    </row>
    <row r="884" spans="1:16" outlineLevel="1" x14ac:dyDescent="0.2">
      <c r="A884" s="5"/>
      <c r="D884" s="3" t="s">
        <v>721</v>
      </c>
      <c r="N884" s="2">
        <f>SUBTOTAL(9,N881:N883)</f>
        <v>993</v>
      </c>
      <c r="O884" s="2">
        <f>SUBTOTAL(9,O881:O883)</f>
        <v>61258138.539999992</v>
      </c>
    </row>
    <row r="885" spans="1:16" outlineLevel="2" x14ac:dyDescent="0.2">
      <c r="A885" s="5">
        <v>46070</v>
      </c>
      <c r="B885" s="2">
        <v>156575</v>
      </c>
      <c r="C885" s="2">
        <v>1</v>
      </c>
      <c r="D885" s="2" t="s">
        <v>70</v>
      </c>
      <c r="E885" s="2" t="s">
        <v>104</v>
      </c>
      <c r="F885" s="2" t="s">
        <v>63</v>
      </c>
      <c r="G885" s="2" t="s">
        <v>22</v>
      </c>
      <c r="H885" s="2" t="s">
        <v>23</v>
      </c>
      <c r="I885" s="2" t="s">
        <v>318</v>
      </c>
      <c r="J885" s="2">
        <v>86</v>
      </c>
      <c r="K885" s="2" t="s">
        <v>73</v>
      </c>
      <c r="L885" s="2">
        <v>2104</v>
      </c>
      <c r="M885" s="2" t="s">
        <v>118</v>
      </c>
      <c r="N885" s="2">
        <v>1059</v>
      </c>
      <c r="O885" s="2">
        <v>17239173.219999999</v>
      </c>
      <c r="P885" s="2">
        <v>16278.73</v>
      </c>
    </row>
    <row r="886" spans="1:16" outlineLevel="1" x14ac:dyDescent="0.2">
      <c r="A886" s="5"/>
      <c r="D886" s="3" t="s">
        <v>695</v>
      </c>
      <c r="N886" s="2">
        <f>SUBTOTAL(9,N885:N885)</f>
        <v>1059</v>
      </c>
      <c r="O886" s="2">
        <f>SUBTOTAL(9,O885:O885)</f>
        <v>17239173.219999999</v>
      </c>
    </row>
    <row r="887" spans="1:16" outlineLevel="2" x14ac:dyDescent="0.2">
      <c r="A887" s="5">
        <v>46086</v>
      </c>
      <c r="B887" s="2">
        <v>156576</v>
      </c>
      <c r="C887" s="2">
        <v>1</v>
      </c>
      <c r="D887" s="2" t="s">
        <v>150</v>
      </c>
      <c r="E887" s="2" t="s">
        <v>151</v>
      </c>
      <c r="F887" s="2" t="s">
        <v>40</v>
      </c>
      <c r="G887" s="2" t="s">
        <v>22</v>
      </c>
      <c r="H887" s="2" t="s">
        <v>23</v>
      </c>
      <c r="I887" s="2" t="s">
        <v>152</v>
      </c>
      <c r="J887" s="2">
        <v>1</v>
      </c>
      <c r="K887" s="2" t="s">
        <v>24</v>
      </c>
      <c r="L887" s="2">
        <v>2120</v>
      </c>
      <c r="M887" s="2" t="s">
        <v>196</v>
      </c>
      <c r="N887" s="2">
        <v>56</v>
      </c>
      <c r="O887" s="2">
        <v>713338.39</v>
      </c>
      <c r="P887" s="2">
        <v>12738.19</v>
      </c>
    </row>
    <row r="888" spans="1:16" outlineLevel="2" x14ac:dyDescent="0.2">
      <c r="A888" s="5">
        <v>46055</v>
      </c>
      <c r="B888" s="2">
        <v>156576</v>
      </c>
      <c r="C888" s="2">
        <v>3</v>
      </c>
      <c r="D888" s="2" t="s">
        <v>150</v>
      </c>
      <c r="E888" s="2" t="s">
        <v>319</v>
      </c>
      <c r="F888" s="2" t="s">
        <v>40</v>
      </c>
      <c r="G888" s="2" t="s">
        <v>22</v>
      </c>
      <c r="H888" s="2" t="s">
        <v>23</v>
      </c>
      <c r="I888" s="2" t="s">
        <v>320</v>
      </c>
      <c r="J888" s="2">
        <v>1</v>
      </c>
      <c r="K888" s="2" t="s">
        <v>24</v>
      </c>
      <c r="L888" s="2">
        <v>634</v>
      </c>
      <c r="M888" s="2" t="s">
        <v>153</v>
      </c>
      <c r="N888" s="2">
        <v>68</v>
      </c>
      <c r="O888" s="2">
        <v>872253.07</v>
      </c>
      <c r="P888" s="2">
        <v>12827.25</v>
      </c>
    </row>
    <row r="889" spans="1:16" outlineLevel="2" x14ac:dyDescent="0.2">
      <c r="A889" s="5">
        <v>46055</v>
      </c>
      <c r="B889" s="2">
        <v>156576</v>
      </c>
      <c r="C889" s="2">
        <v>4</v>
      </c>
      <c r="D889" s="2" t="s">
        <v>150</v>
      </c>
      <c r="E889" s="2" t="s">
        <v>319</v>
      </c>
      <c r="F889" s="2" t="s">
        <v>40</v>
      </c>
      <c r="G889" s="2" t="s">
        <v>22</v>
      </c>
      <c r="H889" s="2" t="s">
        <v>23</v>
      </c>
      <c r="I889" s="2" t="s">
        <v>100</v>
      </c>
      <c r="J889" s="2">
        <v>1</v>
      </c>
      <c r="K889" s="2" t="s">
        <v>24</v>
      </c>
      <c r="L889" s="2">
        <v>634</v>
      </c>
      <c r="M889" s="2" t="s">
        <v>153</v>
      </c>
      <c r="N889" s="2">
        <v>116</v>
      </c>
      <c r="O889" s="2">
        <v>2221259.1800000002</v>
      </c>
      <c r="P889" s="2">
        <v>19148.79</v>
      </c>
    </row>
    <row r="890" spans="1:16" outlineLevel="2" x14ac:dyDescent="0.2">
      <c r="A890" s="5">
        <v>46066</v>
      </c>
      <c r="B890" s="2">
        <v>156576</v>
      </c>
      <c r="C890" s="2">
        <v>5</v>
      </c>
      <c r="D890" s="2" t="s">
        <v>150</v>
      </c>
      <c r="E890" s="2" t="s">
        <v>319</v>
      </c>
      <c r="F890" s="2" t="s">
        <v>40</v>
      </c>
      <c r="G890" s="2" t="s">
        <v>22</v>
      </c>
      <c r="H890" s="2" t="s">
        <v>23</v>
      </c>
      <c r="I890" s="2" t="s">
        <v>23</v>
      </c>
      <c r="J890" s="2">
        <v>1</v>
      </c>
      <c r="K890" s="2" t="s">
        <v>24</v>
      </c>
      <c r="L890" s="2">
        <v>2120</v>
      </c>
      <c r="M890" s="2" t="s">
        <v>196</v>
      </c>
      <c r="N890" s="2">
        <v>60</v>
      </c>
      <c r="O890" s="2">
        <v>556316.99</v>
      </c>
      <c r="P890" s="2">
        <v>9271.9500000000007</v>
      </c>
    </row>
    <row r="891" spans="1:16" outlineLevel="2" x14ac:dyDescent="0.2">
      <c r="A891" s="5">
        <v>46055</v>
      </c>
      <c r="B891" s="2">
        <v>156576</v>
      </c>
      <c r="C891" s="2">
        <v>6</v>
      </c>
      <c r="D891" s="2" t="s">
        <v>150</v>
      </c>
      <c r="E891" s="2" t="s">
        <v>321</v>
      </c>
      <c r="F891" s="2" t="s">
        <v>40</v>
      </c>
      <c r="G891" s="2" t="s">
        <v>22</v>
      </c>
      <c r="H891" s="2" t="s">
        <v>23</v>
      </c>
      <c r="I891" s="2" t="s">
        <v>109</v>
      </c>
      <c r="J891" s="2">
        <v>1</v>
      </c>
      <c r="K891" s="2" t="s">
        <v>24</v>
      </c>
      <c r="L891" s="2">
        <v>2120</v>
      </c>
      <c r="M891" s="2" t="s">
        <v>196</v>
      </c>
      <c r="N891" s="2">
        <v>71</v>
      </c>
      <c r="O891" s="2">
        <v>1416407.62</v>
      </c>
      <c r="P891" s="2">
        <v>19949.400000000001</v>
      </c>
    </row>
    <row r="892" spans="1:16" outlineLevel="2" x14ac:dyDescent="0.2">
      <c r="A892" s="5">
        <v>46055</v>
      </c>
      <c r="B892" s="2">
        <v>156576</v>
      </c>
      <c r="C892" s="2">
        <v>8</v>
      </c>
      <c r="D892" s="2" t="s">
        <v>150</v>
      </c>
      <c r="E892" s="2" t="s">
        <v>321</v>
      </c>
      <c r="F892" s="2" t="s">
        <v>40</v>
      </c>
      <c r="G892" s="2" t="s">
        <v>22</v>
      </c>
      <c r="H892" s="2" t="s">
        <v>23</v>
      </c>
      <c r="I892" s="2" t="s">
        <v>152</v>
      </c>
      <c r="J892" s="2">
        <v>1</v>
      </c>
      <c r="K892" s="2" t="s">
        <v>24</v>
      </c>
      <c r="L892" s="2">
        <v>634</v>
      </c>
      <c r="M892" s="2" t="s">
        <v>153</v>
      </c>
      <c r="N892" s="2">
        <v>48</v>
      </c>
      <c r="O892" s="2">
        <v>1076058.5</v>
      </c>
      <c r="P892" s="2">
        <v>22417.89</v>
      </c>
    </row>
    <row r="893" spans="1:16" outlineLevel="1" x14ac:dyDescent="0.2">
      <c r="A893" s="5"/>
      <c r="D893" s="3" t="s">
        <v>718</v>
      </c>
      <c r="N893" s="2">
        <f>SUBTOTAL(9,N887:N892)</f>
        <v>419</v>
      </c>
      <c r="O893" s="2">
        <f>SUBTOTAL(9,O887:O892)</f>
        <v>6855633.75</v>
      </c>
    </row>
    <row r="894" spans="1:16" outlineLevel="2" x14ac:dyDescent="0.2">
      <c r="A894" s="5">
        <v>46052</v>
      </c>
      <c r="B894" s="2">
        <v>156579</v>
      </c>
      <c r="C894" s="2">
        <v>1</v>
      </c>
      <c r="D894" s="2" t="s">
        <v>197</v>
      </c>
      <c r="E894" s="2" t="s">
        <v>198</v>
      </c>
      <c r="F894" s="2" t="s">
        <v>199</v>
      </c>
      <c r="G894" s="2" t="s">
        <v>22</v>
      </c>
      <c r="H894" s="2" t="s">
        <v>23</v>
      </c>
      <c r="I894" s="2" t="s">
        <v>23</v>
      </c>
      <c r="J894" s="2">
        <v>2</v>
      </c>
      <c r="K894" s="2" t="s">
        <v>48</v>
      </c>
      <c r="L894" s="2">
        <v>182</v>
      </c>
      <c r="M894" s="2" t="s">
        <v>263</v>
      </c>
      <c r="N894" s="2">
        <v>140</v>
      </c>
      <c r="O894" s="2">
        <v>3340117.65</v>
      </c>
      <c r="P894" s="2">
        <v>23857.98</v>
      </c>
    </row>
    <row r="895" spans="1:16" outlineLevel="2" x14ac:dyDescent="0.2">
      <c r="A895" s="5">
        <v>46055</v>
      </c>
      <c r="B895" s="2">
        <v>156580</v>
      </c>
      <c r="C895" s="2">
        <v>1</v>
      </c>
      <c r="D895" s="2" t="s">
        <v>197</v>
      </c>
      <c r="E895" s="2" t="s">
        <v>198</v>
      </c>
      <c r="F895" s="2" t="s">
        <v>199</v>
      </c>
      <c r="G895" s="2" t="s">
        <v>22</v>
      </c>
      <c r="H895" s="2" t="s">
        <v>23</v>
      </c>
      <c r="I895" s="2" t="s">
        <v>23</v>
      </c>
      <c r="J895" s="2">
        <v>2</v>
      </c>
      <c r="K895" s="2" t="s">
        <v>48</v>
      </c>
      <c r="L895" s="2">
        <v>182</v>
      </c>
      <c r="M895" s="2" t="s">
        <v>263</v>
      </c>
      <c r="N895" s="2">
        <v>204</v>
      </c>
      <c r="O895" s="2">
        <v>5084390.97</v>
      </c>
      <c r="P895" s="2">
        <v>24923.49</v>
      </c>
    </row>
    <row r="896" spans="1:16" outlineLevel="2" x14ac:dyDescent="0.2">
      <c r="A896" s="5">
        <v>46066</v>
      </c>
      <c r="B896" s="2">
        <v>156586</v>
      </c>
      <c r="C896" s="2">
        <v>1</v>
      </c>
      <c r="D896" s="2" t="s">
        <v>197</v>
      </c>
      <c r="E896" s="2" t="s">
        <v>88</v>
      </c>
      <c r="F896" s="2" t="s">
        <v>199</v>
      </c>
      <c r="G896" s="2" t="s">
        <v>22</v>
      </c>
      <c r="H896" s="2" t="s">
        <v>23</v>
      </c>
      <c r="I896" s="2" t="s">
        <v>23</v>
      </c>
      <c r="J896" s="2">
        <v>2</v>
      </c>
      <c r="K896" s="2" t="s">
        <v>48</v>
      </c>
      <c r="L896" s="2">
        <v>600</v>
      </c>
      <c r="M896" s="2" t="s">
        <v>112</v>
      </c>
      <c r="N896" s="2">
        <v>82</v>
      </c>
      <c r="O896" s="2">
        <v>981057.87</v>
      </c>
      <c r="P896" s="2">
        <v>11964.12</v>
      </c>
    </row>
    <row r="897" spans="1:16" outlineLevel="1" x14ac:dyDescent="0.2">
      <c r="A897" s="5"/>
      <c r="D897" s="3" t="s">
        <v>734</v>
      </c>
      <c r="N897" s="2">
        <f>SUBTOTAL(9,N894:N896)</f>
        <v>426</v>
      </c>
      <c r="O897" s="2">
        <f>SUBTOTAL(9,O894:O896)</f>
        <v>9405566.4899999984</v>
      </c>
    </row>
    <row r="898" spans="1:16" outlineLevel="2" x14ac:dyDescent="0.2">
      <c r="A898" s="5">
        <v>46057</v>
      </c>
      <c r="B898" s="2">
        <v>156589</v>
      </c>
      <c r="C898" s="2">
        <v>315</v>
      </c>
      <c r="D898" s="2" t="s">
        <v>203</v>
      </c>
      <c r="E898" s="2" t="s">
        <v>125</v>
      </c>
      <c r="F898" s="2" t="s">
        <v>55</v>
      </c>
      <c r="G898" s="2" t="s">
        <v>23</v>
      </c>
      <c r="H898" s="2" t="s">
        <v>23</v>
      </c>
      <c r="I898" s="2" t="s">
        <v>23</v>
      </c>
      <c r="J898" s="2">
        <v>2</v>
      </c>
      <c r="K898" s="2" t="s">
        <v>48</v>
      </c>
      <c r="L898" s="2">
        <v>626</v>
      </c>
      <c r="M898" s="2" t="s">
        <v>49</v>
      </c>
      <c r="N898" s="2">
        <v>1</v>
      </c>
      <c r="O898" s="2">
        <v>2504.52</v>
      </c>
      <c r="P898" s="2">
        <v>2504.52</v>
      </c>
    </row>
    <row r="899" spans="1:16" outlineLevel="1" x14ac:dyDescent="0.2">
      <c r="A899" s="5"/>
      <c r="D899" s="3" t="s">
        <v>735</v>
      </c>
      <c r="N899" s="2">
        <f>SUBTOTAL(9,N898:N898)</f>
        <v>1</v>
      </c>
      <c r="O899" s="2">
        <f>SUBTOTAL(9,O898:O898)</f>
        <v>2504.52</v>
      </c>
    </row>
    <row r="900" spans="1:16" outlineLevel="2" x14ac:dyDescent="0.2">
      <c r="A900" s="5">
        <v>46052</v>
      </c>
      <c r="B900" s="2">
        <v>156591</v>
      </c>
      <c r="C900" s="2">
        <v>1</v>
      </c>
      <c r="D900" s="2" t="s">
        <v>207</v>
      </c>
      <c r="E900" s="2" t="s">
        <v>23</v>
      </c>
      <c r="F900" s="2" t="s">
        <v>47</v>
      </c>
      <c r="G900" s="2" t="s">
        <v>22</v>
      </c>
      <c r="H900" s="2" t="s">
        <v>208</v>
      </c>
      <c r="I900" s="2" t="s">
        <v>23</v>
      </c>
      <c r="J900" s="2">
        <v>41</v>
      </c>
      <c r="K900" s="2" t="s">
        <v>129</v>
      </c>
      <c r="L900" s="2">
        <v>25213</v>
      </c>
      <c r="M900" s="2" t="s">
        <v>130</v>
      </c>
      <c r="N900" s="2">
        <v>50</v>
      </c>
      <c r="O900" s="2">
        <v>148157.97</v>
      </c>
      <c r="P900" s="2">
        <v>2963.16</v>
      </c>
    </row>
    <row r="901" spans="1:16" outlineLevel="2" x14ac:dyDescent="0.2">
      <c r="A901" s="5">
        <v>46052</v>
      </c>
      <c r="B901" s="2">
        <v>156591</v>
      </c>
      <c r="C901" s="2">
        <v>2</v>
      </c>
      <c r="D901" s="2" t="s">
        <v>207</v>
      </c>
      <c r="E901" s="2" t="s">
        <v>23</v>
      </c>
      <c r="F901" s="2" t="s">
        <v>47</v>
      </c>
      <c r="G901" s="2" t="s">
        <v>22</v>
      </c>
      <c r="H901" s="2" t="s">
        <v>209</v>
      </c>
      <c r="I901" s="2" t="s">
        <v>23</v>
      </c>
      <c r="J901" s="2">
        <v>41</v>
      </c>
      <c r="K901" s="2" t="s">
        <v>129</v>
      </c>
      <c r="L901" s="2">
        <v>25213</v>
      </c>
      <c r="M901" s="2" t="s">
        <v>130</v>
      </c>
      <c r="N901" s="2">
        <v>25</v>
      </c>
      <c r="O901" s="2">
        <v>81426.75</v>
      </c>
      <c r="P901" s="2">
        <v>3257.07</v>
      </c>
    </row>
    <row r="902" spans="1:16" outlineLevel="1" x14ac:dyDescent="0.2">
      <c r="A902" s="5"/>
      <c r="D902" s="3" t="s">
        <v>699</v>
      </c>
      <c r="N902" s="2">
        <f>SUBTOTAL(9,N900:N901)</f>
        <v>75</v>
      </c>
      <c r="O902" s="2">
        <f>SUBTOTAL(9,O900:O901)</f>
        <v>229584.72</v>
      </c>
    </row>
    <row r="903" spans="1:16" outlineLevel="2" x14ac:dyDescent="0.2">
      <c r="A903" s="5">
        <v>46052</v>
      </c>
      <c r="B903" s="2">
        <v>156591</v>
      </c>
      <c r="C903" s="2">
        <v>3</v>
      </c>
      <c r="D903" s="2" t="s">
        <v>128</v>
      </c>
      <c r="E903" s="2" t="s">
        <v>23</v>
      </c>
      <c r="F903" s="2" t="s">
        <v>47</v>
      </c>
      <c r="G903" s="2" t="s">
        <v>22</v>
      </c>
      <c r="H903" s="2" t="s">
        <v>23</v>
      </c>
      <c r="I903" s="2" t="s">
        <v>23</v>
      </c>
      <c r="J903" s="2">
        <v>41</v>
      </c>
      <c r="K903" s="2" t="s">
        <v>129</v>
      </c>
      <c r="L903" s="2">
        <v>25213</v>
      </c>
      <c r="M903" s="2" t="s">
        <v>130</v>
      </c>
      <c r="N903" s="2">
        <v>50</v>
      </c>
      <c r="O903" s="2">
        <v>170536.89</v>
      </c>
      <c r="P903" s="2">
        <v>3410.74</v>
      </c>
    </row>
    <row r="904" spans="1:16" outlineLevel="1" x14ac:dyDescent="0.2">
      <c r="A904" s="5"/>
      <c r="D904" s="3" t="s">
        <v>732</v>
      </c>
      <c r="N904" s="2">
        <f>SUBTOTAL(9,N903:N903)</f>
        <v>50</v>
      </c>
      <c r="O904" s="2">
        <f>SUBTOTAL(9,O903:O903)</f>
        <v>170536.89</v>
      </c>
    </row>
    <row r="905" spans="1:16" outlineLevel="2" x14ac:dyDescent="0.2">
      <c r="A905" s="5">
        <v>46052</v>
      </c>
      <c r="B905" s="2">
        <v>156591</v>
      </c>
      <c r="C905" s="2">
        <v>4</v>
      </c>
      <c r="D905" s="2" t="s">
        <v>294</v>
      </c>
      <c r="E905" s="2" t="s">
        <v>23</v>
      </c>
      <c r="F905" s="2" t="s">
        <v>47</v>
      </c>
      <c r="G905" s="2" t="s">
        <v>22</v>
      </c>
      <c r="H905" s="2" t="s">
        <v>23</v>
      </c>
      <c r="I905" s="2" t="s">
        <v>23</v>
      </c>
      <c r="J905" s="2">
        <v>41</v>
      </c>
      <c r="K905" s="2" t="s">
        <v>129</v>
      </c>
      <c r="L905" s="2">
        <v>25213</v>
      </c>
      <c r="M905" s="2" t="s">
        <v>130</v>
      </c>
      <c r="N905" s="2">
        <v>25</v>
      </c>
      <c r="O905" s="2">
        <v>86093.75</v>
      </c>
      <c r="P905" s="2">
        <v>3443.75</v>
      </c>
    </row>
    <row r="906" spans="1:16" outlineLevel="1" x14ac:dyDescent="0.2">
      <c r="A906" s="5"/>
      <c r="D906" s="3" t="s">
        <v>740</v>
      </c>
      <c r="N906" s="2">
        <f>SUBTOTAL(9,N905:N905)</f>
        <v>25</v>
      </c>
      <c r="O906" s="2">
        <f>SUBTOTAL(9,O905:O905)</f>
        <v>86093.75</v>
      </c>
    </row>
    <row r="907" spans="1:16" outlineLevel="2" x14ac:dyDescent="0.2">
      <c r="A907" s="5">
        <v>46052</v>
      </c>
      <c r="B907" s="2">
        <v>156591</v>
      </c>
      <c r="C907" s="2">
        <v>5</v>
      </c>
      <c r="D907" s="2" t="s">
        <v>207</v>
      </c>
      <c r="E907" s="2" t="s">
        <v>23</v>
      </c>
      <c r="F907" s="2" t="s">
        <v>47</v>
      </c>
      <c r="G907" s="2" t="s">
        <v>22</v>
      </c>
      <c r="H907" s="2" t="s">
        <v>23</v>
      </c>
      <c r="I907" s="2" t="s">
        <v>23</v>
      </c>
      <c r="J907" s="2">
        <v>1</v>
      </c>
      <c r="K907" s="2" t="s">
        <v>24</v>
      </c>
      <c r="L907" s="2">
        <v>25213</v>
      </c>
      <c r="M907" s="2" t="s">
        <v>130</v>
      </c>
      <c r="N907" s="2">
        <v>2</v>
      </c>
      <c r="O907" s="2">
        <v>145326.48000000001</v>
      </c>
      <c r="P907" s="2">
        <v>72663.240000000005</v>
      </c>
    </row>
    <row r="908" spans="1:16" outlineLevel="1" x14ac:dyDescent="0.2">
      <c r="A908" s="5"/>
      <c r="D908" s="3" t="s">
        <v>699</v>
      </c>
      <c r="N908" s="2">
        <f>SUBTOTAL(9,N907:N907)</f>
        <v>2</v>
      </c>
      <c r="O908" s="2">
        <f>SUBTOTAL(9,O907:O907)</f>
        <v>145326.48000000001</v>
      </c>
    </row>
    <row r="909" spans="1:16" outlineLevel="2" x14ac:dyDescent="0.2">
      <c r="A909" s="5">
        <v>46052</v>
      </c>
      <c r="B909" s="2">
        <v>156591</v>
      </c>
      <c r="C909" s="2">
        <v>6</v>
      </c>
      <c r="D909" s="2" t="s">
        <v>128</v>
      </c>
      <c r="E909" s="2" t="s">
        <v>23</v>
      </c>
      <c r="F909" s="2" t="s">
        <v>47</v>
      </c>
      <c r="G909" s="2" t="s">
        <v>22</v>
      </c>
      <c r="H909" s="2" t="s">
        <v>23</v>
      </c>
      <c r="I909" s="2" t="s">
        <v>23</v>
      </c>
      <c r="J909" s="2">
        <v>1</v>
      </c>
      <c r="K909" s="2" t="s">
        <v>24</v>
      </c>
      <c r="L909" s="2">
        <v>25213</v>
      </c>
      <c r="M909" s="2" t="s">
        <v>130</v>
      </c>
      <c r="N909" s="2">
        <v>2</v>
      </c>
      <c r="O909" s="2">
        <v>167729</v>
      </c>
      <c r="P909" s="2">
        <v>83864.5</v>
      </c>
    </row>
    <row r="910" spans="1:16" outlineLevel="1" x14ac:dyDescent="0.2">
      <c r="A910" s="5"/>
      <c r="D910" s="3" t="s">
        <v>732</v>
      </c>
      <c r="N910" s="2">
        <f>SUBTOTAL(9,N909:N909)</f>
        <v>2</v>
      </c>
      <c r="O910" s="2">
        <f>SUBTOTAL(9,O909:O909)</f>
        <v>167729</v>
      </c>
    </row>
    <row r="911" spans="1:16" outlineLevel="2" x14ac:dyDescent="0.2">
      <c r="A911" s="5">
        <v>46052</v>
      </c>
      <c r="B911" s="2">
        <v>156592</v>
      </c>
      <c r="C911" s="2">
        <v>1</v>
      </c>
      <c r="D911" s="2" t="s">
        <v>45</v>
      </c>
      <c r="E911" s="2" t="s">
        <v>125</v>
      </c>
      <c r="F911" s="2" t="s">
        <v>47</v>
      </c>
      <c r="G911" s="2" t="s">
        <v>22</v>
      </c>
      <c r="H911" s="2" t="s">
        <v>23</v>
      </c>
      <c r="I911" s="2" t="s">
        <v>23</v>
      </c>
      <c r="J911" s="2">
        <v>2</v>
      </c>
      <c r="K911" s="2" t="s">
        <v>48</v>
      </c>
      <c r="L911" s="2">
        <v>1964</v>
      </c>
      <c r="M911" s="2" t="s">
        <v>49</v>
      </c>
      <c r="N911" s="2">
        <v>25</v>
      </c>
      <c r="O911" s="2">
        <v>150460.51</v>
      </c>
      <c r="P911" s="2">
        <v>6018.42</v>
      </c>
    </row>
    <row r="912" spans="1:16" outlineLevel="1" x14ac:dyDescent="0.2">
      <c r="A912" s="5"/>
      <c r="D912" s="3" t="s">
        <v>733</v>
      </c>
      <c r="N912" s="2">
        <f>SUBTOTAL(9,N911:N911)</f>
        <v>25</v>
      </c>
      <c r="O912" s="2">
        <f>SUBTOTAL(9,O911:O911)</f>
        <v>150460.51</v>
      </c>
    </row>
    <row r="913" spans="1:16" outlineLevel="2" x14ac:dyDescent="0.2">
      <c r="A913" s="5">
        <v>46052</v>
      </c>
      <c r="B913" s="2">
        <v>156592</v>
      </c>
      <c r="C913" s="2">
        <v>2</v>
      </c>
      <c r="D913" s="2" t="s">
        <v>226</v>
      </c>
      <c r="E913" s="2" t="s">
        <v>151</v>
      </c>
      <c r="F913" s="2" t="s">
        <v>47</v>
      </c>
      <c r="G913" s="2" t="s">
        <v>22</v>
      </c>
      <c r="H913" s="2" t="s">
        <v>23</v>
      </c>
      <c r="I913" s="2" t="s">
        <v>23</v>
      </c>
      <c r="J913" s="2">
        <v>2</v>
      </c>
      <c r="K913" s="2" t="s">
        <v>48</v>
      </c>
      <c r="L913" s="2">
        <v>1964</v>
      </c>
      <c r="M913" s="2" t="s">
        <v>49</v>
      </c>
      <c r="N913" s="2">
        <v>24</v>
      </c>
      <c r="O913" s="2">
        <v>272051.18</v>
      </c>
      <c r="P913" s="2">
        <v>11335.47</v>
      </c>
    </row>
    <row r="914" spans="1:16" outlineLevel="2" x14ac:dyDescent="0.2">
      <c r="A914" s="5">
        <v>46052</v>
      </c>
      <c r="B914" s="2">
        <v>156592</v>
      </c>
      <c r="C914" s="2">
        <v>3</v>
      </c>
      <c r="D914" s="2" t="s">
        <v>226</v>
      </c>
      <c r="E914" s="2" t="s">
        <v>227</v>
      </c>
      <c r="F914" s="2" t="s">
        <v>47</v>
      </c>
      <c r="G914" s="2" t="s">
        <v>22</v>
      </c>
      <c r="H914" s="2" t="s">
        <v>23</v>
      </c>
      <c r="I914" s="2" t="s">
        <v>23</v>
      </c>
      <c r="J914" s="2">
        <v>2</v>
      </c>
      <c r="K914" s="2" t="s">
        <v>48</v>
      </c>
      <c r="L914" s="2">
        <v>1964</v>
      </c>
      <c r="M914" s="2" t="s">
        <v>49</v>
      </c>
      <c r="N914" s="2">
        <v>48</v>
      </c>
      <c r="O914" s="2">
        <v>943330.79</v>
      </c>
      <c r="P914" s="2">
        <v>19652.72</v>
      </c>
    </row>
    <row r="915" spans="1:16" outlineLevel="1" x14ac:dyDescent="0.2">
      <c r="A915" s="5"/>
      <c r="D915" s="3" t="s">
        <v>736</v>
      </c>
      <c r="N915" s="2">
        <f>SUBTOTAL(9,N913:N914)</f>
        <v>72</v>
      </c>
      <c r="O915" s="2">
        <f>SUBTOTAL(9,O913:O914)</f>
        <v>1215381.97</v>
      </c>
    </row>
    <row r="916" spans="1:16" outlineLevel="2" x14ac:dyDescent="0.2">
      <c r="A916" s="5">
        <v>46052</v>
      </c>
      <c r="B916" s="2">
        <v>156592</v>
      </c>
      <c r="C916" s="2">
        <v>4</v>
      </c>
      <c r="D916" s="2" t="s">
        <v>45</v>
      </c>
      <c r="E916" s="2" t="s">
        <v>295</v>
      </c>
      <c r="F916" s="2" t="s">
        <v>47</v>
      </c>
      <c r="G916" s="2" t="s">
        <v>22</v>
      </c>
      <c r="H916" s="2" t="s">
        <v>23</v>
      </c>
      <c r="I916" s="2" t="s">
        <v>23</v>
      </c>
      <c r="J916" s="2">
        <v>2</v>
      </c>
      <c r="K916" s="2" t="s">
        <v>48</v>
      </c>
      <c r="L916" s="2">
        <v>1964</v>
      </c>
      <c r="M916" s="2" t="s">
        <v>49</v>
      </c>
      <c r="N916" s="2">
        <v>48</v>
      </c>
      <c r="O916" s="2">
        <v>643157.38</v>
      </c>
      <c r="P916" s="2">
        <v>13399.11</v>
      </c>
    </row>
    <row r="917" spans="1:16" outlineLevel="1" x14ac:dyDescent="0.2">
      <c r="A917" s="5"/>
      <c r="D917" s="3" t="s">
        <v>733</v>
      </c>
      <c r="N917" s="2">
        <f>SUBTOTAL(9,N916:N916)</f>
        <v>48</v>
      </c>
      <c r="O917" s="2">
        <f>SUBTOTAL(9,O916:O916)</f>
        <v>643157.38</v>
      </c>
    </row>
    <row r="918" spans="1:16" outlineLevel="2" x14ac:dyDescent="0.2">
      <c r="A918" s="5">
        <v>46059</v>
      </c>
      <c r="B918" s="2">
        <v>156596</v>
      </c>
      <c r="C918" s="2">
        <v>315</v>
      </c>
      <c r="D918" s="2" t="s">
        <v>203</v>
      </c>
      <c r="E918" s="2" t="s">
        <v>238</v>
      </c>
      <c r="F918" s="2" t="s">
        <v>55</v>
      </c>
      <c r="G918" s="2" t="s">
        <v>23</v>
      </c>
      <c r="H918" s="2" t="s">
        <v>23</v>
      </c>
      <c r="I918" s="2" t="s">
        <v>23</v>
      </c>
      <c r="J918" s="2">
        <v>2</v>
      </c>
      <c r="K918" s="2" t="s">
        <v>48</v>
      </c>
      <c r="L918" s="2">
        <v>626</v>
      </c>
      <c r="M918" s="2" t="s">
        <v>49</v>
      </c>
      <c r="N918" s="2">
        <v>2</v>
      </c>
      <c r="O918" s="2">
        <v>10609.66</v>
      </c>
      <c r="P918" s="2">
        <v>5304.83</v>
      </c>
    </row>
    <row r="919" spans="1:16" outlineLevel="1" x14ac:dyDescent="0.2">
      <c r="A919" s="5"/>
      <c r="D919" s="3" t="s">
        <v>735</v>
      </c>
      <c r="N919" s="2">
        <f>SUBTOTAL(9,N918:N918)</f>
        <v>2</v>
      </c>
      <c r="O919" s="2">
        <f>SUBTOTAL(9,O918:O918)</f>
        <v>10609.66</v>
      </c>
    </row>
    <row r="920" spans="1:16" outlineLevel="2" x14ac:dyDescent="0.2">
      <c r="A920" s="5">
        <v>46057</v>
      </c>
      <c r="B920" s="2">
        <v>156603</v>
      </c>
      <c r="C920" s="2">
        <v>315</v>
      </c>
      <c r="D920" s="2" t="s">
        <v>45</v>
      </c>
      <c r="E920" s="2" t="s">
        <v>46</v>
      </c>
      <c r="F920" s="2" t="s">
        <v>55</v>
      </c>
      <c r="G920" s="2" t="s">
        <v>23</v>
      </c>
      <c r="H920" s="2" t="s">
        <v>23</v>
      </c>
      <c r="I920" s="2" t="s">
        <v>23</v>
      </c>
      <c r="J920" s="2">
        <v>2</v>
      </c>
      <c r="K920" s="2" t="s">
        <v>48</v>
      </c>
      <c r="L920" s="2">
        <v>600</v>
      </c>
      <c r="M920" s="2" t="s">
        <v>112</v>
      </c>
      <c r="N920" s="2">
        <v>8</v>
      </c>
      <c r="O920" s="2">
        <v>39638.32</v>
      </c>
      <c r="P920" s="2">
        <v>4954.79</v>
      </c>
    </row>
    <row r="921" spans="1:16" outlineLevel="1" x14ac:dyDescent="0.2">
      <c r="A921" s="5"/>
      <c r="D921" s="3" t="s">
        <v>733</v>
      </c>
      <c r="N921" s="2">
        <f>SUBTOTAL(9,N920:N920)</f>
        <v>8</v>
      </c>
      <c r="O921" s="2">
        <f>SUBTOTAL(9,O920:O920)</f>
        <v>39638.32</v>
      </c>
    </row>
    <row r="922" spans="1:16" outlineLevel="2" x14ac:dyDescent="0.2">
      <c r="A922" s="5">
        <v>46059</v>
      </c>
      <c r="B922" s="2">
        <v>156605</v>
      </c>
      <c r="C922" s="2">
        <v>1</v>
      </c>
      <c r="D922" s="2" t="s">
        <v>140</v>
      </c>
      <c r="E922" s="2" t="s">
        <v>55</v>
      </c>
      <c r="F922" s="2" t="s">
        <v>23</v>
      </c>
      <c r="G922" s="2" t="s">
        <v>23</v>
      </c>
      <c r="H922" s="2" t="s">
        <v>23</v>
      </c>
      <c r="I922" s="2" t="s">
        <v>23</v>
      </c>
      <c r="J922" s="2">
        <v>1</v>
      </c>
      <c r="K922" s="2" t="s">
        <v>24</v>
      </c>
      <c r="L922" s="2">
        <v>1833</v>
      </c>
      <c r="M922" s="2" t="s">
        <v>142</v>
      </c>
      <c r="N922" s="2">
        <v>1</v>
      </c>
      <c r="O922" s="2">
        <v>4371.3900000000003</v>
      </c>
      <c r="P922" s="2">
        <v>4371.3900000000003</v>
      </c>
    </row>
    <row r="923" spans="1:16" outlineLevel="1" x14ac:dyDescent="0.2">
      <c r="A923" s="5"/>
      <c r="D923" s="3" t="s">
        <v>696</v>
      </c>
      <c r="N923" s="2">
        <f>SUBTOTAL(9,N922:N922)</f>
        <v>1</v>
      </c>
      <c r="O923" s="2">
        <f>SUBTOTAL(9,O922:O922)</f>
        <v>4371.3900000000003</v>
      </c>
    </row>
    <row r="924" spans="1:16" outlineLevel="2" x14ac:dyDescent="0.2">
      <c r="A924" s="5">
        <v>46055</v>
      </c>
      <c r="B924" s="2">
        <v>156609</v>
      </c>
      <c r="C924" s="2">
        <v>2</v>
      </c>
      <c r="D924" s="2" t="s">
        <v>45</v>
      </c>
      <c r="E924" s="2" t="s">
        <v>125</v>
      </c>
      <c r="F924" s="2" t="s">
        <v>55</v>
      </c>
      <c r="G924" s="2" t="s">
        <v>23</v>
      </c>
      <c r="H924" s="2" t="s">
        <v>23</v>
      </c>
      <c r="I924" s="2" t="s">
        <v>23</v>
      </c>
      <c r="J924" s="2">
        <v>2</v>
      </c>
      <c r="K924" s="2" t="s">
        <v>48</v>
      </c>
      <c r="L924" s="2">
        <v>534</v>
      </c>
      <c r="M924" s="2" t="s">
        <v>241</v>
      </c>
      <c r="N924" s="2">
        <v>30</v>
      </c>
      <c r="O924" s="2">
        <v>108739.14</v>
      </c>
      <c r="P924" s="2">
        <v>3624.64</v>
      </c>
    </row>
    <row r="925" spans="1:16" outlineLevel="2" x14ac:dyDescent="0.2">
      <c r="A925" s="5">
        <v>46059</v>
      </c>
      <c r="B925" s="2">
        <v>156609</v>
      </c>
      <c r="C925" s="2">
        <v>315</v>
      </c>
      <c r="D925" s="2" t="s">
        <v>45</v>
      </c>
      <c r="E925" s="2" t="s">
        <v>125</v>
      </c>
      <c r="F925" s="2" t="s">
        <v>55</v>
      </c>
      <c r="G925" s="2" t="s">
        <v>23</v>
      </c>
      <c r="H925" s="2" t="s">
        <v>23</v>
      </c>
      <c r="I925" s="2" t="s">
        <v>23</v>
      </c>
      <c r="J925" s="2">
        <v>2</v>
      </c>
      <c r="K925" s="2" t="s">
        <v>48</v>
      </c>
      <c r="L925" s="2">
        <v>534</v>
      </c>
      <c r="M925" s="2" t="s">
        <v>241</v>
      </c>
      <c r="N925" s="2">
        <v>1</v>
      </c>
      <c r="O925" s="2">
        <v>8105.15</v>
      </c>
      <c r="P925" s="2">
        <v>8105.15</v>
      </c>
    </row>
    <row r="926" spans="1:16" outlineLevel="1" x14ac:dyDescent="0.2">
      <c r="A926" s="5"/>
      <c r="D926" s="3" t="s">
        <v>733</v>
      </c>
      <c r="N926" s="2">
        <f>SUBTOTAL(9,N924:N925)</f>
        <v>31</v>
      </c>
      <c r="O926" s="2">
        <f>SUBTOTAL(9,O924:O925)</f>
        <v>116844.29</v>
      </c>
    </row>
    <row r="927" spans="1:16" outlineLevel="2" x14ac:dyDescent="0.2">
      <c r="A927" s="5">
        <v>46055</v>
      </c>
      <c r="B927" s="2">
        <v>156611</v>
      </c>
      <c r="C927" s="2">
        <v>1</v>
      </c>
      <c r="D927" s="2" t="s">
        <v>140</v>
      </c>
      <c r="E927" s="2" t="s">
        <v>248</v>
      </c>
      <c r="F927" s="2" t="s">
        <v>108</v>
      </c>
      <c r="G927" s="2" t="s">
        <v>22</v>
      </c>
      <c r="H927" s="2" t="s">
        <v>23</v>
      </c>
      <c r="I927" s="2" t="s">
        <v>23</v>
      </c>
      <c r="J927" s="2">
        <v>1</v>
      </c>
      <c r="K927" s="2" t="s">
        <v>24</v>
      </c>
      <c r="L927" s="2">
        <v>1833</v>
      </c>
      <c r="M927" s="2" t="s">
        <v>142</v>
      </c>
      <c r="N927" s="2">
        <v>11</v>
      </c>
      <c r="O927" s="2">
        <v>284245.39</v>
      </c>
      <c r="P927" s="2">
        <v>25840.49</v>
      </c>
    </row>
    <row r="928" spans="1:16" outlineLevel="1" x14ac:dyDescent="0.2">
      <c r="A928" s="5"/>
      <c r="D928" s="3" t="s">
        <v>696</v>
      </c>
      <c r="N928" s="2">
        <f>SUBTOTAL(9,N927:N927)</f>
        <v>11</v>
      </c>
      <c r="O928" s="2">
        <f>SUBTOTAL(9,O927:O927)</f>
        <v>284245.39</v>
      </c>
    </row>
    <row r="929" spans="1:16" outlineLevel="2" x14ac:dyDescent="0.2">
      <c r="A929" s="5">
        <v>46055</v>
      </c>
      <c r="B929" s="2">
        <v>156612</v>
      </c>
      <c r="C929" s="2">
        <v>1</v>
      </c>
      <c r="D929" s="2" t="s">
        <v>207</v>
      </c>
      <c r="E929" s="2" t="s">
        <v>23</v>
      </c>
      <c r="F929" s="2" t="s">
        <v>47</v>
      </c>
      <c r="G929" s="2" t="s">
        <v>22</v>
      </c>
      <c r="H929" s="2" t="s">
        <v>208</v>
      </c>
      <c r="I929" s="2" t="s">
        <v>23</v>
      </c>
      <c r="J929" s="2">
        <v>41</v>
      </c>
      <c r="K929" s="2" t="s">
        <v>129</v>
      </c>
      <c r="L929" s="2">
        <v>25213</v>
      </c>
      <c r="M929" s="2" t="s">
        <v>130</v>
      </c>
      <c r="N929" s="2">
        <v>75</v>
      </c>
      <c r="O929" s="2">
        <v>238244.51</v>
      </c>
      <c r="P929" s="2">
        <v>3176.59</v>
      </c>
    </row>
    <row r="930" spans="1:16" outlineLevel="2" x14ac:dyDescent="0.2">
      <c r="A930" s="5">
        <v>46055</v>
      </c>
      <c r="B930" s="2">
        <v>156612</v>
      </c>
      <c r="C930" s="2">
        <v>2</v>
      </c>
      <c r="D930" s="2" t="s">
        <v>207</v>
      </c>
      <c r="E930" s="2" t="s">
        <v>23</v>
      </c>
      <c r="F930" s="2" t="s">
        <v>47</v>
      </c>
      <c r="G930" s="2" t="s">
        <v>22</v>
      </c>
      <c r="H930" s="2" t="s">
        <v>209</v>
      </c>
      <c r="I930" s="2" t="s">
        <v>23</v>
      </c>
      <c r="J930" s="2">
        <v>41</v>
      </c>
      <c r="K930" s="2" t="s">
        <v>129</v>
      </c>
      <c r="L930" s="2">
        <v>25213</v>
      </c>
      <c r="M930" s="2" t="s">
        <v>130</v>
      </c>
      <c r="N930" s="2">
        <v>25</v>
      </c>
      <c r="O930" s="2">
        <v>75401.100000000006</v>
      </c>
      <c r="P930" s="2">
        <v>3016.04</v>
      </c>
    </row>
    <row r="931" spans="1:16" outlineLevel="1" x14ac:dyDescent="0.2">
      <c r="A931" s="5"/>
      <c r="D931" s="3" t="s">
        <v>699</v>
      </c>
      <c r="N931" s="2">
        <f>SUBTOTAL(9,N929:N930)</f>
        <v>100</v>
      </c>
      <c r="O931" s="2">
        <f>SUBTOTAL(9,O929:O930)</f>
        <v>313645.61</v>
      </c>
    </row>
    <row r="932" spans="1:16" outlineLevel="2" x14ac:dyDescent="0.2">
      <c r="A932" s="5">
        <v>46055</v>
      </c>
      <c r="B932" s="2">
        <v>156612</v>
      </c>
      <c r="C932" s="2">
        <v>3</v>
      </c>
      <c r="D932" s="2" t="s">
        <v>128</v>
      </c>
      <c r="E932" s="2" t="s">
        <v>23</v>
      </c>
      <c r="F932" s="2" t="s">
        <v>47</v>
      </c>
      <c r="G932" s="2" t="s">
        <v>22</v>
      </c>
      <c r="H932" s="2" t="s">
        <v>23</v>
      </c>
      <c r="I932" s="2" t="s">
        <v>23</v>
      </c>
      <c r="J932" s="2">
        <v>41</v>
      </c>
      <c r="K932" s="2" t="s">
        <v>129</v>
      </c>
      <c r="L932" s="2">
        <v>25213</v>
      </c>
      <c r="M932" s="2" t="s">
        <v>130</v>
      </c>
      <c r="N932" s="2">
        <v>25</v>
      </c>
      <c r="O932" s="2">
        <v>85948.75</v>
      </c>
      <c r="P932" s="2">
        <v>3437.95</v>
      </c>
    </row>
    <row r="933" spans="1:16" outlineLevel="1" x14ac:dyDescent="0.2">
      <c r="A933" s="5"/>
      <c r="D933" s="3" t="s">
        <v>732</v>
      </c>
      <c r="N933" s="2">
        <f>SUBTOTAL(9,N932:N932)</f>
        <v>25</v>
      </c>
      <c r="O933" s="2">
        <f>SUBTOTAL(9,O932:O932)</f>
        <v>85948.75</v>
      </c>
    </row>
    <row r="934" spans="1:16" outlineLevel="2" x14ac:dyDescent="0.2">
      <c r="A934" s="5">
        <v>46055</v>
      </c>
      <c r="B934" s="2">
        <v>156612</v>
      </c>
      <c r="C934" s="2">
        <v>4</v>
      </c>
      <c r="D934" s="2" t="s">
        <v>207</v>
      </c>
      <c r="E934" s="2" t="s">
        <v>23</v>
      </c>
      <c r="F934" s="2" t="s">
        <v>47</v>
      </c>
      <c r="G934" s="2" t="s">
        <v>22</v>
      </c>
      <c r="H934" s="2" t="s">
        <v>23</v>
      </c>
      <c r="I934" s="2" t="s">
        <v>23</v>
      </c>
      <c r="J934" s="2">
        <v>1</v>
      </c>
      <c r="K934" s="2" t="s">
        <v>24</v>
      </c>
      <c r="L934" s="2">
        <v>25213</v>
      </c>
      <c r="M934" s="2" t="s">
        <v>130</v>
      </c>
      <c r="N934" s="2">
        <v>3</v>
      </c>
      <c r="O934" s="2">
        <v>217537.32</v>
      </c>
      <c r="P934" s="2">
        <v>72512.44</v>
      </c>
    </row>
    <row r="935" spans="1:16" outlineLevel="1" x14ac:dyDescent="0.2">
      <c r="A935" s="5"/>
      <c r="D935" s="3" t="s">
        <v>699</v>
      </c>
      <c r="N935" s="2">
        <f>SUBTOTAL(9,N934:N934)</f>
        <v>3</v>
      </c>
      <c r="O935" s="2">
        <f>SUBTOTAL(9,O934:O934)</f>
        <v>217537.32</v>
      </c>
    </row>
    <row r="936" spans="1:16" outlineLevel="2" x14ac:dyDescent="0.2">
      <c r="A936" s="5">
        <v>46055</v>
      </c>
      <c r="B936" s="2">
        <v>156613</v>
      </c>
      <c r="C936" s="2">
        <v>1</v>
      </c>
      <c r="D936" s="2" t="s">
        <v>57</v>
      </c>
      <c r="E936" s="2" t="s">
        <v>308</v>
      </c>
      <c r="F936" s="2" t="s">
        <v>31</v>
      </c>
      <c r="G936" s="2" t="s">
        <v>22</v>
      </c>
      <c r="H936" s="2" t="s">
        <v>23</v>
      </c>
      <c r="I936" s="2" t="s">
        <v>309</v>
      </c>
      <c r="J936" s="2">
        <v>1</v>
      </c>
      <c r="K936" s="2" t="s">
        <v>24</v>
      </c>
      <c r="L936" s="2">
        <v>226</v>
      </c>
      <c r="M936" s="2" t="s">
        <v>59</v>
      </c>
      <c r="N936" s="2">
        <v>42</v>
      </c>
      <c r="O936" s="2">
        <v>2049542.84</v>
      </c>
      <c r="P936" s="2">
        <v>48798.64</v>
      </c>
    </row>
    <row r="937" spans="1:16" outlineLevel="1" x14ac:dyDescent="0.2">
      <c r="A937" s="5"/>
      <c r="D937" s="3" t="s">
        <v>716</v>
      </c>
      <c r="N937" s="2">
        <f>SUBTOTAL(9,N936:N936)</f>
        <v>42</v>
      </c>
      <c r="O937" s="2">
        <f>SUBTOTAL(9,O936:O936)</f>
        <v>2049542.84</v>
      </c>
    </row>
    <row r="938" spans="1:16" outlineLevel="2" x14ac:dyDescent="0.2">
      <c r="A938" s="5">
        <v>46055</v>
      </c>
      <c r="B938" s="2">
        <v>156613</v>
      </c>
      <c r="C938" s="2">
        <v>2</v>
      </c>
      <c r="D938" s="2" t="s">
        <v>60</v>
      </c>
      <c r="E938" s="2" t="s">
        <v>253</v>
      </c>
      <c r="F938" s="2" t="s">
        <v>31</v>
      </c>
      <c r="G938" s="2" t="s">
        <v>22</v>
      </c>
      <c r="H938" s="2" t="s">
        <v>23</v>
      </c>
      <c r="I938" s="2" t="s">
        <v>23</v>
      </c>
      <c r="J938" s="2">
        <v>78</v>
      </c>
      <c r="K938" s="2" t="s">
        <v>212</v>
      </c>
      <c r="L938" s="2">
        <v>226</v>
      </c>
      <c r="M938" s="2" t="s">
        <v>59</v>
      </c>
      <c r="N938" s="2">
        <v>180</v>
      </c>
      <c r="O938" s="2">
        <v>2748005.76</v>
      </c>
      <c r="P938" s="2">
        <v>15266.7</v>
      </c>
    </row>
    <row r="939" spans="1:16" outlineLevel="1" x14ac:dyDescent="0.2">
      <c r="A939" s="5"/>
      <c r="D939" s="3" t="s">
        <v>728</v>
      </c>
      <c r="N939" s="2">
        <f>SUBTOTAL(9,N938:N938)</f>
        <v>180</v>
      </c>
      <c r="O939" s="2">
        <f>SUBTOTAL(9,O938:O938)</f>
        <v>2748005.76</v>
      </c>
    </row>
    <row r="940" spans="1:16" outlineLevel="2" x14ac:dyDescent="0.2">
      <c r="A940" s="5">
        <v>46055</v>
      </c>
      <c r="B940" s="2">
        <v>156613</v>
      </c>
      <c r="C940" s="2">
        <v>3</v>
      </c>
      <c r="D940" s="2" t="s">
        <v>29</v>
      </c>
      <c r="E940" s="2" t="s">
        <v>322</v>
      </c>
      <c r="F940" s="2" t="s">
        <v>31</v>
      </c>
      <c r="G940" s="2" t="s">
        <v>291</v>
      </c>
      <c r="H940" s="2" t="s">
        <v>23</v>
      </c>
      <c r="I940" s="2" t="s">
        <v>23</v>
      </c>
      <c r="J940" s="2">
        <v>1</v>
      </c>
      <c r="K940" s="2" t="s">
        <v>24</v>
      </c>
      <c r="L940" s="2">
        <v>226</v>
      </c>
      <c r="M940" s="2" t="s">
        <v>59</v>
      </c>
      <c r="N940" s="2">
        <v>49</v>
      </c>
      <c r="O940" s="2">
        <v>1187775.3</v>
      </c>
      <c r="P940" s="2">
        <v>24240.31</v>
      </c>
    </row>
    <row r="941" spans="1:16" outlineLevel="1" x14ac:dyDescent="0.2">
      <c r="A941" s="5"/>
      <c r="D941" s="3" t="s">
        <v>703</v>
      </c>
      <c r="N941" s="2">
        <f>SUBTOTAL(9,N940:N940)</f>
        <v>49</v>
      </c>
      <c r="O941" s="2">
        <f>SUBTOTAL(9,O940:O940)</f>
        <v>1187775.3</v>
      </c>
    </row>
    <row r="942" spans="1:16" outlineLevel="2" x14ac:dyDescent="0.2">
      <c r="A942" s="5">
        <v>46055</v>
      </c>
      <c r="B942" s="2">
        <v>156613</v>
      </c>
      <c r="C942" s="2">
        <v>4</v>
      </c>
      <c r="D942" s="2" t="s">
        <v>107</v>
      </c>
      <c r="E942" s="2" t="s">
        <v>254</v>
      </c>
      <c r="F942" s="2" t="s">
        <v>31</v>
      </c>
      <c r="G942" s="2" t="s">
        <v>22</v>
      </c>
      <c r="H942" s="2" t="s">
        <v>23</v>
      </c>
      <c r="I942" s="2" t="s">
        <v>23</v>
      </c>
      <c r="J942" s="2">
        <v>1</v>
      </c>
      <c r="K942" s="2" t="s">
        <v>24</v>
      </c>
      <c r="L942" s="2">
        <v>226</v>
      </c>
      <c r="M942" s="2" t="s">
        <v>59</v>
      </c>
      <c r="N942" s="2">
        <v>64</v>
      </c>
      <c r="O942" s="2">
        <v>1594260.77</v>
      </c>
      <c r="P942" s="2">
        <v>24910.32</v>
      </c>
    </row>
    <row r="943" spans="1:16" outlineLevel="1" x14ac:dyDescent="0.2">
      <c r="A943" s="5"/>
      <c r="D943" s="3" t="s">
        <v>726</v>
      </c>
      <c r="N943" s="2">
        <f>SUBTOTAL(9,N942:N942)</f>
        <v>64</v>
      </c>
      <c r="O943" s="2">
        <f>SUBTOTAL(9,O942:O942)</f>
        <v>1594260.77</v>
      </c>
    </row>
    <row r="944" spans="1:16" outlineLevel="2" x14ac:dyDescent="0.2">
      <c r="A944" s="5">
        <v>46055</v>
      </c>
      <c r="B944" s="2">
        <v>156613</v>
      </c>
      <c r="C944" s="2">
        <v>5</v>
      </c>
      <c r="D944" s="2" t="s">
        <v>29</v>
      </c>
      <c r="E944" s="2" t="s">
        <v>316</v>
      </c>
      <c r="F944" s="2" t="s">
        <v>31</v>
      </c>
      <c r="G944" s="2" t="s">
        <v>22</v>
      </c>
      <c r="H944" s="2" t="s">
        <v>23</v>
      </c>
      <c r="I944" s="2" t="s">
        <v>23</v>
      </c>
      <c r="J944" s="2">
        <v>11</v>
      </c>
      <c r="K944" s="2" t="s">
        <v>257</v>
      </c>
      <c r="L944" s="2">
        <v>226</v>
      </c>
      <c r="M944" s="2" t="s">
        <v>59</v>
      </c>
      <c r="N944" s="2">
        <v>64</v>
      </c>
      <c r="O944" s="2">
        <v>1573515.72</v>
      </c>
      <c r="P944" s="2">
        <v>24586.18</v>
      </c>
    </row>
    <row r="945" spans="1:16" outlineLevel="1" x14ac:dyDescent="0.2">
      <c r="A945" s="5"/>
      <c r="D945" s="3" t="s">
        <v>703</v>
      </c>
      <c r="N945" s="2">
        <f>SUBTOTAL(9,N944:N944)</f>
        <v>64</v>
      </c>
      <c r="O945" s="2">
        <f>SUBTOTAL(9,O944:O944)</f>
        <v>1573515.72</v>
      </c>
    </row>
    <row r="946" spans="1:16" outlineLevel="2" x14ac:dyDescent="0.2">
      <c r="A946" s="5">
        <v>46055</v>
      </c>
      <c r="B946" s="2">
        <v>156614</v>
      </c>
      <c r="C946" s="2">
        <v>1</v>
      </c>
      <c r="D946" s="2" t="s">
        <v>143</v>
      </c>
      <c r="E946" s="2" t="s">
        <v>23</v>
      </c>
      <c r="F946" s="2" t="s">
        <v>144</v>
      </c>
      <c r="G946" s="2" t="s">
        <v>22</v>
      </c>
      <c r="H946" s="2" t="s">
        <v>23</v>
      </c>
      <c r="I946" s="2" t="s">
        <v>23</v>
      </c>
      <c r="J946" s="2">
        <v>1</v>
      </c>
      <c r="K946" s="2" t="s">
        <v>24</v>
      </c>
      <c r="L946" s="2">
        <v>2101</v>
      </c>
      <c r="M946" s="2" t="s">
        <v>145</v>
      </c>
      <c r="N946" s="2">
        <v>133</v>
      </c>
      <c r="O946" s="2">
        <v>1815059.39</v>
      </c>
      <c r="P946" s="2">
        <v>13647.06</v>
      </c>
    </row>
    <row r="947" spans="1:16" outlineLevel="1" x14ac:dyDescent="0.2">
      <c r="A947" s="5"/>
      <c r="D947" s="3" t="s">
        <v>706</v>
      </c>
      <c r="N947" s="2">
        <f>SUBTOTAL(9,N946:N946)</f>
        <v>133</v>
      </c>
      <c r="O947" s="2">
        <f>SUBTOTAL(9,O946:O946)</f>
        <v>1815059.39</v>
      </c>
    </row>
    <row r="948" spans="1:16" outlineLevel="2" x14ac:dyDescent="0.2">
      <c r="A948" s="5">
        <v>46055</v>
      </c>
      <c r="B948" s="2">
        <v>156615</v>
      </c>
      <c r="C948" s="2">
        <v>1</v>
      </c>
      <c r="D948" s="2" t="s">
        <v>297</v>
      </c>
      <c r="E948" s="2" t="s">
        <v>323</v>
      </c>
      <c r="F948" s="2" t="s">
        <v>47</v>
      </c>
      <c r="G948" s="2" t="s">
        <v>22</v>
      </c>
      <c r="H948" s="2" t="s">
        <v>23</v>
      </c>
      <c r="I948" s="2" t="s">
        <v>23</v>
      </c>
      <c r="J948" s="2">
        <v>1</v>
      </c>
      <c r="K948" s="2" t="s">
        <v>24</v>
      </c>
      <c r="L948" s="2">
        <v>1964</v>
      </c>
      <c r="M948" s="2" t="s">
        <v>49</v>
      </c>
      <c r="N948" s="2">
        <v>3</v>
      </c>
      <c r="O948" s="2">
        <v>36450.14</v>
      </c>
      <c r="P948" s="2">
        <v>12150.05</v>
      </c>
    </row>
    <row r="949" spans="1:16" outlineLevel="1" x14ac:dyDescent="0.2">
      <c r="A949" s="5"/>
      <c r="D949" s="3" t="s">
        <v>741</v>
      </c>
      <c r="N949" s="2">
        <f>SUBTOTAL(9,N948:N948)</f>
        <v>3</v>
      </c>
      <c r="O949" s="2">
        <f>SUBTOTAL(9,O948:O948)</f>
        <v>36450.14</v>
      </c>
    </row>
    <row r="950" spans="1:16" outlineLevel="2" x14ac:dyDescent="0.2">
      <c r="A950" s="5">
        <v>46055</v>
      </c>
      <c r="B950" s="2">
        <v>156615</v>
      </c>
      <c r="C950" s="2">
        <v>2</v>
      </c>
      <c r="D950" s="2" t="s">
        <v>299</v>
      </c>
      <c r="E950" s="2" t="s">
        <v>305</v>
      </c>
      <c r="F950" s="2" t="s">
        <v>47</v>
      </c>
      <c r="G950" s="2" t="s">
        <v>22</v>
      </c>
      <c r="H950" s="2" t="s">
        <v>23</v>
      </c>
      <c r="I950" s="2" t="s">
        <v>23</v>
      </c>
      <c r="J950" s="2">
        <v>1</v>
      </c>
      <c r="K950" s="2" t="s">
        <v>24</v>
      </c>
      <c r="L950" s="2">
        <v>1964</v>
      </c>
      <c r="M950" s="2" t="s">
        <v>49</v>
      </c>
      <c r="N950" s="2">
        <v>3</v>
      </c>
      <c r="O950" s="2">
        <v>36450.14</v>
      </c>
      <c r="P950" s="2">
        <v>12150.05</v>
      </c>
    </row>
    <row r="951" spans="1:16" outlineLevel="1" x14ac:dyDescent="0.2">
      <c r="A951" s="5"/>
      <c r="D951" s="3" t="s">
        <v>742</v>
      </c>
      <c r="N951" s="2">
        <f>SUBTOTAL(9,N950:N950)</f>
        <v>3</v>
      </c>
      <c r="O951" s="2">
        <f>SUBTOTAL(9,O950:O950)</f>
        <v>36450.14</v>
      </c>
    </row>
    <row r="952" spans="1:16" outlineLevel="2" x14ac:dyDescent="0.2">
      <c r="A952" s="5">
        <v>46055</v>
      </c>
      <c r="B952" s="2">
        <v>156615</v>
      </c>
      <c r="C952" s="2">
        <v>3</v>
      </c>
      <c r="D952" s="2" t="s">
        <v>300</v>
      </c>
      <c r="E952" s="2" t="s">
        <v>323</v>
      </c>
      <c r="F952" s="2" t="s">
        <v>47</v>
      </c>
      <c r="G952" s="2" t="s">
        <v>22</v>
      </c>
      <c r="H952" s="2" t="s">
        <v>23</v>
      </c>
      <c r="I952" s="2" t="s">
        <v>23</v>
      </c>
      <c r="J952" s="2">
        <v>1</v>
      </c>
      <c r="K952" s="2" t="s">
        <v>24</v>
      </c>
      <c r="L952" s="2">
        <v>1964</v>
      </c>
      <c r="M952" s="2" t="s">
        <v>49</v>
      </c>
      <c r="N952" s="2">
        <v>3</v>
      </c>
      <c r="O952" s="2">
        <v>34583.26</v>
      </c>
      <c r="P952" s="2">
        <v>11527.75</v>
      </c>
    </row>
    <row r="953" spans="1:16" outlineLevel="1" x14ac:dyDescent="0.2">
      <c r="A953" s="5"/>
      <c r="D953" s="3" t="s">
        <v>743</v>
      </c>
      <c r="N953" s="2">
        <f>SUBTOTAL(9,N952:N952)</f>
        <v>3</v>
      </c>
      <c r="O953" s="2">
        <f>SUBTOTAL(9,O952:O952)</f>
        <v>34583.26</v>
      </c>
    </row>
    <row r="954" spans="1:16" outlineLevel="2" x14ac:dyDescent="0.2">
      <c r="A954" s="5">
        <v>46055</v>
      </c>
      <c r="B954" s="2">
        <v>156615</v>
      </c>
      <c r="C954" s="2">
        <v>4</v>
      </c>
      <c r="D954" s="2" t="s">
        <v>324</v>
      </c>
      <c r="E954" s="2" t="s">
        <v>305</v>
      </c>
      <c r="F954" s="2" t="s">
        <v>47</v>
      </c>
      <c r="G954" s="2" t="s">
        <v>22</v>
      </c>
      <c r="H954" s="2" t="s">
        <v>23</v>
      </c>
      <c r="I954" s="2" t="s">
        <v>23</v>
      </c>
      <c r="J954" s="2">
        <v>1</v>
      </c>
      <c r="K954" s="2" t="s">
        <v>24</v>
      </c>
      <c r="L954" s="2">
        <v>1964</v>
      </c>
      <c r="M954" s="2" t="s">
        <v>49</v>
      </c>
      <c r="N954" s="2">
        <v>3</v>
      </c>
      <c r="O954" s="2">
        <v>44851.1</v>
      </c>
      <c r="P954" s="2">
        <v>14950.37</v>
      </c>
    </row>
    <row r="955" spans="1:16" outlineLevel="1" x14ac:dyDescent="0.2">
      <c r="A955" s="5"/>
      <c r="D955" s="3" t="s">
        <v>749</v>
      </c>
      <c r="N955" s="2">
        <f>SUBTOTAL(9,N954:N954)</f>
        <v>3</v>
      </c>
      <c r="O955" s="2">
        <f>SUBTOTAL(9,O954:O954)</f>
        <v>44851.1</v>
      </c>
    </row>
    <row r="956" spans="1:16" outlineLevel="2" x14ac:dyDescent="0.2">
      <c r="A956" s="5">
        <v>46055</v>
      </c>
      <c r="B956" s="2">
        <v>156615</v>
      </c>
      <c r="C956" s="2">
        <v>5</v>
      </c>
      <c r="D956" s="2" t="s">
        <v>301</v>
      </c>
      <c r="E956" s="2" t="s">
        <v>23</v>
      </c>
      <c r="F956" s="2" t="s">
        <v>47</v>
      </c>
      <c r="G956" s="2" t="s">
        <v>22</v>
      </c>
      <c r="H956" s="2" t="s">
        <v>23</v>
      </c>
      <c r="I956" s="2" t="s">
        <v>23</v>
      </c>
      <c r="J956" s="2">
        <v>1</v>
      </c>
      <c r="K956" s="2" t="s">
        <v>24</v>
      </c>
      <c r="L956" s="2">
        <v>1964</v>
      </c>
      <c r="M956" s="2" t="s">
        <v>49</v>
      </c>
      <c r="N956" s="2">
        <v>3</v>
      </c>
      <c r="O956" s="2">
        <v>32716.39</v>
      </c>
      <c r="P956" s="2">
        <v>10905.46</v>
      </c>
    </row>
    <row r="957" spans="1:16" outlineLevel="1" x14ac:dyDescent="0.2">
      <c r="A957" s="5"/>
      <c r="D957" s="3" t="s">
        <v>744</v>
      </c>
      <c r="N957" s="2">
        <f>SUBTOTAL(9,N956:N956)</f>
        <v>3</v>
      </c>
      <c r="O957" s="2">
        <f>SUBTOTAL(9,O956:O956)</f>
        <v>32716.39</v>
      </c>
    </row>
    <row r="958" spans="1:16" outlineLevel="2" x14ac:dyDescent="0.2">
      <c r="A958" s="5">
        <v>46055</v>
      </c>
      <c r="B958" s="2">
        <v>156615</v>
      </c>
      <c r="C958" s="2">
        <v>6</v>
      </c>
      <c r="D958" s="2" t="s">
        <v>302</v>
      </c>
      <c r="E958" s="2" t="s">
        <v>305</v>
      </c>
      <c r="F958" s="2" t="s">
        <v>47</v>
      </c>
      <c r="G958" s="2" t="s">
        <v>22</v>
      </c>
      <c r="H958" s="2" t="s">
        <v>23</v>
      </c>
      <c r="I958" s="2" t="s">
        <v>23</v>
      </c>
      <c r="J958" s="2">
        <v>1</v>
      </c>
      <c r="K958" s="2" t="s">
        <v>24</v>
      </c>
      <c r="L958" s="2">
        <v>1964</v>
      </c>
      <c r="M958" s="2" t="s">
        <v>49</v>
      </c>
      <c r="N958" s="2">
        <v>3</v>
      </c>
      <c r="O958" s="2">
        <v>35516.699999999997</v>
      </c>
      <c r="P958" s="2">
        <v>11838.9</v>
      </c>
    </row>
    <row r="959" spans="1:16" outlineLevel="1" x14ac:dyDescent="0.2">
      <c r="A959" s="5"/>
      <c r="D959" s="3" t="s">
        <v>745</v>
      </c>
      <c r="N959" s="2">
        <f>SUBTOTAL(9,N958:N958)</f>
        <v>3</v>
      </c>
      <c r="O959" s="2">
        <f>SUBTOTAL(9,O958:O958)</f>
        <v>35516.699999999997</v>
      </c>
    </row>
    <row r="960" spans="1:16" outlineLevel="2" x14ac:dyDescent="0.2">
      <c r="A960" s="5">
        <v>46055</v>
      </c>
      <c r="B960" s="2">
        <v>156615</v>
      </c>
      <c r="C960" s="2">
        <v>7</v>
      </c>
      <c r="D960" s="2" t="s">
        <v>303</v>
      </c>
      <c r="E960" s="2" t="s">
        <v>23</v>
      </c>
      <c r="F960" s="2" t="s">
        <v>47</v>
      </c>
      <c r="G960" s="2" t="s">
        <v>22</v>
      </c>
      <c r="H960" s="2" t="s">
        <v>23</v>
      </c>
      <c r="I960" s="2" t="s">
        <v>23</v>
      </c>
      <c r="J960" s="2">
        <v>1</v>
      </c>
      <c r="K960" s="2" t="s">
        <v>24</v>
      </c>
      <c r="L960" s="2">
        <v>1964</v>
      </c>
      <c r="M960" s="2" t="s">
        <v>49</v>
      </c>
      <c r="N960" s="2">
        <v>3</v>
      </c>
      <c r="O960" s="2">
        <v>37383.589999999997</v>
      </c>
      <c r="P960" s="2">
        <v>12461.2</v>
      </c>
    </row>
    <row r="961" spans="1:16" outlineLevel="1" x14ac:dyDescent="0.2">
      <c r="A961" s="5"/>
      <c r="D961" s="3" t="s">
        <v>746</v>
      </c>
      <c r="N961" s="2">
        <f>SUBTOTAL(9,N960:N960)</f>
        <v>3</v>
      </c>
      <c r="O961" s="2">
        <f>SUBTOTAL(9,O960:O960)</f>
        <v>37383.589999999997</v>
      </c>
    </row>
    <row r="962" spans="1:16" outlineLevel="2" x14ac:dyDescent="0.2">
      <c r="A962" s="5">
        <v>46055</v>
      </c>
      <c r="B962" s="2">
        <v>156615</v>
      </c>
      <c r="C962" s="2">
        <v>8</v>
      </c>
      <c r="D962" s="2" t="s">
        <v>304</v>
      </c>
      <c r="E962" s="2" t="s">
        <v>323</v>
      </c>
      <c r="F962" s="2" t="s">
        <v>47</v>
      </c>
      <c r="G962" s="2" t="s">
        <v>22</v>
      </c>
      <c r="H962" s="2" t="s">
        <v>23</v>
      </c>
      <c r="I962" s="2" t="s">
        <v>23</v>
      </c>
      <c r="J962" s="2">
        <v>1</v>
      </c>
      <c r="K962" s="2" t="s">
        <v>24</v>
      </c>
      <c r="L962" s="2">
        <v>1964</v>
      </c>
      <c r="M962" s="2" t="s">
        <v>49</v>
      </c>
      <c r="N962" s="2">
        <v>3</v>
      </c>
      <c r="O962" s="2">
        <v>37383.58</v>
      </c>
      <c r="P962" s="2">
        <v>12461.19</v>
      </c>
    </row>
    <row r="963" spans="1:16" outlineLevel="1" x14ac:dyDescent="0.2">
      <c r="A963" s="5"/>
      <c r="D963" s="3" t="s">
        <v>747</v>
      </c>
      <c r="N963" s="2">
        <f>SUBTOTAL(9,N962:N962)</f>
        <v>3</v>
      </c>
      <c r="O963" s="2">
        <f>SUBTOTAL(9,O962:O962)</f>
        <v>37383.58</v>
      </c>
    </row>
    <row r="964" spans="1:16" outlineLevel="2" x14ac:dyDescent="0.2">
      <c r="A964" s="5">
        <v>46055</v>
      </c>
      <c r="B964" s="2">
        <v>156615</v>
      </c>
      <c r="C964" s="2">
        <v>9</v>
      </c>
      <c r="D964" s="2" t="s">
        <v>325</v>
      </c>
      <c r="E964" s="2" t="s">
        <v>305</v>
      </c>
      <c r="F964" s="2" t="s">
        <v>47</v>
      </c>
      <c r="G964" s="2" t="s">
        <v>22</v>
      </c>
      <c r="H964" s="2" t="s">
        <v>23</v>
      </c>
      <c r="I964" s="2" t="s">
        <v>23</v>
      </c>
      <c r="J964" s="2">
        <v>1</v>
      </c>
      <c r="K964" s="2" t="s">
        <v>24</v>
      </c>
      <c r="L964" s="2">
        <v>1964</v>
      </c>
      <c r="M964" s="2" t="s">
        <v>49</v>
      </c>
      <c r="N964" s="2">
        <v>3</v>
      </c>
      <c r="O964" s="2">
        <v>39250.46</v>
      </c>
      <c r="P964" s="2">
        <v>13083.49</v>
      </c>
    </row>
    <row r="965" spans="1:16" outlineLevel="1" x14ac:dyDescent="0.2">
      <c r="A965" s="5"/>
      <c r="D965" s="3" t="s">
        <v>750</v>
      </c>
      <c r="N965" s="2">
        <f>SUBTOTAL(9,N964:N964)</f>
        <v>3</v>
      </c>
      <c r="O965" s="2">
        <f>SUBTOTAL(9,O964:O964)</f>
        <v>39250.46</v>
      </c>
    </row>
    <row r="966" spans="1:16" outlineLevel="2" x14ac:dyDescent="0.2">
      <c r="A966" s="5">
        <v>46055</v>
      </c>
      <c r="B966" s="2">
        <v>156615</v>
      </c>
      <c r="C966" s="2">
        <v>10</v>
      </c>
      <c r="D966" s="2" t="s">
        <v>326</v>
      </c>
      <c r="E966" s="2" t="s">
        <v>305</v>
      </c>
      <c r="F966" s="2" t="s">
        <v>47</v>
      </c>
      <c r="G966" s="2" t="s">
        <v>22</v>
      </c>
      <c r="H966" s="2" t="s">
        <v>23</v>
      </c>
      <c r="I966" s="2" t="s">
        <v>23</v>
      </c>
      <c r="J966" s="2">
        <v>1</v>
      </c>
      <c r="K966" s="2" t="s">
        <v>24</v>
      </c>
      <c r="L966" s="2">
        <v>1964</v>
      </c>
      <c r="M966" s="2" t="s">
        <v>49</v>
      </c>
      <c r="N966" s="2">
        <v>3</v>
      </c>
      <c r="O966" s="2">
        <v>41117.339999999997</v>
      </c>
      <c r="P966" s="2">
        <v>13705.78</v>
      </c>
    </row>
    <row r="967" spans="1:16" outlineLevel="1" x14ac:dyDescent="0.2">
      <c r="A967" s="5"/>
      <c r="D967" s="3" t="s">
        <v>751</v>
      </c>
      <c r="N967" s="2">
        <f>SUBTOTAL(9,N966:N966)</f>
        <v>3</v>
      </c>
      <c r="O967" s="2">
        <f>SUBTOTAL(9,O966:O966)</f>
        <v>41117.339999999997</v>
      </c>
    </row>
    <row r="968" spans="1:16" outlineLevel="2" x14ac:dyDescent="0.2">
      <c r="A968" s="5">
        <v>46055</v>
      </c>
      <c r="B968" s="2">
        <v>156615</v>
      </c>
      <c r="C968" s="2">
        <v>12</v>
      </c>
      <c r="D968" s="2" t="s">
        <v>45</v>
      </c>
      <c r="E968" s="2" t="s">
        <v>125</v>
      </c>
      <c r="F968" s="2" t="s">
        <v>47</v>
      </c>
      <c r="G968" s="2" t="s">
        <v>22</v>
      </c>
      <c r="H968" s="2" t="s">
        <v>23</v>
      </c>
      <c r="I968" s="2" t="s">
        <v>23</v>
      </c>
      <c r="J968" s="2">
        <v>2</v>
      </c>
      <c r="K968" s="2" t="s">
        <v>48</v>
      </c>
      <c r="L968" s="2">
        <v>1964</v>
      </c>
      <c r="M968" s="2" t="s">
        <v>49</v>
      </c>
      <c r="N968" s="2">
        <v>31</v>
      </c>
      <c r="O968" s="2">
        <v>171917.25</v>
      </c>
      <c r="P968" s="2">
        <v>5545.72</v>
      </c>
    </row>
    <row r="969" spans="1:16" outlineLevel="1" x14ac:dyDescent="0.2">
      <c r="A969" s="5"/>
      <c r="D969" s="3" t="s">
        <v>733</v>
      </c>
      <c r="N969" s="2">
        <f>SUBTOTAL(9,N968:N968)</f>
        <v>31</v>
      </c>
      <c r="O969" s="2">
        <f>SUBTOTAL(9,O968:O968)</f>
        <v>171917.25</v>
      </c>
    </row>
    <row r="970" spans="1:16" outlineLevel="2" x14ac:dyDescent="0.2">
      <c r="A970" s="5">
        <v>46055</v>
      </c>
      <c r="B970" s="2">
        <v>156615</v>
      </c>
      <c r="C970" s="2">
        <v>13</v>
      </c>
      <c r="D970" s="2" t="s">
        <v>226</v>
      </c>
      <c r="E970" s="2" t="s">
        <v>151</v>
      </c>
      <c r="F970" s="2" t="s">
        <v>47</v>
      </c>
      <c r="G970" s="2" t="s">
        <v>22</v>
      </c>
      <c r="H970" s="2" t="s">
        <v>23</v>
      </c>
      <c r="I970" s="2" t="s">
        <v>23</v>
      </c>
      <c r="J970" s="2">
        <v>2</v>
      </c>
      <c r="K970" s="2" t="s">
        <v>48</v>
      </c>
      <c r="L970" s="2">
        <v>1964</v>
      </c>
      <c r="M970" s="2" t="s">
        <v>49</v>
      </c>
      <c r="N970" s="2">
        <v>24</v>
      </c>
      <c r="O970" s="2">
        <v>277599.52</v>
      </c>
      <c r="P970" s="2">
        <v>11566.65</v>
      </c>
    </row>
    <row r="971" spans="1:16" outlineLevel="2" x14ac:dyDescent="0.2">
      <c r="A971" s="5">
        <v>46055</v>
      </c>
      <c r="B971" s="2">
        <v>156615</v>
      </c>
      <c r="C971" s="2">
        <v>14</v>
      </c>
      <c r="D971" s="2" t="s">
        <v>226</v>
      </c>
      <c r="E971" s="2" t="s">
        <v>227</v>
      </c>
      <c r="F971" s="2" t="s">
        <v>47</v>
      </c>
      <c r="G971" s="2" t="s">
        <v>22</v>
      </c>
      <c r="H971" s="2" t="s">
        <v>23</v>
      </c>
      <c r="I971" s="2" t="s">
        <v>23</v>
      </c>
      <c r="J971" s="2">
        <v>2</v>
      </c>
      <c r="K971" s="2" t="s">
        <v>48</v>
      </c>
      <c r="L971" s="2">
        <v>1964</v>
      </c>
      <c r="M971" s="2" t="s">
        <v>49</v>
      </c>
      <c r="N971" s="2">
        <v>48</v>
      </c>
      <c r="O971" s="2">
        <v>991411.27</v>
      </c>
      <c r="P971" s="2">
        <v>20654.400000000001</v>
      </c>
    </row>
    <row r="972" spans="1:16" outlineLevel="1" x14ac:dyDescent="0.2">
      <c r="A972" s="5"/>
      <c r="D972" s="3" t="s">
        <v>736</v>
      </c>
      <c r="N972" s="2">
        <f>SUBTOTAL(9,N970:N971)</f>
        <v>72</v>
      </c>
      <c r="O972" s="2">
        <f>SUBTOTAL(9,O970:O971)</f>
        <v>1269010.79</v>
      </c>
    </row>
    <row r="973" spans="1:16" outlineLevel="2" x14ac:dyDescent="0.2">
      <c r="A973" s="5">
        <v>46055</v>
      </c>
      <c r="B973" s="2">
        <v>156615</v>
      </c>
      <c r="C973" s="2">
        <v>15</v>
      </c>
      <c r="D973" s="2" t="s">
        <v>45</v>
      </c>
      <c r="E973" s="2" t="s">
        <v>227</v>
      </c>
      <c r="F973" s="2" t="s">
        <v>47</v>
      </c>
      <c r="G973" s="2" t="s">
        <v>22</v>
      </c>
      <c r="H973" s="2" t="s">
        <v>23</v>
      </c>
      <c r="I973" s="2" t="s">
        <v>23</v>
      </c>
      <c r="J973" s="2">
        <v>2</v>
      </c>
      <c r="K973" s="2" t="s">
        <v>48</v>
      </c>
      <c r="L973" s="2">
        <v>1964</v>
      </c>
      <c r="M973" s="2" t="s">
        <v>49</v>
      </c>
      <c r="N973" s="2">
        <v>51</v>
      </c>
      <c r="O973" s="2">
        <v>686518.23</v>
      </c>
      <c r="P973" s="2">
        <v>13461.14</v>
      </c>
    </row>
    <row r="974" spans="1:16" outlineLevel="1" x14ac:dyDescent="0.2">
      <c r="A974" s="5"/>
      <c r="D974" s="3" t="s">
        <v>733</v>
      </c>
      <c r="N974" s="2">
        <f>SUBTOTAL(9,N973:N973)</f>
        <v>51</v>
      </c>
      <c r="O974" s="2">
        <f>SUBTOTAL(9,O973:O973)</f>
        <v>686518.23</v>
      </c>
    </row>
    <row r="975" spans="1:16" outlineLevel="2" x14ac:dyDescent="0.2">
      <c r="A975" s="5">
        <v>46085</v>
      </c>
      <c r="B975" s="2">
        <v>156616</v>
      </c>
      <c r="C975" s="2">
        <v>315</v>
      </c>
      <c r="D975" s="2" t="s">
        <v>203</v>
      </c>
      <c r="E975" s="2" t="s">
        <v>125</v>
      </c>
      <c r="F975" s="2" t="s">
        <v>55</v>
      </c>
      <c r="G975" s="2" t="s">
        <v>23</v>
      </c>
      <c r="H975" s="2" t="s">
        <v>23</v>
      </c>
      <c r="I975" s="2" t="s">
        <v>23</v>
      </c>
      <c r="J975" s="2">
        <v>2</v>
      </c>
      <c r="K975" s="2" t="s">
        <v>48</v>
      </c>
      <c r="L975" s="2">
        <v>626</v>
      </c>
      <c r="M975" s="2" t="s">
        <v>49</v>
      </c>
      <c r="N975" s="2">
        <v>16</v>
      </c>
      <c r="O975" s="2">
        <v>25137.279999999999</v>
      </c>
      <c r="P975" s="2">
        <v>1571.08</v>
      </c>
    </row>
    <row r="976" spans="1:16" outlineLevel="1" x14ac:dyDescent="0.2">
      <c r="A976" s="5"/>
      <c r="D976" s="3" t="s">
        <v>735</v>
      </c>
      <c r="N976" s="2">
        <f>SUBTOTAL(9,N975:N975)</f>
        <v>16</v>
      </c>
      <c r="O976" s="2">
        <f>SUBTOTAL(9,O975:O975)</f>
        <v>25137.279999999999</v>
      </c>
    </row>
    <row r="977" spans="1:16" outlineLevel="2" x14ac:dyDescent="0.2">
      <c r="A977" s="5">
        <v>46057</v>
      </c>
      <c r="B977" s="2">
        <v>156620</v>
      </c>
      <c r="C977" s="2">
        <v>1</v>
      </c>
      <c r="D977" s="2" t="s">
        <v>229</v>
      </c>
      <c r="E977" s="2" t="s">
        <v>264</v>
      </c>
      <c r="F977" s="2" t="s">
        <v>231</v>
      </c>
      <c r="G977" s="2" t="s">
        <v>22</v>
      </c>
      <c r="H977" s="2" t="s">
        <v>23</v>
      </c>
      <c r="I977" s="2" t="s">
        <v>23</v>
      </c>
      <c r="J977" s="2">
        <v>2</v>
      </c>
      <c r="K977" s="2" t="s">
        <v>48</v>
      </c>
      <c r="L977" s="2">
        <v>25094</v>
      </c>
      <c r="M977" s="2" t="s">
        <v>236</v>
      </c>
      <c r="N977" s="2">
        <v>81</v>
      </c>
      <c r="O977" s="2">
        <v>1982961.42</v>
      </c>
      <c r="P977" s="2">
        <v>24481.01</v>
      </c>
    </row>
    <row r="978" spans="1:16" outlineLevel="1" x14ac:dyDescent="0.2">
      <c r="A978" s="5"/>
      <c r="D978" s="3" t="s">
        <v>737</v>
      </c>
      <c r="N978" s="2">
        <f>SUBTOTAL(9,N977:N977)</f>
        <v>81</v>
      </c>
      <c r="O978" s="2">
        <f>SUBTOTAL(9,O977:O977)</f>
        <v>1982961.42</v>
      </c>
    </row>
    <row r="979" spans="1:16" outlineLevel="2" x14ac:dyDescent="0.2">
      <c r="A979" s="5">
        <v>46057</v>
      </c>
      <c r="B979" s="2">
        <v>156625</v>
      </c>
      <c r="C979" s="2">
        <v>321</v>
      </c>
      <c r="D979" s="2" t="s">
        <v>45</v>
      </c>
      <c r="E979" s="2" t="s">
        <v>228</v>
      </c>
      <c r="F979" s="2" t="s">
        <v>55</v>
      </c>
      <c r="G979" s="2" t="s">
        <v>23</v>
      </c>
      <c r="H979" s="2" t="s">
        <v>23</v>
      </c>
      <c r="I979" s="2" t="s">
        <v>23</v>
      </c>
      <c r="J979" s="2">
        <v>2</v>
      </c>
      <c r="K979" s="2" t="s">
        <v>48</v>
      </c>
      <c r="L979" s="2">
        <v>1964</v>
      </c>
      <c r="M979" s="2" t="s">
        <v>49</v>
      </c>
      <c r="N979" s="2">
        <v>45</v>
      </c>
      <c r="O979" s="2">
        <v>418871.14</v>
      </c>
      <c r="P979" s="2">
        <v>9308.25</v>
      </c>
    </row>
    <row r="980" spans="1:16" outlineLevel="2" x14ac:dyDescent="0.2">
      <c r="A980" s="5">
        <v>46064</v>
      </c>
      <c r="B980" s="2">
        <v>156625</v>
      </c>
      <c r="C980" s="2">
        <v>323</v>
      </c>
      <c r="D980" s="2" t="s">
        <v>45</v>
      </c>
      <c r="E980" s="2" t="s">
        <v>228</v>
      </c>
      <c r="F980" s="2" t="s">
        <v>55</v>
      </c>
      <c r="G980" s="2" t="s">
        <v>23</v>
      </c>
      <c r="H980" s="2" t="s">
        <v>23</v>
      </c>
      <c r="I980" s="2" t="s">
        <v>23</v>
      </c>
      <c r="J980" s="2">
        <v>2</v>
      </c>
      <c r="K980" s="2" t="s">
        <v>48</v>
      </c>
      <c r="L980" s="2">
        <v>1964</v>
      </c>
      <c r="M980" s="2" t="s">
        <v>49</v>
      </c>
      <c r="N980" s="2">
        <v>20</v>
      </c>
      <c r="O980" s="2">
        <v>124765.4</v>
      </c>
      <c r="P980" s="2">
        <v>6238.27</v>
      </c>
    </row>
    <row r="981" spans="1:16" outlineLevel="1" x14ac:dyDescent="0.2">
      <c r="A981" s="5"/>
      <c r="D981" s="3" t="s">
        <v>733</v>
      </c>
      <c r="N981" s="2">
        <f>SUBTOTAL(9,N979:N980)</f>
        <v>65</v>
      </c>
      <c r="O981" s="2">
        <f>SUBTOTAL(9,O979:O980)</f>
        <v>543636.54</v>
      </c>
    </row>
    <row r="982" spans="1:16" outlineLevel="2" x14ac:dyDescent="0.2">
      <c r="A982" s="5">
        <v>46059</v>
      </c>
      <c r="B982" s="2">
        <v>156629</v>
      </c>
      <c r="C982" s="2">
        <v>1</v>
      </c>
      <c r="D982" s="2" t="s">
        <v>140</v>
      </c>
      <c r="E982" s="2" t="s">
        <v>55</v>
      </c>
      <c r="F982" s="2" t="s">
        <v>23</v>
      </c>
      <c r="G982" s="2" t="s">
        <v>23</v>
      </c>
      <c r="H982" s="2" t="s">
        <v>23</v>
      </c>
      <c r="I982" s="2" t="s">
        <v>23</v>
      </c>
      <c r="J982" s="2">
        <v>1</v>
      </c>
      <c r="K982" s="2" t="s">
        <v>24</v>
      </c>
      <c r="L982" s="2">
        <v>1833</v>
      </c>
      <c r="M982" s="2" t="s">
        <v>142</v>
      </c>
      <c r="N982" s="2">
        <v>4</v>
      </c>
      <c r="O982" s="2">
        <v>13751.82</v>
      </c>
      <c r="P982" s="2">
        <v>3437.96</v>
      </c>
    </row>
    <row r="983" spans="1:16" outlineLevel="1" x14ac:dyDescent="0.2">
      <c r="A983" s="5"/>
      <c r="D983" s="3" t="s">
        <v>696</v>
      </c>
      <c r="N983" s="2">
        <f>SUBTOTAL(9,N982:N982)</f>
        <v>4</v>
      </c>
      <c r="O983" s="2">
        <f>SUBTOTAL(9,O982:O982)</f>
        <v>13751.82</v>
      </c>
    </row>
    <row r="984" spans="1:16" outlineLevel="2" x14ac:dyDescent="0.2">
      <c r="A984" s="5">
        <v>46055</v>
      </c>
      <c r="B984" s="2">
        <v>156642</v>
      </c>
      <c r="C984" s="2">
        <v>1</v>
      </c>
      <c r="D984" s="2" t="s">
        <v>75</v>
      </c>
      <c r="E984" s="2" t="s">
        <v>23</v>
      </c>
      <c r="F984" s="2" t="s">
        <v>108</v>
      </c>
      <c r="G984" s="2" t="s">
        <v>22</v>
      </c>
      <c r="H984" s="2" t="s">
        <v>23</v>
      </c>
      <c r="I984" s="2" t="s">
        <v>100</v>
      </c>
      <c r="J984" s="2">
        <v>1</v>
      </c>
      <c r="K984" s="2" t="s">
        <v>24</v>
      </c>
      <c r="L984" s="2">
        <v>2024</v>
      </c>
      <c r="M984" s="2" t="s">
        <v>76</v>
      </c>
      <c r="N984" s="2">
        <v>160</v>
      </c>
      <c r="O984" s="2">
        <v>4660021.2</v>
      </c>
      <c r="P984" s="2">
        <v>29125.13</v>
      </c>
    </row>
    <row r="985" spans="1:16" outlineLevel="2" x14ac:dyDescent="0.2">
      <c r="A985" s="5">
        <v>46055</v>
      </c>
      <c r="B985" s="2">
        <v>156642</v>
      </c>
      <c r="C985" s="2">
        <v>2</v>
      </c>
      <c r="D985" s="2" t="s">
        <v>75</v>
      </c>
      <c r="E985" s="2" t="s">
        <v>23</v>
      </c>
      <c r="F985" s="2" t="s">
        <v>108</v>
      </c>
      <c r="G985" s="2" t="s">
        <v>22</v>
      </c>
      <c r="H985" s="2" t="s">
        <v>23</v>
      </c>
      <c r="I985" s="2" t="s">
        <v>109</v>
      </c>
      <c r="J985" s="2">
        <v>1</v>
      </c>
      <c r="K985" s="2" t="s">
        <v>24</v>
      </c>
      <c r="L985" s="2">
        <v>2024</v>
      </c>
      <c r="M985" s="2" t="s">
        <v>76</v>
      </c>
      <c r="N985" s="2">
        <v>160</v>
      </c>
      <c r="O985" s="2">
        <v>4817871.34</v>
      </c>
      <c r="P985" s="2">
        <v>30111.7</v>
      </c>
    </row>
    <row r="986" spans="1:16" outlineLevel="2" x14ac:dyDescent="0.2">
      <c r="A986" s="5">
        <v>46055</v>
      </c>
      <c r="B986" s="2">
        <v>156642</v>
      </c>
      <c r="C986" s="2">
        <v>3</v>
      </c>
      <c r="D986" s="2" t="s">
        <v>75</v>
      </c>
      <c r="E986" s="2" t="s">
        <v>23</v>
      </c>
      <c r="F986" s="2" t="s">
        <v>108</v>
      </c>
      <c r="G986" s="2" t="s">
        <v>22</v>
      </c>
      <c r="H986" s="2" t="s">
        <v>23</v>
      </c>
      <c r="I986" s="2" t="s">
        <v>101</v>
      </c>
      <c r="J986" s="2">
        <v>1</v>
      </c>
      <c r="K986" s="2" t="s">
        <v>24</v>
      </c>
      <c r="L986" s="2">
        <v>2024</v>
      </c>
      <c r="M986" s="2" t="s">
        <v>76</v>
      </c>
      <c r="N986" s="2">
        <v>80</v>
      </c>
      <c r="O986" s="2">
        <v>2475697.92</v>
      </c>
      <c r="P986" s="2">
        <v>30946.22</v>
      </c>
    </row>
    <row r="987" spans="1:16" outlineLevel="1" x14ac:dyDescent="0.2">
      <c r="A987" s="5"/>
      <c r="D987" s="3" t="s">
        <v>729</v>
      </c>
      <c r="N987" s="2">
        <f>SUBTOTAL(9,N984:N986)</f>
        <v>400</v>
      </c>
      <c r="O987" s="2">
        <f>SUBTOTAL(9,O984:O986)</f>
        <v>11953590.459999999</v>
      </c>
    </row>
    <row r="988" spans="1:16" outlineLevel="2" x14ac:dyDescent="0.2">
      <c r="A988" s="5">
        <v>46057</v>
      </c>
      <c r="B988" s="2">
        <v>156647</v>
      </c>
      <c r="C988" s="2">
        <v>1</v>
      </c>
      <c r="D988" s="2" t="s">
        <v>197</v>
      </c>
      <c r="E988" s="2" t="s">
        <v>198</v>
      </c>
      <c r="F988" s="2" t="s">
        <v>199</v>
      </c>
      <c r="G988" s="2" t="s">
        <v>22</v>
      </c>
      <c r="H988" s="2" t="s">
        <v>23</v>
      </c>
      <c r="I988" s="2" t="s">
        <v>23</v>
      </c>
      <c r="J988" s="2">
        <v>2</v>
      </c>
      <c r="K988" s="2" t="s">
        <v>48</v>
      </c>
      <c r="L988" s="2">
        <v>25255</v>
      </c>
      <c r="M988" s="2" t="s">
        <v>327</v>
      </c>
      <c r="N988" s="2">
        <v>286</v>
      </c>
      <c r="O988" s="2">
        <v>7195753.29</v>
      </c>
      <c r="P988" s="2">
        <v>25159.98</v>
      </c>
    </row>
    <row r="989" spans="1:16" outlineLevel="2" x14ac:dyDescent="0.2">
      <c r="A989" s="5">
        <v>46059</v>
      </c>
      <c r="B989" s="2">
        <v>156648</v>
      </c>
      <c r="C989" s="2">
        <v>1</v>
      </c>
      <c r="D989" s="2" t="s">
        <v>197</v>
      </c>
      <c r="E989" s="2" t="s">
        <v>284</v>
      </c>
      <c r="F989" s="2" t="s">
        <v>40</v>
      </c>
      <c r="G989" s="2" t="s">
        <v>22</v>
      </c>
      <c r="H989" s="2" t="s">
        <v>23</v>
      </c>
      <c r="I989" s="2" t="s">
        <v>23</v>
      </c>
      <c r="J989" s="2">
        <v>2</v>
      </c>
      <c r="K989" s="2" t="s">
        <v>48</v>
      </c>
      <c r="L989" s="2">
        <v>155</v>
      </c>
      <c r="M989" s="2" t="s">
        <v>328</v>
      </c>
      <c r="N989" s="2">
        <v>102</v>
      </c>
      <c r="O989" s="2">
        <v>1870300.96</v>
      </c>
      <c r="P989" s="2">
        <v>18336.28</v>
      </c>
    </row>
    <row r="990" spans="1:16" outlineLevel="2" x14ac:dyDescent="0.2">
      <c r="A990" s="5">
        <v>46085</v>
      </c>
      <c r="B990" s="2">
        <v>156653</v>
      </c>
      <c r="C990" s="2">
        <v>1</v>
      </c>
      <c r="D990" s="2" t="s">
        <v>197</v>
      </c>
      <c r="E990" s="2" t="s">
        <v>88</v>
      </c>
      <c r="F990" s="2" t="s">
        <v>199</v>
      </c>
      <c r="G990" s="2" t="s">
        <v>22</v>
      </c>
      <c r="H990" s="2" t="s">
        <v>23</v>
      </c>
      <c r="I990" s="2" t="s">
        <v>23</v>
      </c>
      <c r="J990" s="2">
        <v>2</v>
      </c>
      <c r="K990" s="2" t="s">
        <v>48</v>
      </c>
      <c r="L990" s="2">
        <v>1</v>
      </c>
      <c r="M990" s="2" t="s">
        <v>265</v>
      </c>
      <c r="N990" s="2">
        <v>99</v>
      </c>
      <c r="O990" s="2">
        <v>1270923.28</v>
      </c>
      <c r="P990" s="2">
        <v>12837.61</v>
      </c>
    </row>
    <row r="991" spans="1:16" outlineLevel="1" x14ac:dyDescent="0.2">
      <c r="A991" s="5"/>
      <c r="D991" s="3" t="s">
        <v>734</v>
      </c>
      <c r="N991" s="2">
        <f>SUBTOTAL(9,N988:N990)</f>
        <v>487</v>
      </c>
      <c r="O991" s="2">
        <f>SUBTOTAL(9,O988:O990)</f>
        <v>10336977.529999999</v>
      </c>
    </row>
    <row r="992" spans="1:16" outlineLevel="2" x14ac:dyDescent="0.2">
      <c r="A992" s="5">
        <v>46076</v>
      </c>
      <c r="B992" s="2">
        <v>156655</v>
      </c>
      <c r="C992" s="2">
        <v>1</v>
      </c>
      <c r="D992" s="2" t="s">
        <v>150</v>
      </c>
      <c r="E992" s="2" t="s">
        <v>151</v>
      </c>
      <c r="F992" s="2" t="s">
        <v>40</v>
      </c>
      <c r="G992" s="2" t="s">
        <v>22</v>
      </c>
      <c r="H992" s="2" t="s">
        <v>23</v>
      </c>
      <c r="I992" s="2" t="s">
        <v>152</v>
      </c>
      <c r="J992" s="2">
        <v>1</v>
      </c>
      <c r="K992" s="2" t="s">
        <v>24</v>
      </c>
      <c r="L992" s="2">
        <v>634</v>
      </c>
      <c r="M992" s="2" t="s">
        <v>153</v>
      </c>
      <c r="N992" s="2">
        <v>60</v>
      </c>
      <c r="O992" s="2">
        <v>1340383.76</v>
      </c>
      <c r="P992" s="2">
        <v>22339.73</v>
      </c>
    </row>
    <row r="993" spans="1:16" outlineLevel="2" x14ac:dyDescent="0.2">
      <c r="A993" s="5">
        <v>46078</v>
      </c>
      <c r="B993" s="2">
        <v>156655</v>
      </c>
      <c r="C993" s="2">
        <v>2</v>
      </c>
      <c r="D993" s="2" t="s">
        <v>150</v>
      </c>
      <c r="E993" s="2" t="s">
        <v>151</v>
      </c>
      <c r="F993" s="2" t="s">
        <v>40</v>
      </c>
      <c r="G993" s="2" t="s">
        <v>22</v>
      </c>
      <c r="H993" s="2" t="s">
        <v>23</v>
      </c>
      <c r="I993" s="2" t="s">
        <v>154</v>
      </c>
      <c r="J993" s="2">
        <v>1</v>
      </c>
      <c r="K993" s="2" t="s">
        <v>24</v>
      </c>
      <c r="L993" s="2">
        <v>2120</v>
      </c>
      <c r="M993" s="2" t="s">
        <v>196</v>
      </c>
      <c r="N993" s="2">
        <v>119</v>
      </c>
      <c r="O993" s="2">
        <v>2661771.2200000002</v>
      </c>
      <c r="P993" s="2">
        <v>22367.83</v>
      </c>
    </row>
    <row r="994" spans="1:16" outlineLevel="1" x14ac:dyDescent="0.2">
      <c r="A994" s="5"/>
      <c r="D994" s="3" t="s">
        <v>718</v>
      </c>
      <c r="N994" s="2">
        <f>SUBTOTAL(9,N992:N993)</f>
        <v>179</v>
      </c>
      <c r="O994" s="2">
        <f>SUBTOTAL(9,O992:O993)</f>
        <v>4002154.9800000004</v>
      </c>
    </row>
    <row r="995" spans="1:16" outlineLevel="2" x14ac:dyDescent="0.2">
      <c r="A995" s="5">
        <v>46056</v>
      </c>
      <c r="B995" s="2">
        <v>156656</v>
      </c>
      <c r="C995" s="2">
        <v>1</v>
      </c>
      <c r="D995" s="2" t="s">
        <v>88</v>
      </c>
      <c r="E995" s="2" t="s">
        <v>235</v>
      </c>
      <c r="F995" s="2" t="s">
        <v>63</v>
      </c>
      <c r="G995" s="2" t="s">
        <v>22</v>
      </c>
      <c r="H995" s="2" t="s">
        <v>23</v>
      </c>
      <c r="I995" s="2" t="s">
        <v>329</v>
      </c>
      <c r="J995" s="2">
        <v>1</v>
      </c>
      <c r="K995" s="2" t="s">
        <v>24</v>
      </c>
      <c r="L995" s="2">
        <v>25172</v>
      </c>
      <c r="M995" s="2" t="s">
        <v>218</v>
      </c>
      <c r="N995" s="2">
        <v>317</v>
      </c>
      <c r="O995" s="2">
        <v>7698691.6299999999</v>
      </c>
      <c r="P995" s="2">
        <v>24286.09</v>
      </c>
    </row>
    <row r="996" spans="1:16" outlineLevel="2" x14ac:dyDescent="0.2">
      <c r="A996" s="5">
        <v>46055</v>
      </c>
      <c r="B996" s="2">
        <v>156656</v>
      </c>
      <c r="C996" s="2">
        <v>2</v>
      </c>
      <c r="D996" s="2" t="s">
        <v>88</v>
      </c>
      <c r="E996" s="2" t="s">
        <v>235</v>
      </c>
      <c r="F996" s="2" t="s">
        <v>63</v>
      </c>
      <c r="G996" s="2" t="s">
        <v>22</v>
      </c>
      <c r="H996" s="2" t="s">
        <v>23</v>
      </c>
      <c r="I996" s="2" t="s">
        <v>329</v>
      </c>
      <c r="J996" s="2">
        <v>1</v>
      </c>
      <c r="K996" s="2" t="s">
        <v>24</v>
      </c>
      <c r="L996" s="2">
        <v>25172</v>
      </c>
      <c r="M996" s="2" t="s">
        <v>218</v>
      </c>
      <c r="N996" s="2">
        <v>158</v>
      </c>
      <c r="O996" s="2">
        <v>4826748.49</v>
      </c>
      <c r="P996" s="2">
        <v>30549.040000000001</v>
      </c>
    </row>
    <row r="997" spans="1:16" outlineLevel="2" x14ac:dyDescent="0.2">
      <c r="A997" s="5">
        <v>46059</v>
      </c>
      <c r="B997" s="2">
        <v>156656</v>
      </c>
      <c r="C997" s="2">
        <v>3</v>
      </c>
      <c r="D997" s="2" t="s">
        <v>88</v>
      </c>
      <c r="E997" s="2" t="s">
        <v>235</v>
      </c>
      <c r="F997" s="2" t="s">
        <v>63</v>
      </c>
      <c r="G997" s="2" t="s">
        <v>22</v>
      </c>
      <c r="H997" s="2" t="s">
        <v>23</v>
      </c>
      <c r="I997" s="2" t="s">
        <v>329</v>
      </c>
      <c r="J997" s="2">
        <v>1</v>
      </c>
      <c r="K997" s="2" t="s">
        <v>24</v>
      </c>
      <c r="L997" s="2">
        <v>25172</v>
      </c>
      <c r="M997" s="2" t="s">
        <v>218</v>
      </c>
      <c r="N997" s="2">
        <v>157</v>
      </c>
      <c r="O997" s="2">
        <v>1938983.64</v>
      </c>
      <c r="P997" s="2">
        <v>12350.21</v>
      </c>
    </row>
    <row r="998" spans="1:16" outlineLevel="2" x14ac:dyDescent="0.2">
      <c r="A998" s="5">
        <v>46055</v>
      </c>
      <c r="B998" s="2">
        <v>156656</v>
      </c>
      <c r="C998" s="2">
        <v>4</v>
      </c>
      <c r="D998" s="2" t="s">
        <v>88</v>
      </c>
      <c r="E998" s="2" t="s">
        <v>235</v>
      </c>
      <c r="F998" s="2" t="s">
        <v>63</v>
      </c>
      <c r="G998" s="2" t="s">
        <v>22</v>
      </c>
      <c r="H998" s="2" t="s">
        <v>23</v>
      </c>
      <c r="I998" s="2" t="s">
        <v>330</v>
      </c>
      <c r="J998" s="2">
        <v>1</v>
      </c>
      <c r="K998" s="2" t="s">
        <v>24</v>
      </c>
      <c r="L998" s="2">
        <v>25172</v>
      </c>
      <c r="M998" s="2" t="s">
        <v>218</v>
      </c>
      <c r="N998" s="2">
        <v>160</v>
      </c>
      <c r="O998" s="2">
        <v>7504783.9299999997</v>
      </c>
      <c r="P998" s="2">
        <v>46904.9</v>
      </c>
    </row>
    <row r="999" spans="1:16" outlineLevel="1" x14ac:dyDescent="0.2">
      <c r="A999" s="5"/>
      <c r="D999" s="3" t="s">
        <v>698</v>
      </c>
      <c r="N999" s="2">
        <f>SUBTOTAL(9,N995:N998)</f>
        <v>792</v>
      </c>
      <c r="O999" s="2">
        <f>SUBTOTAL(9,O995:O998)</f>
        <v>21969207.690000001</v>
      </c>
    </row>
    <row r="1000" spans="1:16" outlineLevel="2" x14ac:dyDescent="0.2">
      <c r="A1000" s="5">
        <v>46080</v>
      </c>
      <c r="B1000" s="2">
        <v>156663</v>
      </c>
      <c r="C1000" s="2">
        <v>2</v>
      </c>
      <c r="D1000" s="2" t="s">
        <v>57</v>
      </c>
      <c r="E1000" s="2" t="s">
        <v>308</v>
      </c>
      <c r="F1000" s="2" t="s">
        <v>55</v>
      </c>
      <c r="G1000" s="2" t="s">
        <v>23</v>
      </c>
      <c r="H1000" s="2" t="s">
        <v>23</v>
      </c>
      <c r="I1000" s="2" t="s">
        <v>23</v>
      </c>
      <c r="J1000" s="2">
        <v>1</v>
      </c>
      <c r="K1000" s="2" t="s">
        <v>24</v>
      </c>
      <c r="L1000" s="2">
        <v>226</v>
      </c>
      <c r="M1000" s="2" t="s">
        <v>59</v>
      </c>
      <c r="N1000" s="2">
        <v>83</v>
      </c>
      <c r="O1000" s="2">
        <v>1971436.84</v>
      </c>
      <c r="P1000" s="2">
        <v>23752.25</v>
      </c>
    </row>
    <row r="1001" spans="1:16" outlineLevel="1" x14ac:dyDescent="0.2">
      <c r="A1001" s="5"/>
      <c r="D1001" s="3" t="s">
        <v>716</v>
      </c>
      <c r="N1001" s="2">
        <f>SUBTOTAL(9,N1000:N1000)</f>
        <v>83</v>
      </c>
      <c r="O1001" s="2">
        <f>SUBTOTAL(9,O1000:O1000)</f>
        <v>1971436.84</v>
      </c>
    </row>
    <row r="1002" spans="1:16" outlineLevel="2" x14ac:dyDescent="0.2">
      <c r="A1002" s="5">
        <v>46064</v>
      </c>
      <c r="B1002" s="2">
        <v>156664</v>
      </c>
      <c r="C1002" s="2">
        <v>2</v>
      </c>
      <c r="D1002" s="2" t="s">
        <v>26</v>
      </c>
      <c r="E1002" s="2" t="s">
        <v>51</v>
      </c>
      <c r="F1002" s="2" t="s">
        <v>52</v>
      </c>
      <c r="G1002" s="2" t="s">
        <v>22</v>
      </c>
      <c r="H1002" s="2" t="s">
        <v>23</v>
      </c>
      <c r="I1002" s="2" t="s">
        <v>23</v>
      </c>
      <c r="J1002" s="2">
        <v>5</v>
      </c>
      <c r="K1002" s="2" t="s">
        <v>27</v>
      </c>
      <c r="L1002" s="2">
        <v>104</v>
      </c>
      <c r="M1002" s="2" t="s">
        <v>158</v>
      </c>
      <c r="N1002" s="2">
        <v>1050</v>
      </c>
      <c r="O1002" s="2">
        <v>5593236.5800000001</v>
      </c>
      <c r="P1002" s="2">
        <v>5326.89</v>
      </c>
    </row>
    <row r="1003" spans="1:16" outlineLevel="2" x14ac:dyDescent="0.2">
      <c r="A1003" s="5">
        <v>46101</v>
      </c>
      <c r="B1003" s="2">
        <v>156664</v>
      </c>
      <c r="C1003" s="2">
        <v>315</v>
      </c>
      <c r="D1003" s="2" t="s">
        <v>26</v>
      </c>
      <c r="E1003" s="2" t="s">
        <v>51</v>
      </c>
      <c r="F1003" s="2" t="s">
        <v>52</v>
      </c>
      <c r="G1003" s="2" t="s">
        <v>157</v>
      </c>
      <c r="H1003" s="2" t="s">
        <v>23</v>
      </c>
      <c r="I1003" s="2" t="s">
        <v>23</v>
      </c>
      <c r="J1003" s="2">
        <v>5</v>
      </c>
      <c r="K1003" s="2" t="s">
        <v>27</v>
      </c>
      <c r="L1003" s="2">
        <v>104</v>
      </c>
      <c r="M1003" s="2" t="s">
        <v>158</v>
      </c>
      <c r="N1003" s="2">
        <v>113</v>
      </c>
      <c r="O1003" s="2">
        <v>665503.07999999996</v>
      </c>
      <c r="P1003" s="2">
        <v>5889.41</v>
      </c>
    </row>
    <row r="1004" spans="1:16" outlineLevel="1" x14ac:dyDescent="0.2">
      <c r="A1004" s="5"/>
      <c r="D1004" s="3" t="s">
        <v>711</v>
      </c>
      <c r="N1004" s="2">
        <f>SUBTOTAL(9,N1002:N1003)</f>
        <v>1163</v>
      </c>
      <c r="O1004" s="2">
        <f>SUBTOTAL(9,O1002:O1003)</f>
        <v>6258739.6600000001</v>
      </c>
    </row>
    <row r="1005" spans="1:16" outlineLevel="2" x14ac:dyDescent="0.2">
      <c r="A1005" s="5">
        <v>46064</v>
      </c>
      <c r="B1005" s="2">
        <v>156667</v>
      </c>
      <c r="C1005" s="2">
        <v>1</v>
      </c>
      <c r="D1005" s="2" t="s">
        <v>229</v>
      </c>
      <c r="E1005" s="2" t="s">
        <v>23</v>
      </c>
      <c r="F1005" s="2" t="s">
        <v>55</v>
      </c>
      <c r="G1005" s="2" t="s">
        <v>23</v>
      </c>
      <c r="H1005" s="2" t="s">
        <v>23</v>
      </c>
      <c r="I1005" s="2" t="s">
        <v>23</v>
      </c>
      <c r="J1005" s="2">
        <v>2</v>
      </c>
      <c r="K1005" s="2" t="s">
        <v>48</v>
      </c>
      <c r="L1005" s="2">
        <v>25094</v>
      </c>
      <c r="M1005" s="2" t="s">
        <v>236</v>
      </c>
      <c r="N1005" s="2">
        <v>16</v>
      </c>
      <c r="O1005" s="2">
        <v>390111.87</v>
      </c>
      <c r="P1005" s="2">
        <v>24381.99</v>
      </c>
    </row>
    <row r="1006" spans="1:16" outlineLevel="1" x14ac:dyDescent="0.2">
      <c r="A1006" s="5"/>
      <c r="D1006" s="3" t="s">
        <v>737</v>
      </c>
      <c r="N1006" s="2">
        <f>SUBTOTAL(9,N1005:N1005)</f>
        <v>16</v>
      </c>
      <c r="O1006" s="2">
        <f>SUBTOTAL(9,O1005:O1005)</f>
        <v>390111.87</v>
      </c>
    </row>
    <row r="1007" spans="1:16" outlineLevel="2" x14ac:dyDescent="0.2">
      <c r="A1007" s="5">
        <v>46064</v>
      </c>
      <c r="B1007" s="2">
        <v>156668</v>
      </c>
      <c r="C1007" s="2">
        <v>2</v>
      </c>
      <c r="D1007" s="2" t="s">
        <v>29</v>
      </c>
      <c r="E1007" s="2" t="s">
        <v>55</v>
      </c>
      <c r="F1007" s="2" t="s">
        <v>23</v>
      </c>
      <c r="G1007" s="2" t="s">
        <v>23</v>
      </c>
      <c r="H1007" s="2" t="s">
        <v>23</v>
      </c>
      <c r="I1007" s="2" t="s">
        <v>23</v>
      </c>
      <c r="J1007" s="2">
        <v>1</v>
      </c>
      <c r="K1007" s="2" t="s">
        <v>24</v>
      </c>
      <c r="L1007" s="2">
        <v>25177</v>
      </c>
      <c r="M1007" s="2" t="s">
        <v>32</v>
      </c>
      <c r="N1007" s="2">
        <v>85</v>
      </c>
      <c r="O1007" s="2">
        <v>788815.43</v>
      </c>
      <c r="P1007" s="2">
        <v>9280.18</v>
      </c>
    </row>
    <row r="1008" spans="1:16" outlineLevel="2" x14ac:dyDescent="0.2">
      <c r="A1008" s="5">
        <v>46059</v>
      </c>
      <c r="B1008" s="2">
        <v>156668</v>
      </c>
      <c r="C1008" s="2">
        <v>300</v>
      </c>
      <c r="D1008" s="2" t="s">
        <v>29</v>
      </c>
      <c r="E1008" s="2" t="s">
        <v>277</v>
      </c>
      <c r="F1008" s="2" t="s">
        <v>31</v>
      </c>
      <c r="G1008" s="2" t="s">
        <v>22</v>
      </c>
      <c r="H1008" s="2" t="s">
        <v>23</v>
      </c>
      <c r="I1008" s="2" t="s">
        <v>23</v>
      </c>
      <c r="J1008" s="2">
        <v>1</v>
      </c>
      <c r="K1008" s="2" t="s">
        <v>24</v>
      </c>
      <c r="L1008" s="2">
        <v>25177</v>
      </c>
      <c r="M1008" s="2" t="s">
        <v>32</v>
      </c>
      <c r="N1008" s="2">
        <v>94</v>
      </c>
      <c r="O1008" s="2">
        <v>822557.45</v>
      </c>
      <c r="P1008" s="2">
        <v>8750.61</v>
      </c>
    </row>
    <row r="1009" spans="1:16" outlineLevel="1" x14ac:dyDescent="0.2">
      <c r="A1009" s="5"/>
      <c r="D1009" s="3" t="s">
        <v>703</v>
      </c>
      <c r="N1009" s="2">
        <f>SUBTOTAL(9,N1007:N1008)</f>
        <v>179</v>
      </c>
      <c r="O1009" s="2">
        <f>SUBTOTAL(9,O1007:O1008)</f>
        <v>1611372.88</v>
      </c>
    </row>
    <row r="1010" spans="1:16" outlineLevel="2" x14ac:dyDescent="0.2">
      <c r="A1010" s="5">
        <v>46059</v>
      </c>
      <c r="B1010" s="2">
        <v>156673</v>
      </c>
      <c r="C1010" s="2">
        <v>315</v>
      </c>
      <c r="D1010" s="2" t="s">
        <v>45</v>
      </c>
      <c r="E1010" s="2" t="s">
        <v>228</v>
      </c>
      <c r="F1010" s="2" t="s">
        <v>47</v>
      </c>
      <c r="G1010" s="2" t="s">
        <v>22</v>
      </c>
      <c r="H1010" s="2" t="s">
        <v>23</v>
      </c>
      <c r="I1010" s="2" t="s">
        <v>23</v>
      </c>
      <c r="J1010" s="2">
        <v>2</v>
      </c>
      <c r="K1010" s="2" t="s">
        <v>48</v>
      </c>
      <c r="L1010" s="2">
        <v>1964</v>
      </c>
      <c r="M1010" s="2" t="s">
        <v>49</v>
      </c>
      <c r="N1010" s="2">
        <v>15</v>
      </c>
      <c r="O1010" s="2">
        <v>65570.94</v>
      </c>
      <c r="P1010" s="2">
        <v>4371.3999999999996</v>
      </c>
    </row>
    <row r="1011" spans="1:16" outlineLevel="2" x14ac:dyDescent="0.2">
      <c r="A1011" s="5">
        <v>46064</v>
      </c>
      <c r="B1011" s="2">
        <v>156673</v>
      </c>
      <c r="C1011" s="2">
        <v>318</v>
      </c>
      <c r="D1011" s="2" t="s">
        <v>45</v>
      </c>
      <c r="E1011" s="2" t="s">
        <v>228</v>
      </c>
      <c r="F1011" s="2" t="s">
        <v>55</v>
      </c>
      <c r="G1011" s="2" t="s">
        <v>23</v>
      </c>
      <c r="H1011" s="2" t="s">
        <v>23</v>
      </c>
      <c r="I1011" s="2" t="s">
        <v>23</v>
      </c>
      <c r="J1011" s="2">
        <v>2</v>
      </c>
      <c r="K1011" s="2" t="s">
        <v>48</v>
      </c>
      <c r="L1011" s="2">
        <v>1964</v>
      </c>
      <c r="M1011" s="2" t="s">
        <v>49</v>
      </c>
      <c r="N1011" s="2">
        <v>8</v>
      </c>
      <c r="O1011" s="2">
        <v>27503.64</v>
      </c>
      <c r="P1011" s="2">
        <v>3437.96</v>
      </c>
    </row>
    <row r="1012" spans="1:16" outlineLevel="2" x14ac:dyDescent="0.2">
      <c r="A1012" s="5">
        <v>46073</v>
      </c>
      <c r="B1012" s="2">
        <v>156679</v>
      </c>
      <c r="C1012" s="2">
        <v>303</v>
      </c>
      <c r="D1012" s="2" t="s">
        <v>45</v>
      </c>
      <c r="E1012" s="2" t="s">
        <v>46</v>
      </c>
      <c r="F1012" s="2" t="s">
        <v>55</v>
      </c>
      <c r="G1012" s="2" t="s">
        <v>55</v>
      </c>
      <c r="H1012" s="2" t="s">
        <v>23</v>
      </c>
      <c r="I1012" s="2" t="s">
        <v>23</v>
      </c>
      <c r="J1012" s="2">
        <v>2</v>
      </c>
      <c r="K1012" s="2" t="s">
        <v>48</v>
      </c>
      <c r="L1012" s="2">
        <v>341</v>
      </c>
      <c r="M1012" s="2" t="s">
        <v>142</v>
      </c>
      <c r="N1012" s="2">
        <v>7</v>
      </c>
      <c r="O1012" s="2">
        <v>28732.9</v>
      </c>
      <c r="P1012" s="2">
        <v>4104.7</v>
      </c>
    </row>
    <row r="1013" spans="1:16" outlineLevel="1" x14ac:dyDescent="0.2">
      <c r="A1013" s="5"/>
      <c r="D1013" s="3" t="s">
        <v>733</v>
      </c>
      <c r="N1013" s="2">
        <f>SUBTOTAL(9,N1010:N1012)</f>
        <v>30</v>
      </c>
      <c r="O1013" s="2">
        <f>SUBTOTAL(9,O1010:O1012)</f>
        <v>121807.48000000001</v>
      </c>
    </row>
    <row r="1014" spans="1:16" outlineLevel="2" x14ac:dyDescent="0.2">
      <c r="A1014" s="5">
        <v>46057</v>
      </c>
      <c r="B1014" s="2">
        <v>156688</v>
      </c>
      <c r="C1014" s="2">
        <v>1</v>
      </c>
      <c r="D1014" s="2" t="s">
        <v>140</v>
      </c>
      <c r="E1014" s="2" t="s">
        <v>248</v>
      </c>
      <c r="F1014" s="2" t="s">
        <v>108</v>
      </c>
      <c r="G1014" s="2" t="s">
        <v>22</v>
      </c>
      <c r="H1014" s="2" t="s">
        <v>23</v>
      </c>
      <c r="I1014" s="2" t="s">
        <v>23</v>
      </c>
      <c r="J1014" s="2">
        <v>1</v>
      </c>
      <c r="K1014" s="2" t="s">
        <v>24</v>
      </c>
      <c r="L1014" s="2">
        <v>1833</v>
      </c>
      <c r="M1014" s="2" t="s">
        <v>142</v>
      </c>
      <c r="N1014" s="2">
        <v>8</v>
      </c>
      <c r="O1014" s="2">
        <v>197389.54</v>
      </c>
      <c r="P1014" s="2">
        <v>24673.69</v>
      </c>
    </row>
    <row r="1015" spans="1:16" outlineLevel="1" x14ac:dyDescent="0.2">
      <c r="A1015" s="5"/>
      <c r="D1015" s="3" t="s">
        <v>696</v>
      </c>
      <c r="N1015" s="2">
        <f>SUBTOTAL(9,N1014:N1014)</f>
        <v>8</v>
      </c>
      <c r="O1015" s="2">
        <f>SUBTOTAL(9,O1014:O1014)</f>
        <v>197389.54</v>
      </c>
    </row>
    <row r="1016" spans="1:16" outlineLevel="2" x14ac:dyDescent="0.2">
      <c r="A1016" s="5">
        <v>46057</v>
      </c>
      <c r="B1016" s="2">
        <v>156689</v>
      </c>
      <c r="C1016" s="2">
        <v>1</v>
      </c>
      <c r="D1016" s="2" t="s">
        <v>128</v>
      </c>
      <c r="E1016" s="2" t="s">
        <v>23</v>
      </c>
      <c r="F1016" s="2" t="s">
        <v>47</v>
      </c>
      <c r="G1016" s="2" t="s">
        <v>22</v>
      </c>
      <c r="H1016" s="2" t="s">
        <v>23</v>
      </c>
      <c r="I1016" s="2" t="s">
        <v>23</v>
      </c>
      <c r="J1016" s="2">
        <v>41</v>
      </c>
      <c r="K1016" s="2" t="s">
        <v>129</v>
      </c>
      <c r="L1016" s="2">
        <v>25213</v>
      </c>
      <c r="M1016" s="2" t="s">
        <v>130</v>
      </c>
      <c r="N1016" s="2">
        <v>50</v>
      </c>
      <c r="O1016" s="2">
        <v>171150.78</v>
      </c>
      <c r="P1016" s="2">
        <v>3423.02</v>
      </c>
    </row>
    <row r="1017" spans="1:16" outlineLevel="1" x14ac:dyDescent="0.2">
      <c r="A1017" s="5"/>
      <c r="D1017" s="3" t="s">
        <v>732</v>
      </c>
      <c r="N1017" s="2">
        <f>SUBTOTAL(9,N1016:N1016)</f>
        <v>50</v>
      </c>
      <c r="O1017" s="2">
        <f>SUBTOTAL(9,O1016:O1016)</f>
        <v>171150.78</v>
      </c>
    </row>
    <row r="1018" spans="1:16" outlineLevel="2" x14ac:dyDescent="0.2">
      <c r="A1018" s="5">
        <v>46057</v>
      </c>
      <c r="B1018" s="2">
        <v>156689</v>
      </c>
      <c r="C1018" s="2">
        <v>2</v>
      </c>
      <c r="D1018" s="2" t="s">
        <v>207</v>
      </c>
      <c r="E1018" s="2" t="s">
        <v>23</v>
      </c>
      <c r="F1018" s="2" t="s">
        <v>47</v>
      </c>
      <c r="G1018" s="2" t="s">
        <v>22</v>
      </c>
      <c r="H1018" s="2" t="s">
        <v>23</v>
      </c>
      <c r="I1018" s="2" t="s">
        <v>23</v>
      </c>
      <c r="J1018" s="2">
        <v>1</v>
      </c>
      <c r="K1018" s="2" t="s">
        <v>24</v>
      </c>
      <c r="L1018" s="2">
        <v>25213</v>
      </c>
      <c r="M1018" s="2" t="s">
        <v>130</v>
      </c>
      <c r="N1018" s="2">
        <v>3</v>
      </c>
      <c r="O1018" s="2">
        <v>217537.32</v>
      </c>
      <c r="P1018" s="2">
        <v>72512.44</v>
      </c>
    </row>
    <row r="1019" spans="1:16" outlineLevel="1" x14ac:dyDescent="0.2">
      <c r="A1019" s="5"/>
      <c r="D1019" s="3" t="s">
        <v>699</v>
      </c>
      <c r="N1019" s="2">
        <f>SUBTOTAL(9,N1018:N1018)</f>
        <v>3</v>
      </c>
      <c r="O1019" s="2">
        <f>SUBTOTAL(9,O1018:O1018)</f>
        <v>217537.32</v>
      </c>
    </row>
    <row r="1020" spans="1:16" outlineLevel="2" x14ac:dyDescent="0.2">
      <c r="A1020" s="5">
        <v>46057</v>
      </c>
      <c r="B1020" s="2">
        <v>156689</v>
      </c>
      <c r="C1020" s="2">
        <v>3</v>
      </c>
      <c r="D1020" s="2" t="s">
        <v>128</v>
      </c>
      <c r="E1020" s="2" t="s">
        <v>23</v>
      </c>
      <c r="F1020" s="2" t="s">
        <v>47</v>
      </c>
      <c r="G1020" s="2" t="s">
        <v>22</v>
      </c>
      <c r="H1020" s="2" t="s">
        <v>23</v>
      </c>
      <c r="I1020" s="2" t="s">
        <v>23</v>
      </c>
      <c r="J1020" s="2">
        <v>1</v>
      </c>
      <c r="K1020" s="2" t="s">
        <v>24</v>
      </c>
      <c r="L1020" s="2">
        <v>25213</v>
      </c>
      <c r="M1020" s="2" t="s">
        <v>130</v>
      </c>
      <c r="N1020" s="2">
        <v>3</v>
      </c>
      <c r="O1020" s="2">
        <v>251141.1</v>
      </c>
      <c r="P1020" s="2">
        <v>83713.7</v>
      </c>
    </row>
    <row r="1021" spans="1:16" outlineLevel="1" x14ac:dyDescent="0.2">
      <c r="A1021" s="5"/>
      <c r="D1021" s="3" t="s">
        <v>732</v>
      </c>
      <c r="N1021" s="2">
        <f>SUBTOTAL(9,N1020:N1020)</f>
        <v>3</v>
      </c>
      <c r="O1021" s="2">
        <f>SUBTOTAL(9,O1020:O1020)</f>
        <v>251141.1</v>
      </c>
    </row>
    <row r="1022" spans="1:16" outlineLevel="2" x14ac:dyDescent="0.2">
      <c r="A1022" s="5">
        <v>46092</v>
      </c>
      <c r="B1022" s="2">
        <v>156690</v>
      </c>
      <c r="C1022" s="2">
        <v>310</v>
      </c>
      <c r="D1022" s="2" t="s">
        <v>110</v>
      </c>
      <c r="E1022" s="2" t="s">
        <v>111</v>
      </c>
      <c r="F1022" s="2" t="s">
        <v>55</v>
      </c>
      <c r="G1022" s="2" t="s">
        <v>23</v>
      </c>
      <c r="H1022" s="2" t="s">
        <v>23</v>
      </c>
      <c r="I1022" s="2" t="s">
        <v>23</v>
      </c>
      <c r="J1022" s="2">
        <v>2</v>
      </c>
      <c r="K1022" s="2" t="s">
        <v>48</v>
      </c>
      <c r="L1022" s="2">
        <v>626</v>
      </c>
      <c r="M1022" s="2" t="s">
        <v>49</v>
      </c>
      <c r="N1022" s="2">
        <v>1</v>
      </c>
      <c r="O1022" s="2">
        <v>2504.52</v>
      </c>
      <c r="P1022" s="2">
        <v>2504.52</v>
      </c>
    </row>
    <row r="1023" spans="1:16" outlineLevel="1" x14ac:dyDescent="0.2">
      <c r="A1023" s="5"/>
      <c r="D1023" s="3" t="s">
        <v>697</v>
      </c>
      <c r="N1023" s="2">
        <f>SUBTOTAL(9,N1022:N1022)</f>
        <v>1</v>
      </c>
      <c r="O1023" s="2">
        <f>SUBTOTAL(9,O1022:O1022)</f>
        <v>2504.52</v>
      </c>
    </row>
    <row r="1024" spans="1:16" outlineLevel="2" x14ac:dyDescent="0.2">
      <c r="A1024" s="5">
        <v>46057</v>
      </c>
      <c r="B1024" s="2">
        <v>156691</v>
      </c>
      <c r="C1024" s="2">
        <v>1</v>
      </c>
      <c r="D1024" s="2" t="s">
        <v>45</v>
      </c>
      <c r="E1024" s="2" t="s">
        <v>228</v>
      </c>
      <c r="F1024" s="2" t="s">
        <v>47</v>
      </c>
      <c r="G1024" s="2" t="s">
        <v>22</v>
      </c>
      <c r="H1024" s="2" t="s">
        <v>23</v>
      </c>
      <c r="I1024" s="2" t="s">
        <v>23</v>
      </c>
      <c r="J1024" s="2">
        <v>41</v>
      </c>
      <c r="K1024" s="2" t="s">
        <v>129</v>
      </c>
      <c r="L1024" s="2">
        <v>1964</v>
      </c>
      <c r="M1024" s="2" t="s">
        <v>49</v>
      </c>
      <c r="N1024" s="2">
        <v>16</v>
      </c>
      <c r="O1024" s="2">
        <v>206224.36</v>
      </c>
      <c r="P1024" s="2">
        <v>12889.02</v>
      </c>
    </row>
    <row r="1025" spans="1:16" outlineLevel="2" x14ac:dyDescent="0.2">
      <c r="A1025" s="5">
        <v>46057</v>
      </c>
      <c r="B1025" s="2">
        <v>156691</v>
      </c>
      <c r="C1025" s="2">
        <v>2</v>
      </c>
      <c r="D1025" s="2" t="s">
        <v>45</v>
      </c>
      <c r="E1025" s="2" t="s">
        <v>227</v>
      </c>
      <c r="F1025" s="2" t="s">
        <v>47</v>
      </c>
      <c r="G1025" s="2" t="s">
        <v>22</v>
      </c>
      <c r="H1025" s="2" t="s">
        <v>23</v>
      </c>
      <c r="I1025" s="2" t="s">
        <v>23</v>
      </c>
      <c r="J1025" s="2">
        <v>41</v>
      </c>
      <c r="K1025" s="2" t="s">
        <v>129</v>
      </c>
      <c r="L1025" s="2">
        <v>1964</v>
      </c>
      <c r="M1025" s="2" t="s">
        <v>49</v>
      </c>
      <c r="N1025" s="2">
        <v>32</v>
      </c>
      <c r="O1025" s="2">
        <v>423649.92</v>
      </c>
      <c r="P1025" s="2">
        <v>13239.06</v>
      </c>
    </row>
    <row r="1026" spans="1:16" outlineLevel="1" x14ac:dyDescent="0.2">
      <c r="A1026" s="5"/>
      <c r="D1026" s="3" t="s">
        <v>733</v>
      </c>
      <c r="N1026" s="2">
        <f>SUBTOTAL(9,N1024:N1025)</f>
        <v>48</v>
      </c>
      <c r="O1026" s="2">
        <f>SUBTOTAL(9,O1024:O1025)</f>
        <v>629874.28</v>
      </c>
    </row>
    <row r="1027" spans="1:16" outlineLevel="2" x14ac:dyDescent="0.2">
      <c r="A1027" s="5">
        <v>46057</v>
      </c>
      <c r="B1027" s="2">
        <v>156691</v>
      </c>
      <c r="C1027" s="2">
        <v>3</v>
      </c>
      <c r="D1027" s="2" t="s">
        <v>226</v>
      </c>
      <c r="E1027" s="2" t="s">
        <v>227</v>
      </c>
      <c r="F1027" s="2" t="s">
        <v>47</v>
      </c>
      <c r="G1027" s="2" t="s">
        <v>22</v>
      </c>
      <c r="H1027" s="2" t="s">
        <v>23</v>
      </c>
      <c r="I1027" s="2" t="s">
        <v>23</v>
      </c>
      <c r="J1027" s="2">
        <v>41</v>
      </c>
      <c r="K1027" s="2" t="s">
        <v>129</v>
      </c>
      <c r="L1027" s="2">
        <v>1964</v>
      </c>
      <c r="M1027" s="2" t="s">
        <v>49</v>
      </c>
      <c r="N1027" s="2">
        <v>48</v>
      </c>
      <c r="O1027" s="2">
        <v>969646.4</v>
      </c>
      <c r="P1027" s="2">
        <v>20200.97</v>
      </c>
    </row>
    <row r="1028" spans="1:16" outlineLevel="1" x14ac:dyDescent="0.2">
      <c r="A1028" s="5"/>
      <c r="D1028" s="3" t="s">
        <v>736</v>
      </c>
      <c r="N1028" s="2">
        <f>SUBTOTAL(9,N1027:N1027)</f>
        <v>48</v>
      </c>
      <c r="O1028" s="2">
        <f>SUBTOTAL(9,O1027:O1027)</f>
        <v>969646.4</v>
      </c>
    </row>
    <row r="1029" spans="1:16" outlineLevel="2" x14ac:dyDescent="0.2">
      <c r="A1029" s="5">
        <v>46057</v>
      </c>
      <c r="B1029" s="2">
        <v>156691</v>
      </c>
      <c r="C1029" s="2">
        <v>4</v>
      </c>
      <c r="D1029" s="2" t="s">
        <v>45</v>
      </c>
      <c r="E1029" s="2" t="s">
        <v>125</v>
      </c>
      <c r="F1029" s="2" t="s">
        <v>47</v>
      </c>
      <c r="G1029" s="2" t="s">
        <v>22</v>
      </c>
      <c r="H1029" s="2" t="s">
        <v>23</v>
      </c>
      <c r="I1029" s="2" t="s">
        <v>23</v>
      </c>
      <c r="J1029" s="2">
        <v>41</v>
      </c>
      <c r="K1029" s="2" t="s">
        <v>129</v>
      </c>
      <c r="L1029" s="2">
        <v>1964</v>
      </c>
      <c r="M1029" s="2" t="s">
        <v>49</v>
      </c>
      <c r="N1029" s="2">
        <v>31</v>
      </c>
      <c r="O1029" s="2">
        <v>160715.97</v>
      </c>
      <c r="P1029" s="2">
        <v>5184.3900000000003</v>
      </c>
    </row>
    <row r="1030" spans="1:16" outlineLevel="2" x14ac:dyDescent="0.2">
      <c r="A1030" s="5">
        <v>46057</v>
      </c>
      <c r="B1030" s="2">
        <v>156699</v>
      </c>
      <c r="C1030" s="2">
        <v>503</v>
      </c>
      <c r="D1030" s="2" t="s">
        <v>45</v>
      </c>
      <c r="E1030" s="2" t="s">
        <v>46</v>
      </c>
      <c r="F1030" s="2" t="s">
        <v>23</v>
      </c>
      <c r="G1030" s="2" t="s">
        <v>22</v>
      </c>
      <c r="H1030" s="2" t="s">
        <v>23</v>
      </c>
      <c r="I1030" s="2" t="s">
        <v>23</v>
      </c>
      <c r="J1030" s="2">
        <v>2</v>
      </c>
      <c r="K1030" s="2" t="s">
        <v>48</v>
      </c>
      <c r="L1030" s="2">
        <v>341</v>
      </c>
      <c r="M1030" s="2" t="s">
        <v>142</v>
      </c>
      <c r="N1030" s="2">
        <v>1</v>
      </c>
      <c r="O1030" s="2">
        <v>6238.27</v>
      </c>
      <c r="P1030" s="2">
        <v>6238.27</v>
      </c>
    </row>
    <row r="1031" spans="1:16" outlineLevel="1" x14ac:dyDescent="0.2">
      <c r="A1031" s="5"/>
      <c r="D1031" s="3" t="s">
        <v>733</v>
      </c>
      <c r="N1031" s="2">
        <f>SUBTOTAL(9,N1029:N1030)</f>
        <v>32</v>
      </c>
      <c r="O1031" s="2">
        <f>SUBTOTAL(9,O1029:O1030)</f>
        <v>166954.23999999999</v>
      </c>
    </row>
    <row r="1032" spans="1:16" outlineLevel="2" x14ac:dyDescent="0.2">
      <c r="A1032" s="5">
        <v>46064</v>
      </c>
      <c r="B1032" s="2">
        <v>156701</v>
      </c>
      <c r="C1032" s="2">
        <v>1</v>
      </c>
      <c r="D1032" s="2" t="s">
        <v>57</v>
      </c>
      <c r="E1032" s="2" t="s">
        <v>259</v>
      </c>
      <c r="F1032" s="2" t="s">
        <v>31</v>
      </c>
      <c r="G1032" s="2" t="s">
        <v>22</v>
      </c>
      <c r="H1032" s="2" t="s">
        <v>23</v>
      </c>
      <c r="I1032" s="2" t="s">
        <v>23</v>
      </c>
      <c r="J1032" s="2">
        <v>1</v>
      </c>
      <c r="K1032" s="2" t="s">
        <v>24</v>
      </c>
      <c r="L1032" s="2">
        <v>564</v>
      </c>
      <c r="M1032" s="2" t="s">
        <v>204</v>
      </c>
      <c r="N1032" s="2">
        <v>6</v>
      </c>
      <c r="O1032" s="2">
        <v>151309.20000000001</v>
      </c>
      <c r="P1032" s="2">
        <v>25218.2</v>
      </c>
    </row>
    <row r="1033" spans="1:16" outlineLevel="1" x14ac:dyDescent="0.2">
      <c r="A1033" s="5"/>
      <c r="D1033" s="3" t="s">
        <v>716</v>
      </c>
      <c r="N1033" s="2">
        <f>SUBTOTAL(9,N1032:N1032)</f>
        <v>6</v>
      </c>
      <c r="O1033" s="2">
        <f>SUBTOTAL(9,O1032:O1032)</f>
        <v>151309.20000000001</v>
      </c>
    </row>
    <row r="1034" spans="1:16" outlineLevel="2" x14ac:dyDescent="0.2">
      <c r="A1034" s="5">
        <v>46057</v>
      </c>
      <c r="B1034" s="2">
        <v>156703</v>
      </c>
      <c r="C1034" s="2">
        <v>501</v>
      </c>
      <c r="D1034" s="2" t="s">
        <v>54</v>
      </c>
      <c r="E1034" s="2" t="s">
        <v>20</v>
      </c>
      <c r="F1034" s="2" t="s">
        <v>23</v>
      </c>
      <c r="G1034" s="2" t="s">
        <v>22</v>
      </c>
      <c r="H1034" s="2" t="s">
        <v>23</v>
      </c>
      <c r="I1034" s="2" t="s">
        <v>23</v>
      </c>
      <c r="J1034" s="2">
        <v>2</v>
      </c>
      <c r="K1034" s="2" t="s">
        <v>48</v>
      </c>
      <c r="L1034" s="2">
        <v>908</v>
      </c>
      <c r="M1034" s="2" t="s">
        <v>266</v>
      </c>
      <c r="N1034" s="2">
        <v>2</v>
      </c>
      <c r="O1034" s="2">
        <v>14343.42</v>
      </c>
      <c r="P1034" s="2">
        <v>7171.71</v>
      </c>
    </row>
    <row r="1035" spans="1:16" outlineLevel="2" x14ac:dyDescent="0.2">
      <c r="A1035" s="5">
        <v>46057</v>
      </c>
      <c r="B1035" s="2">
        <v>156705</v>
      </c>
      <c r="C1035" s="2">
        <v>307</v>
      </c>
      <c r="D1035" s="2" t="s">
        <v>54</v>
      </c>
      <c r="E1035" s="2" t="s">
        <v>272</v>
      </c>
      <c r="F1035" s="2" t="s">
        <v>55</v>
      </c>
      <c r="G1035" s="2" t="s">
        <v>23</v>
      </c>
      <c r="H1035" s="2" t="s">
        <v>23</v>
      </c>
      <c r="I1035" s="2" t="s">
        <v>23</v>
      </c>
      <c r="J1035" s="2">
        <v>2</v>
      </c>
      <c r="K1035" s="2" t="s">
        <v>48</v>
      </c>
      <c r="L1035" s="2">
        <v>25095</v>
      </c>
      <c r="M1035" s="2" t="s">
        <v>216</v>
      </c>
      <c r="N1035" s="2">
        <v>18</v>
      </c>
      <c r="O1035" s="2">
        <v>91753.19</v>
      </c>
      <c r="P1035" s="2">
        <v>5097.3999999999996</v>
      </c>
    </row>
    <row r="1036" spans="1:16" outlineLevel="1" x14ac:dyDescent="0.2">
      <c r="A1036" s="5"/>
      <c r="D1036" s="3" t="s">
        <v>719</v>
      </c>
      <c r="N1036" s="2">
        <f>SUBTOTAL(9,N1034:N1035)</f>
        <v>20</v>
      </c>
      <c r="O1036" s="2">
        <f>SUBTOTAL(9,O1034:O1035)</f>
        <v>106096.61</v>
      </c>
    </row>
    <row r="1037" spans="1:16" outlineLevel="2" x14ac:dyDescent="0.2">
      <c r="A1037" s="5">
        <v>46062</v>
      </c>
      <c r="B1037" s="2">
        <v>156756</v>
      </c>
      <c r="C1037" s="2">
        <v>2</v>
      </c>
      <c r="D1037" s="2" t="s">
        <v>38</v>
      </c>
      <c r="E1037" s="2" t="s">
        <v>39</v>
      </c>
      <c r="F1037" s="2" t="s">
        <v>63</v>
      </c>
      <c r="G1037" s="2" t="s">
        <v>22</v>
      </c>
      <c r="H1037" s="2" t="s">
        <v>23</v>
      </c>
      <c r="I1037" s="2" t="s">
        <v>135</v>
      </c>
      <c r="J1037" s="2">
        <v>1</v>
      </c>
      <c r="K1037" s="2" t="s">
        <v>24</v>
      </c>
      <c r="L1037" s="2">
        <v>1846</v>
      </c>
      <c r="M1037" s="2" t="s">
        <v>134</v>
      </c>
      <c r="N1037" s="2">
        <v>249</v>
      </c>
      <c r="O1037" s="2">
        <v>15366282.08</v>
      </c>
      <c r="P1037" s="2">
        <v>61711.98</v>
      </c>
    </row>
    <row r="1038" spans="1:16" outlineLevel="2" x14ac:dyDescent="0.2">
      <c r="A1038" s="5">
        <v>46064</v>
      </c>
      <c r="B1038" s="2">
        <v>156756</v>
      </c>
      <c r="C1038" s="2">
        <v>3</v>
      </c>
      <c r="D1038" s="2" t="s">
        <v>38</v>
      </c>
      <c r="E1038" s="2" t="s">
        <v>39</v>
      </c>
      <c r="F1038" s="2" t="s">
        <v>55</v>
      </c>
      <c r="G1038" s="2" t="s">
        <v>55</v>
      </c>
      <c r="H1038" s="2" t="s">
        <v>23</v>
      </c>
      <c r="I1038" s="2" t="s">
        <v>133</v>
      </c>
      <c r="J1038" s="2">
        <v>1</v>
      </c>
      <c r="K1038" s="2" t="s">
        <v>24</v>
      </c>
      <c r="L1038" s="2">
        <v>1846</v>
      </c>
      <c r="M1038" s="2" t="s">
        <v>134</v>
      </c>
      <c r="N1038" s="2">
        <v>96</v>
      </c>
      <c r="O1038" s="2">
        <v>4974835.53</v>
      </c>
      <c r="P1038" s="2">
        <v>51821.2</v>
      </c>
    </row>
    <row r="1039" spans="1:16" outlineLevel="2" x14ac:dyDescent="0.2">
      <c r="A1039" s="5">
        <v>46059</v>
      </c>
      <c r="B1039" s="2">
        <v>156756</v>
      </c>
      <c r="C1039" s="2">
        <v>4</v>
      </c>
      <c r="D1039" s="2" t="s">
        <v>38</v>
      </c>
      <c r="E1039" s="2" t="s">
        <v>39</v>
      </c>
      <c r="F1039" s="2" t="s">
        <v>63</v>
      </c>
      <c r="G1039" s="2" t="s">
        <v>22</v>
      </c>
      <c r="H1039" s="2" t="s">
        <v>23</v>
      </c>
      <c r="I1039" s="2" t="s">
        <v>23</v>
      </c>
      <c r="J1039" s="2">
        <v>124</v>
      </c>
      <c r="K1039" s="2" t="s">
        <v>155</v>
      </c>
      <c r="L1039" s="2">
        <v>1846</v>
      </c>
      <c r="M1039" s="2" t="s">
        <v>134</v>
      </c>
      <c r="N1039" s="2">
        <v>110</v>
      </c>
      <c r="O1039" s="2">
        <v>7538368.0599999996</v>
      </c>
      <c r="P1039" s="2">
        <v>68530.62</v>
      </c>
    </row>
    <row r="1040" spans="1:16" outlineLevel="2" x14ac:dyDescent="0.2">
      <c r="A1040" s="5">
        <v>46059</v>
      </c>
      <c r="B1040" s="2">
        <v>156757</v>
      </c>
      <c r="C1040" s="2">
        <v>1</v>
      </c>
      <c r="D1040" s="2" t="s">
        <v>38</v>
      </c>
      <c r="E1040" s="2" t="s">
        <v>39</v>
      </c>
      <c r="F1040" s="2" t="s">
        <v>63</v>
      </c>
      <c r="G1040" s="2" t="s">
        <v>22</v>
      </c>
      <c r="H1040" s="2" t="s">
        <v>23</v>
      </c>
      <c r="I1040" s="2" t="s">
        <v>243</v>
      </c>
      <c r="J1040" s="2">
        <v>1</v>
      </c>
      <c r="K1040" s="2" t="s">
        <v>24</v>
      </c>
      <c r="L1040" s="2">
        <v>1846</v>
      </c>
      <c r="M1040" s="2" t="s">
        <v>134</v>
      </c>
      <c r="N1040" s="2">
        <v>176</v>
      </c>
      <c r="O1040" s="2">
        <v>10639581.050000001</v>
      </c>
      <c r="P1040" s="2">
        <v>60452.17</v>
      </c>
    </row>
    <row r="1041" spans="1:16" outlineLevel="2" x14ac:dyDescent="0.2">
      <c r="A1041" s="5">
        <v>46059</v>
      </c>
      <c r="B1041" s="2">
        <v>156757</v>
      </c>
      <c r="C1041" s="2">
        <v>2</v>
      </c>
      <c r="D1041" s="2" t="s">
        <v>38</v>
      </c>
      <c r="E1041" s="2" t="s">
        <v>39</v>
      </c>
      <c r="F1041" s="2" t="s">
        <v>63</v>
      </c>
      <c r="G1041" s="2" t="s">
        <v>22</v>
      </c>
      <c r="H1041" s="2" t="s">
        <v>23</v>
      </c>
      <c r="I1041" s="2" t="s">
        <v>116</v>
      </c>
      <c r="J1041" s="2">
        <v>1</v>
      </c>
      <c r="K1041" s="2" t="s">
        <v>24</v>
      </c>
      <c r="L1041" s="2">
        <v>1846</v>
      </c>
      <c r="M1041" s="2" t="s">
        <v>134</v>
      </c>
      <c r="N1041" s="2">
        <v>264</v>
      </c>
      <c r="O1041" s="2">
        <v>16068349.74</v>
      </c>
      <c r="P1041" s="2">
        <v>60864.959999999999</v>
      </c>
    </row>
    <row r="1042" spans="1:16" outlineLevel="2" x14ac:dyDescent="0.2">
      <c r="A1042" s="5">
        <v>46062</v>
      </c>
      <c r="B1042" s="2">
        <v>156757</v>
      </c>
      <c r="C1042" s="2">
        <v>3</v>
      </c>
      <c r="D1042" s="2" t="s">
        <v>38</v>
      </c>
      <c r="E1042" s="2" t="s">
        <v>39</v>
      </c>
      <c r="F1042" s="2" t="s">
        <v>63</v>
      </c>
      <c r="G1042" s="2" t="s">
        <v>22</v>
      </c>
      <c r="H1042" s="2" t="s">
        <v>23</v>
      </c>
      <c r="I1042" s="2" t="s">
        <v>135</v>
      </c>
      <c r="J1042" s="2">
        <v>1</v>
      </c>
      <c r="K1042" s="2" t="s">
        <v>24</v>
      </c>
      <c r="L1042" s="2">
        <v>1846</v>
      </c>
      <c r="M1042" s="2" t="s">
        <v>134</v>
      </c>
      <c r="N1042" s="2">
        <v>279</v>
      </c>
      <c r="O1042" s="2">
        <v>17400322.280000001</v>
      </c>
      <c r="P1042" s="2">
        <v>62366.75</v>
      </c>
    </row>
    <row r="1043" spans="1:16" outlineLevel="2" x14ac:dyDescent="0.2">
      <c r="A1043" s="5">
        <v>46062</v>
      </c>
      <c r="B1043" s="2">
        <v>156757</v>
      </c>
      <c r="C1043" s="2">
        <v>4</v>
      </c>
      <c r="D1043" s="2" t="s">
        <v>38</v>
      </c>
      <c r="E1043" s="2" t="s">
        <v>39</v>
      </c>
      <c r="F1043" s="2" t="s">
        <v>63</v>
      </c>
      <c r="G1043" s="2" t="s">
        <v>22</v>
      </c>
      <c r="H1043" s="2" t="s">
        <v>23</v>
      </c>
      <c r="I1043" s="2" t="s">
        <v>133</v>
      </c>
      <c r="J1043" s="2">
        <v>1</v>
      </c>
      <c r="K1043" s="2" t="s">
        <v>24</v>
      </c>
      <c r="L1043" s="2">
        <v>1846</v>
      </c>
      <c r="M1043" s="2" t="s">
        <v>134</v>
      </c>
      <c r="N1043" s="2">
        <v>704</v>
      </c>
      <c r="O1043" s="2">
        <v>35520063.990000002</v>
      </c>
      <c r="P1043" s="2">
        <v>50454.64</v>
      </c>
    </row>
    <row r="1044" spans="1:16" outlineLevel="2" x14ac:dyDescent="0.2">
      <c r="A1044" s="5">
        <v>46059</v>
      </c>
      <c r="B1044" s="2">
        <v>156757</v>
      </c>
      <c r="C1044" s="2">
        <v>5</v>
      </c>
      <c r="D1044" s="2" t="s">
        <v>38</v>
      </c>
      <c r="E1044" s="2" t="s">
        <v>39</v>
      </c>
      <c r="F1044" s="2" t="s">
        <v>63</v>
      </c>
      <c r="G1044" s="2" t="s">
        <v>22</v>
      </c>
      <c r="H1044" s="2" t="s">
        <v>23</v>
      </c>
      <c r="I1044" s="2" t="s">
        <v>23</v>
      </c>
      <c r="J1044" s="2">
        <v>124</v>
      </c>
      <c r="K1044" s="2" t="s">
        <v>155</v>
      </c>
      <c r="L1044" s="2">
        <v>1846</v>
      </c>
      <c r="M1044" s="2" t="s">
        <v>134</v>
      </c>
      <c r="N1044" s="2">
        <v>110</v>
      </c>
      <c r="O1044" s="2">
        <v>7668333.2000000002</v>
      </c>
      <c r="P1044" s="2">
        <v>69712.12</v>
      </c>
    </row>
    <row r="1045" spans="1:16" outlineLevel="2" x14ac:dyDescent="0.2">
      <c r="A1045" s="5">
        <v>46059</v>
      </c>
      <c r="B1045" s="2">
        <v>156758</v>
      </c>
      <c r="C1045" s="2">
        <v>1</v>
      </c>
      <c r="D1045" s="2" t="s">
        <v>38</v>
      </c>
      <c r="E1045" s="2" t="s">
        <v>39</v>
      </c>
      <c r="F1045" s="2" t="s">
        <v>63</v>
      </c>
      <c r="G1045" s="2" t="s">
        <v>22</v>
      </c>
      <c r="H1045" s="2" t="s">
        <v>23</v>
      </c>
      <c r="I1045" s="2" t="s">
        <v>135</v>
      </c>
      <c r="J1045" s="2">
        <v>1</v>
      </c>
      <c r="K1045" s="2" t="s">
        <v>24</v>
      </c>
      <c r="L1045" s="2">
        <v>1846</v>
      </c>
      <c r="M1045" s="2" t="s">
        <v>134</v>
      </c>
      <c r="N1045" s="2">
        <v>264</v>
      </c>
      <c r="O1045" s="2">
        <v>16145049.92</v>
      </c>
      <c r="P1045" s="2">
        <v>61155.49</v>
      </c>
    </row>
    <row r="1046" spans="1:16" outlineLevel="2" x14ac:dyDescent="0.2">
      <c r="A1046" s="5">
        <v>46066</v>
      </c>
      <c r="B1046" s="2">
        <v>156758</v>
      </c>
      <c r="C1046" s="2">
        <v>2</v>
      </c>
      <c r="D1046" s="2" t="s">
        <v>38</v>
      </c>
      <c r="E1046" s="2" t="s">
        <v>39</v>
      </c>
      <c r="F1046" s="2" t="s">
        <v>63</v>
      </c>
      <c r="G1046" s="2" t="s">
        <v>22</v>
      </c>
      <c r="H1046" s="2" t="s">
        <v>23</v>
      </c>
      <c r="I1046" s="2" t="s">
        <v>133</v>
      </c>
      <c r="J1046" s="2">
        <v>1</v>
      </c>
      <c r="K1046" s="2" t="s">
        <v>24</v>
      </c>
      <c r="L1046" s="2">
        <v>1846</v>
      </c>
      <c r="M1046" s="2" t="s">
        <v>134</v>
      </c>
      <c r="N1046" s="2">
        <v>272</v>
      </c>
      <c r="O1046" s="2">
        <v>14099412.9</v>
      </c>
      <c r="P1046" s="2">
        <v>51836.08</v>
      </c>
    </row>
    <row r="1047" spans="1:16" outlineLevel="2" x14ac:dyDescent="0.2">
      <c r="A1047" s="5">
        <v>46059</v>
      </c>
      <c r="B1047" s="2">
        <v>156758</v>
      </c>
      <c r="C1047" s="2">
        <v>3</v>
      </c>
      <c r="D1047" s="2" t="s">
        <v>38</v>
      </c>
      <c r="E1047" s="2" t="s">
        <v>39</v>
      </c>
      <c r="F1047" s="2" t="s">
        <v>63</v>
      </c>
      <c r="G1047" s="2" t="s">
        <v>22</v>
      </c>
      <c r="H1047" s="2" t="s">
        <v>23</v>
      </c>
      <c r="I1047" s="2" t="s">
        <v>23</v>
      </c>
      <c r="J1047" s="2">
        <v>124</v>
      </c>
      <c r="K1047" s="2" t="s">
        <v>155</v>
      </c>
      <c r="L1047" s="2">
        <v>1846</v>
      </c>
      <c r="M1047" s="2" t="s">
        <v>134</v>
      </c>
      <c r="N1047" s="2">
        <v>110</v>
      </c>
      <c r="O1047" s="2">
        <v>7668333.2000000002</v>
      </c>
      <c r="P1047" s="2">
        <v>69712.12</v>
      </c>
    </row>
    <row r="1048" spans="1:16" outlineLevel="1" x14ac:dyDescent="0.2">
      <c r="A1048" s="5"/>
      <c r="D1048" s="3" t="s">
        <v>721</v>
      </c>
      <c r="N1048" s="2">
        <f>SUBTOTAL(9,N1037:N1047)</f>
        <v>2634</v>
      </c>
      <c r="O1048" s="2">
        <f>SUBTOTAL(9,O1037:O1047)</f>
        <v>153088931.95000002</v>
      </c>
    </row>
    <row r="1049" spans="1:16" outlineLevel="2" x14ac:dyDescent="0.2">
      <c r="A1049" s="5">
        <v>46059</v>
      </c>
      <c r="B1049" s="2">
        <v>156775</v>
      </c>
      <c r="C1049" s="2">
        <v>1</v>
      </c>
      <c r="D1049" s="2" t="s">
        <v>207</v>
      </c>
      <c r="E1049" s="2" t="s">
        <v>23</v>
      </c>
      <c r="F1049" s="2" t="s">
        <v>47</v>
      </c>
      <c r="G1049" s="2" t="s">
        <v>22</v>
      </c>
      <c r="H1049" s="2" t="s">
        <v>208</v>
      </c>
      <c r="I1049" s="2" t="s">
        <v>23</v>
      </c>
      <c r="J1049" s="2">
        <v>41</v>
      </c>
      <c r="K1049" s="2" t="s">
        <v>129</v>
      </c>
      <c r="L1049" s="2">
        <v>25213</v>
      </c>
      <c r="M1049" s="2" t="s">
        <v>130</v>
      </c>
      <c r="N1049" s="2">
        <v>47</v>
      </c>
      <c r="O1049" s="2">
        <v>157819.12</v>
      </c>
      <c r="P1049" s="2">
        <v>3357.85</v>
      </c>
    </row>
    <row r="1050" spans="1:16" outlineLevel="2" x14ac:dyDescent="0.2">
      <c r="A1050" s="5">
        <v>46059</v>
      </c>
      <c r="B1050" s="2">
        <v>156775</v>
      </c>
      <c r="C1050" s="2">
        <v>2</v>
      </c>
      <c r="D1050" s="2" t="s">
        <v>207</v>
      </c>
      <c r="E1050" s="2" t="s">
        <v>23</v>
      </c>
      <c r="F1050" s="2" t="s">
        <v>47</v>
      </c>
      <c r="G1050" s="2" t="s">
        <v>22</v>
      </c>
      <c r="H1050" s="2" t="s">
        <v>209</v>
      </c>
      <c r="I1050" s="2" t="s">
        <v>23</v>
      </c>
      <c r="J1050" s="2">
        <v>41</v>
      </c>
      <c r="K1050" s="2" t="s">
        <v>129</v>
      </c>
      <c r="L1050" s="2">
        <v>25213</v>
      </c>
      <c r="M1050" s="2" t="s">
        <v>130</v>
      </c>
      <c r="N1050" s="2">
        <v>25</v>
      </c>
      <c r="O1050" s="2">
        <v>75494.42</v>
      </c>
      <c r="P1050" s="2">
        <v>3019.78</v>
      </c>
    </row>
    <row r="1051" spans="1:16" outlineLevel="1" x14ac:dyDescent="0.2">
      <c r="A1051" s="5"/>
      <c r="D1051" s="3" t="s">
        <v>699</v>
      </c>
      <c r="N1051" s="2">
        <f>SUBTOTAL(9,N1049:N1050)</f>
        <v>72</v>
      </c>
      <c r="O1051" s="2">
        <f>SUBTOTAL(9,O1049:O1050)</f>
        <v>233313.53999999998</v>
      </c>
    </row>
    <row r="1052" spans="1:16" outlineLevel="2" x14ac:dyDescent="0.2">
      <c r="A1052" s="5">
        <v>46059</v>
      </c>
      <c r="B1052" s="2">
        <v>156775</v>
      </c>
      <c r="C1052" s="2">
        <v>3</v>
      </c>
      <c r="D1052" s="2" t="s">
        <v>128</v>
      </c>
      <c r="E1052" s="2" t="s">
        <v>23</v>
      </c>
      <c r="F1052" s="2" t="s">
        <v>47</v>
      </c>
      <c r="G1052" s="2" t="s">
        <v>22</v>
      </c>
      <c r="H1052" s="2" t="s">
        <v>23</v>
      </c>
      <c r="I1052" s="2" t="s">
        <v>23</v>
      </c>
      <c r="J1052" s="2">
        <v>41</v>
      </c>
      <c r="K1052" s="2" t="s">
        <v>129</v>
      </c>
      <c r="L1052" s="2">
        <v>25213</v>
      </c>
      <c r="M1052" s="2" t="s">
        <v>130</v>
      </c>
      <c r="N1052" s="2">
        <v>25</v>
      </c>
      <c r="O1052" s="2">
        <v>85015.32</v>
      </c>
      <c r="P1052" s="2">
        <v>3400.61</v>
      </c>
    </row>
    <row r="1053" spans="1:16" outlineLevel="1" x14ac:dyDescent="0.2">
      <c r="A1053" s="5"/>
      <c r="D1053" s="3" t="s">
        <v>732</v>
      </c>
      <c r="N1053" s="2">
        <f>SUBTOTAL(9,N1052:N1052)</f>
        <v>25</v>
      </c>
      <c r="O1053" s="2">
        <f>SUBTOTAL(9,O1052:O1052)</f>
        <v>85015.32</v>
      </c>
    </row>
    <row r="1054" spans="1:16" outlineLevel="2" x14ac:dyDescent="0.2">
      <c r="A1054" s="5">
        <v>46059</v>
      </c>
      <c r="B1054" s="2">
        <v>156775</v>
      </c>
      <c r="C1054" s="2">
        <v>4</v>
      </c>
      <c r="D1054" s="2" t="s">
        <v>294</v>
      </c>
      <c r="E1054" s="2" t="s">
        <v>23</v>
      </c>
      <c r="F1054" s="2" t="s">
        <v>47</v>
      </c>
      <c r="G1054" s="2" t="s">
        <v>22</v>
      </c>
      <c r="H1054" s="2" t="s">
        <v>23</v>
      </c>
      <c r="I1054" s="2" t="s">
        <v>23</v>
      </c>
      <c r="J1054" s="2">
        <v>41</v>
      </c>
      <c r="K1054" s="2" t="s">
        <v>129</v>
      </c>
      <c r="L1054" s="2">
        <v>25213</v>
      </c>
      <c r="M1054" s="2" t="s">
        <v>130</v>
      </c>
      <c r="N1054" s="2">
        <v>25</v>
      </c>
      <c r="O1054" s="2">
        <v>84859.76</v>
      </c>
      <c r="P1054" s="2">
        <v>3394.39</v>
      </c>
    </row>
    <row r="1055" spans="1:16" outlineLevel="1" x14ac:dyDescent="0.2">
      <c r="A1055" s="5"/>
      <c r="D1055" s="3" t="s">
        <v>740</v>
      </c>
      <c r="N1055" s="2">
        <f>SUBTOTAL(9,N1054:N1054)</f>
        <v>25</v>
      </c>
      <c r="O1055" s="2">
        <f>SUBTOTAL(9,O1054:O1054)</f>
        <v>84859.76</v>
      </c>
    </row>
    <row r="1056" spans="1:16" outlineLevel="2" x14ac:dyDescent="0.2">
      <c r="A1056" s="5">
        <v>46059</v>
      </c>
      <c r="B1056" s="2">
        <v>156775</v>
      </c>
      <c r="C1056" s="2">
        <v>5</v>
      </c>
      <c r="D1056" s="2" t="s">
        <v>207</v>
      </c>
      <c r="E1056" s="2" t="s">
        <v>23</v>
      </c>
      <c r="F1056" s="2" t="s">
        <v>47</v>
      </c>
      <c r="G1056" s="2" t="s">
        <v>22</v>
      </c>
      <c r="H1056" s="2" t="s">
        <v>23</v>
      </c>
      <c r="I1056" s="2" t="s">
        <v>23</v>
      </c>
      <c r="J1056" s="2">
        <v>1</v>
      </c>
      <c r="K1056" s="2" t="s">
        <v>24</v>
      </c>
      <c r="L1056" s="2">
        <v>25213</v>
      </c>
      <c r="M1056" s="2" t="s">
        <v>130</v>
      </c>
      <c r="N1056" s="2">
        <v>3</v>
      </c>
      <c r="O1056" s="2">
        <v>217537.32</v>
      </c>
      <c r="P1056" s="2">
        <v>72512.44</v>
      </c>
    </row>
    <row r="1057" spans="1:16" outlineLevel="1" x14ac:dyDescent="0.2">
      <c r="A1057" s="5"/>
      <c r="D1057" s="3" t="s">
        <v>699</v>
      </c>
      <c r="N1057" s="2">
        <f>SUBTOTAL(9,N1056:N1056)</f>
        <v>3</v>
      </c>
      <c r="O1057" s="2">
        <f>SUBTOTAL(9,O1056:O1056)</f>
        <v>217537.32</v>
      </c>
    </row>
    <row r="1058" spans="1:16" outlineLevel="2" x14ac:dyDescent="0.2">
      <c r="A1058" s="5">
        <v>46059</v>
      </c>
      <c r="B1058" s="2">
        <v>156775</v>
      </c>
      <c r="C1058" s="2">
        <v>6</v>
      </c>
      <c r="D1058" s="2" t="s">
        <v>128</v>
      </c>
      <c r="E1058" s="2" t="s">
        <v>23</v>
      </c>
      <c r="F1058" s="2" t="s">
        <v>47</v>
      </c>
      <c r="G1058" s="2" t="s">
        <v>22</v>
      </c>
      <c r="H1058" s="2" t="s">
        <v>23</v>
      </c>
      <c r="I1058" s="2" t="s">
        <v>23</v>
      </c>
      <c r="J1058" s="2">
        <v>1</v>
      </c>
      <c r="K1058" s="2" t="s">
        <v>24</v>
      </c>
      <c r="L1058" s="2">
        <v>25213</v>
      </c>
      <c r="M1058" s="2" t="s">
        <v>130</v>
      </c>
      <c r="N1058" s="2">
        <v>3</v>
      </c>
      <c r="O1058" s="2">
        <v>251141.1</v>
      </c>
      <c r="P1058" s="2">
        <v>83713.7</v>
      </c>
    </row>
    <row r="1059" spans="1:16" outlineLevel="1" x14ac:dyDescent="0.2">
      <c r="A1059" s="5"/>
      <c r="D1059" s="3" t="s">
        <v>732</v>
      </c>
      <c r="N1059" s="2">
        <f>SUBTOTAL(9,N1058:N1058)</f>
        <v>3</v>
      </c>
      <c r="O1059" s="2">
        <f>SUBTOTAL(9,O1058:O1058)</f>
        <v>251141.1</v>
      </c>
    </row>
    <row r="1060" spans="1:16" outlineLevel="2" x14ac:dyDescent="0.2">
      <c r="A1060" s="5">
        <v>46059</v>
      </c>
      <c r="B1060" s="2">
        <v>156776</v>
      </c>
      <c r="C1060" s="2">
        <v>1</v>
      </c>
      <c r="D1060" s="2" t="s">
        <v>45</v>
      </c>
      <c r="E1060" s="2" t="s">
        <v>125</v>
      </c>
      <c r="F1060" s="2" t="s">
        <v>47</v>
      </c>
      <c r="G1060" s="2" t="s">
        <v>22</v>
      </c>
      <c r="H1060" s="2" t="s">
        <v>23</v>
      </c>
      <c r="I1060" s="2" t="s">
        <v>23</v>
      </c>
      <c r="J1060" s="2">
        <v>41</v>
      </c>
      <c r="K1060" s="2" t="s">
        <v>129</v>
      </c>
      <c r="L1060" s="2">
        <v>1964</v>
      </c>
      <c r="M1060" s="2" t="s">
        <v>49</v>
      </c>
      <c r="N1060" s="2">
        <v>27</v>
      </c>
      <c r="O1060" s="2">
        <v>175900.81</v>
      </c>
      <c r="P1060" s="2">
        <v>6514.84</v>
      </c>
    </row>
    <row r="1061" spans="1:16" outlineLevel="2" x14ac:dyDescent="0.2">
      <c r="A1061" s="5">
        <v>46059</v>
      </c>
      <c r="B1061" s="2">
        <v>156776</v>
      </c>
      <c r="C1061" s="2">
        <v>2</v>
      </c>
      <c r="D1061" s="2" t="s">
        <v>45</v>
      </c>
      <c r="E1061" s="2" t="s">
        <v>295</v>
      </c>
      <c r="F1061" s="2" t="s">
        <v>47</v>
      </c>
      <c r="G1061" s="2" t="s">
        <v>22</v>
      </c>
      <c r="H1061" s="2" t="s">
        <v>23</v>
      </c>
      <c r="I1061" s="2" t="s">
        <v>23</v>
      </c>
      <c r="J1061" s="2">
        <v>41</v>
      </c>
      <c r="K1061" s="2" t="s">
        <v>129</v>
      </c>
      <c r="L1061" s="2">
        <v>1964</v>
      </c>
      <c r="M1061" s="2" t="s">
        <v>49</v>
      </c>
      <c r="N1061" s="2">
        <v>32</v>
      </c>
      <c r="O1061" s="2">
        <v>433917.76</v>
      </c>
      <c r="P1061" s="2">
        <v>13559.93</v>
      </c>
    </row>
    <row r="1062" spans="1:16" outlineLevel="1" x14ac:dyDescent="0.2">
      <c r="A1062" s="5"/>
      <c r="D1062" s="3" t="s">
        <v>733</v>
      </c>
      <c r="N1062" s="2">
        <f>SUBTOTAL(9,N1060:N1061)</f>
        <v>59</v>
      </c>
      <c r="O1062" s="2">
        <f>SUBTOTAL(9,O1060:O1061)</f>
        <v>609818.57000000007</v>
      </c>
    </row>
    <row r="1063" spans="1:16" outlineLevel="2" x14ac:dyDescent="0.2">
      <c r="A1063" s="5">
        <v>46059</v>
      </c>
      <c r="B1063" s="2">
        <v>156776</v>
      </c>
      <c r="C1063" s="2">
        <v>3</v>
      </c>
      <c r="D1063" s="2" t="s">
        <v>226</v>
      </c>
      <c r="E1063" s="2" t="s">
        <v>227</v>
      </c>
      <c r="F1063" s="2" t="s">
        <v>47</v>
      </c>
      <c r="G1063" s="2" t="s">
        <v>22</v>
      </c>
      <c r="H1063" s="2" t="s">
        <v>23</v>
      </c>
      <c r="I1063" s="2" t="s">
        <v>23</v>
      </c>
      <c r="J1063" s="2">
        <v>41</v>
      </c>
      <c r="K1063" s="2" t="s">
        <v>129</v>
      </c>
      <c r="L1063" s="2">
        <v>1964</v>
      </c>
      <c r="M1063" s="2" t="s">
        <v>49</v>
      </c>
      <c r="N1063" s="2">
        <v>48</v>
      </c>
      <c r="O1063" s="2">
        <v>971513.28</v>
      </c>
      <c r="P1063" s="2">
        <v>20239.86</v>
      </c>
    </row>
    <row r="1064" spans="1:16" outlineLevel="2" x14ac:dyDescent="0.2">
      <c r="A1064" s="5">
        <v>46059</v>
      </c>
      <c r="B1064" s="2">
        <v>156776</v>
      </c>
      <c r="C1064" s="2">
        <v>4</v>
      </c>
      <c r="D1064" s="2" t="s">
        <v>226</v>
      </c>
      <c r="E1064" s="2" t="s">
        <v>276</v>
      </c>
      <c r="F1064" s="2" t="s">
        <v>47</v>
      </c>
      <c r="G1064" s="2" t="s">
        <v>22</v>
      </c>
      <c r="H1064" s="2" t="s">
        <v>23</v>
      </c>
      <c r="I1064" s="2" t="s">
        <v>23</v>
      </c>
      <c r="J1064" s="2">
        <v>2</v>
      </c>
      <c r="K1064" s="2" t="s">
        <v>48</v>
      </c>
      <c r="L1064" s="2">
        <v>1964</v>
      </c>
      <c r="M1064" s="2" t="s">
        <v>49</v>
      </c>
      <c r="N1064" s="2">
        <v>10</v>
      </c>
      <c r="O1064" s="2">
        <v>116522.15</v>
      </c>
      <c r="P1064" s="2">
        <v>11652.22</v>
      </c>
    </row>
    <row r="1065" spans="1:16" outlineLevel="1" x14ac:dyDescent="0.2">
      <c r="A1065" s="5"/>
      <c r="D1065" s="3" t="s">
        <v>736</v>
      </c>
      <c r="N1065" s="2">
        <f>SUBTOTAL(9,N1063:N1064)</f>
        <v>58</v>
      </c>
      <c r="O1065" s="2">
        <f>SUBTOTAL(9,O1063:O1064)</f>
        <v>1088035.43</v>
      </c>
    </row>
    <row r="1066" spans="1:16" outlineLevel="2" x14ac:dyDescent="0.2">
      <c r="A1066" s="5">
        <v>46059</v>
      </c>
      <c r="B1066" s="2">
        <v>156777</v>
      </c>
      <c r="C1066" s="2">
        <v>1</v>
      </c>
      <c r="D1066" s="2" t="s">
        <v>19</v>
      </c>
      <c r="E1066" s="2" t="s">
        <v>20</v>
      </c>
      <c r="F1066" s="2" t="s">
        <v>35</v>
      </c>
      <c r="G1066" s="2" t="s">
        <v>22</v>
      </c>
      <c r="H1066" s="2" t="s">
        <v>23</v>
      </c>
      <c r="I1066" s="2" t="s">
        <v>23</v>
      </c>
      <c r="J1066" s="2">
        <v>1</v>
      </c>
      <c r="K1066" s="2" t="s">
        <v>24</v>
      </c>
      <c r="L1066" s="2">
        <v>1829</v>
      </c>
      <c r="M1066" s="2" t="s">
        <v>25</v>
      </c>
      <c r="N1066" s="2">
        <v>224</v>
      </c>
      <c r="O1066" s="2">
        <v>14747118.210000001</v>
      </c>
      <c r="P1066" s="2">
        <v>65835.350000000006</v>
      </c>
    </row>
    <row r="1067" spans="1:16" outlineLevel="2" x14ac:dyDescent="0.2">
      <c r="A1067" s="5">
        <v>46059</v>
      </c>
      <c r="B1067" s="2">
        <v>156777</v>
      </c>
      <c r="C1067" s="2">
        <v>200</v>
      </c>
      <c r="D1067" s="2" t="s">
        <v>19</v>
      </c>
      <c r="E1067" s="2" t="s">
        <v>20</v>
      </c>
      <c r="F1067" s="2" t="s">
        <v>23</v>
      </c>
      <c r="G1067" s="2" t="s">
        <v>22</v>
      </c>
      <c r="H1067" s="2" t="s">
        <v>23</v>
      </c>
      <c r="I1067" s="2" t="s">
        <v>23</v>
      </c>
      <c r="J1067" s="2">
        <v>39</v>
      </c>
      <c r="K1067" s="2" t="s">
        <v>172</v>
      </c>
      <c r="L1067" s="2">
        <v>1829</v>
      </c>
      <c r="M1067" s="2" t="s">
        <v>25</v>
      </c>
      <c r="N1067" s="2">
        <v>83</v>
      </c>
      <c r="O1067" s="2">
        <v>91195.07</v>
      </c>
      <c r="P1067" s="2">
        <v>1098.74</v>
      </c>
    </row>
    <row r="1068" spans="1:16" outlineLevel="1" x14ac:dyDescent="0.2">
      <c r="A1068" s="5"/>
      <c r="D1068" s="3" t="s">
        <v>704</v>
      </c>
      <c r="N1068" s="2">
        <f>SUBTOTAL(9,N1066:N1067)</f>
        <v>307</v>
      </c>
      <c r="O1068" s="2">
        <f>SUBTOTAL(9,O1066:O1067)</f>
        <v>14838313.280000001</v>
      </c>
    </row>
    <row r="1069" spans="1:16" outlineLevel="2" x14ac:dyDescent="0.2">
      <c r="A1069" s="5">
        <v>46059</v>
      </c>
      <c r="B1069" s="2">
        <v>156786</v>
      </c>
      <c r="C1069" s="2">
        <v>1</v>
      </c>
      <c r="D1069" s="2" t="s">
        <v>54</v>
      </c>
      <c r="E1069" s="2" t="s">
        <v>20</v>
      </c>
      <c r="F1069" s="2" t="s">
        <v>23</v>
      </c>
      <c r="G1069" s="2" t="s">
        <v>22</v>
      </c>
      <c r="H1069" s="2" t="s">
        <v>23</v>
      </c>
      <c r="I1069" s="2" t="s">
        <v>23</v>
      </c>
      <c r="J1069" s="2">
        <v>2</v>
      </c>
      <c r="K1069" s="2" t="s">
        <v>48</v>
      </c>
      <c r="L1069" s="2">
        <v>25115</v>
      </c>
      <c r="M1069" s="2" t="s">
        <v>331</v>
      </c>
      <c r="N1069" s="2">
        <v>6</v>
      </c>
      <c r="O1069" s="2">
        <v>32762.42</v>
      </c>
      <c r="P1069" s="2">
        <v>5460.4</v>
      </c>
    </row>
    <row r="1070" spans="1:16" outlineLevel="2" x14ac:dyDescent="0.2">
      <c r="A1070" s="5">
        <v>46063</v>
      </c>
      <c r="B1070" s="2">
        <v>156786</v>
      </c>
      <c r="C1070" s="2">
        <v>501</v>
      </c>
      <c r="D1070" s="2" t="s">
        <v>54</v>
      </c>
      <c r="E1070" s="2" t="s">
        <v>20</v>
      </c>
      <c r="F1070" s="2" t="s">
        <v>23</v>
      </c>
      <c r="G1070" s="2" t="s">
        <v>22</v>
      </c>
      <c r="H1070" s="2" t="s">
        <v>23</v>
      </c>
      <c r="I1070" s="2" t="s">
        <v>23</v>
      </c>
      <c r="J1070" s="2">
        <v>2</v>
      </c>
      <c r="K1070" s="2" t="s">
        <v>48</v>
      </c>
      <c r="L1070" s="2">
        <v>25115</v>
      </c>
      <c r="M1070" s="2" t="s">
        <v>331</v>
      </c>
      <c r="N1070" s="2">
        <v>6</v>
      </c>
      <c r="O1070" s="2">
        <v>27161.78</v>
      </c>
      <c r="P1070" s="2">
        <v>4526.96</v>
      </c>
    </row>
    <row r="1071" spans="1:16" outlineLevel="1" x14ac:dyDescent="0.2">
      <c r="A1071" s="5"/>
      <c r="D1071" s="3" t="s">
        <v>719</v>
      </c>
      <c r="N1071" s="2">
        <f>SUBTOTAL(9,N1069:N1070)</f>
        <v>12</v>
      </c>
      <c r="O1071" s="2">
        <f>SUBTOTAL(9,O1069:O1070)</f>
        <v>59924.2</v>
      </c>
    </row>
    <row r="1072" spans="1:16" outlineLevel="2" x14ac:dyDescent="0.2">
      <c r="A1072" s="5">
        <v>46092</v>
      </c>
      <c r="B1072" s="2">
        <v>156795</v>
      </c>
      <c r="C1072" s="2">
        <v>1</v>
      </c>
      <c r="D1072" s="2" t="s">
        <v>83</v>
      </c>
      <c r="E1072" s="2" t="s">
        <v>55</v>
      </c>
      <c r="F1072" s="2" t="s">
        <v>23</v>
      </c>
      <c r="G1072" s="2" t="s">
        <v>23</v>
      </c>
      <c r="H1072" s="2" t="s">
        <v>23</v>
      </c>
      <c r="I1072" s="2" t="s">
        <v>23</v>
      </c>
      <c r="J1072" s="2">
        <v>2</v>
      </c>
      <c r="K1072" s="2" t="s">
        <v>48</v>
      </c>
      <c r="L1072" s="2">
        <v>792</v>
      </c>
      <c r="M1072" s="2" t="s">
        <v>127</v>
      </c>
      <c r="N1072" s="2">
        <v>3</v>
      </c>
      <c r="O1072" s="2">
        <v>32716.38</v>
      </c>
      <c r="P1072" s="2">
        <v>10905.46</v>
      </c>
    </row>
    <row r="1073" spans="1:16" outlineLevel="1" x14ac:dyDescent="0.2">
      <c r="A1073" s="5"/>
      <c r="D1073" s="3" t="s">
        <v>701</v>
      </c>
      <c r="N1073" s="2">
        <f>SUBTOTAL(9,N1072:N1072)</f>
        <v>3</v>
      </c>
      <c r="O1073" s="2">
        <f>SUBTOTAL(9,O1072:O1072)</f>
        <v>32716.38</v>
      </c>
    </row>
    <row r="1074" spans="1:16" outlineLevel="2" x14ac:dyDescent="0.2">
      <c r="A1074" s="5">
        <v>46062</v>
      </c>
      <c r="B1074" s="2">
        <v>156796</v>
      </c>
      <c r="C1074" s="2">
        <v>1</v>
      </c>
      <c r="D1074" s="2" t="s">
        <v>45</v>
      </c>
      <c r="E1074" s="2" t="s">
        <v>227</v>
      </c>
      <c r="F1074" s="2" t="s">
        <v>47</v>
      </c>
      <c r="G1074" s="2" t="s">
        <v>22</v>
      </c>
      <c r="H1074" s="2" t="s">
        <v>23</v>
      </c>
      <c r="I1074" s="2" t="s">
        <v>23</v>
      </c>
      <c r="J1074" s="2">
        <v>41</v>
      </c>
      <c r="K1074" s="2" t="s">
        <v>129</v>
      </c>
      <c r="L1074" s="2">
        <v>1964</v>
      </c>
      <c r="M1074" s="2" t="s">
        <v>49</v>
      </c>
      <c r="N1074" s="2">
        <v>57</v>
      </c>
      <c r="O1074" s="2">
        <v>767227.86</v>
      </c>
      <c r="P1074" s="2">
        <v>13460.14</v>
      </c>
    </row>
    <row r="1075" spans="1:16" outlineLevel="1" x14ac:dyDescent="0.2">
      <c r="A1075" s="5"/>
      <c r="D1075" s="3" t="s">
        <v>733</v>
      </c>
      <c r="N1075" s="2">
        <f>SUBTOTAL(9,N1074:N1074)</f>
        <v>57</v>
      </c>
      <c r="O1075" s="2">
        <f>SUBTOTAL(9,O1074:O1074)</f>
        <v>767227.86</v>
      </c>
    </row>
    <row r="1076" spans="1:16" outlineLevel="2" x14ac:dyDescent="0.2">
      <c r="A1076" s="5">
        <v>46062</v>
      </c>
      <c r="B1076" s="2">
        <v>156796</v>
      </c>
      <c r="C1076" s="2">
        <v>2</v>
      </c>
      <c r="D1076" s="2" t="s">
        <v>226</v>
      </c>
      <c r="E1076" s="2" t="s">
        <v>227</v>
      </c>
      <c r="F1076" s="2" t="s">
        <v>47</v>
      </c>
      <c r="G1076" s="2" t="s">
        <v>22</v>
      </c>
      <c r="H1076" s="2" t="s">
        <v>23</v>
      </c>
      <c r="I1076" s="2" t="s">
        <v>23</v>
      </c>
      <c r="J1076" s="2">
        <v>41</v>
      </c>
      <c r="K1076" s="2" t="s">
        <v>129</v>
      </c>
      <c r="L1076" s="2">
        <v>1964</v>
      </c>
      <c r="M1076" s="2" t="s">
        <v>49</v>
      </c>
      <c r="N1076" s="2">
        <v>65</v>
      </c>
      <c r="O1076" s="2">
        <v>1316182.5</v>
      </c>
      <c r="P1076" s="2">
        <v>20248.96</v>
      </c>
    </row>
    <row r="1077" spans="1:16" outlineLevel="1" x14ac:dyDescent="0.2">
      <c r="A1077" s="5"/>
      <c r="D1077" s="3" t="s">
        <v>736</v>
      </c>
      <c r="N1077" s="2">
        <f>SUBTOTAL(9,N1076:N1076)</f>
        <v>65</v>
      </c>
      <c r="O1077" s="2">
        <f>SUBTOTAL(9,O1076:O1076)</f>
        <v>1316182.5</v>
      </c>
    </row>
    <row r="1078" spans="1:16" outlineLevel="2" x14ac:dyDescent="0.2">
      <c r="A1078" s="5">
        <v>46062</v>
      </c>
      <c r="B1078" s="2">
        <v>156796</v>
      </c>
      <c r="C1078" s="2">
        <v>3</v>
      </c>
      <c r="D1078" s="2" t="s">
        <v>45</v>
      </c>
      <c r="E1078" s="2" t="s">
        <v>228</v>
      </c>
      <c r="F1078" s="2" t="s">
        <v>47</v>
      </c>
      <c r="G1078" s="2" t="s">
        <v>22</v>
      </c>
      <c r="H1078" s="2" t="s">
        <v>23</v>
      </c>
      <c r="I1078" s="2" t="s">
        <v>23</v>
      </c>
      <c r="J1078" s="2">
        <v>41</v>
      </c>
      <c r="K1078" s="2" t="s">
        <v>129</v>
      </c>
      <c r="L1078" s="2">
        <v>1964</v>
      </c>
      <c r="M1078" s="2" t="s">
        <v>49</v>
      </c>
      <c r="N1078" s="2">
        <v>15</v>
      </c>
      <c r="O1078" s="2">
        <v>207453.58</v>
      </c>
      <c r="P1078" s="2">
        <v>13830.24</v>
      </c>
    </row>
    <row r="1079" spans="1:16" outlineLevel="1" x14ac:dyDescent="0.2">
      <c r="A1079" s="5"/>
      <c r="D1079" s="3" t="s">
        <v>733</v>
      </c>
      <c r="N1079" s="2">
        <f>SUBTOTAL(9,N1078:N1078)</f>
        <v>15</v>
      </c>
      <c r="O1079" s="2">
        <f>SUBTOTAL(9,O1078:O1078)</f>
        <v>207453.58</v>
      </c>
    </row>
    <row r="1080" spans="1:16" outlineLevel="2" x14ac:dyDescent="0.2">
      <c r="A1080" s="5">
        <v>46062</v>
      </c>
      <c r="B1080" s="2">
        <v>156797</v>
      </c>
      <c r="C1080" s="2">
        <v>1</v>
      </c>
      <c r="D1080" s="2" t="s">
        <v>143</v>
      </c>
      <c r="E1080" s="2" t="s">
        <v>23</v>
      </c>
      <c r="F1080" s="2" t="s">
        <v>144</v>
      </c>
      <c r="G1080" s="2" t="s">
        <v>22</v>
      </c>
      <c r="H1080" s="2" t="s">
        <v>23</v>
      </c>
      <c r="I1080" s="2" t="s">
        <v>23</v>
      </c>
      <c r="J1080" s="2">
        <v>1</v>
      </c>
      <c r="K1080" s="2" t="s">
        <v>24</v>
      </c>
      <c r="L1080" s="2">
        <v>2101</v>
      </c>
      <c r="M1080" s="2" t="s">
        <v>145</v>
      </c>
      <c r="N1080" s="2">
        <v>75</v>
      </c>
      <c r="O1080" s="2">
        <v>1201553.23</v>
      </c>
      <c r="P1080" s="2">
        <v>16020.71</v>
      </c>
    </row>
    <row r="1081" spans="1:16" outlineLevel="1" x14ac:dyDescent="0.2">
      <c r="A1081" s="5"/>
      <c r="D1081" s="3" t="s">
        <v>706</v>
      </c>
      <c r="N1081" s="2">
        <f>SUBTOTAL(9,N1080:N1080)</f>
        <v>75</v>
      </c>
      <c r="O1081" s="2">
        <f>SUBTOTAL(9,O1080:O1080)</f>
        <v>1201553.23</v>
      </c>
    </row>
    <row r="1082" spans="1:16" outlineLevel="2" x14ac:dyDescent="0.2">
      <c r="A1082" s="5">
        <v>46064</v>
      </c>
      <c r="B1082" s="2">
        <v>156801</v>
      </c>
      <c r="C1082" s="2">
        <v>1</v>
      </c>
      <c r="D1082" s="2" t="s">
        <v>70</v>
      </c>
      <c r="E1082" s="2" t="s">
        <v>23</v>
      </c>
      <c r="F1082" s="2" t="s">
        <v>55</v>
      </c>
      <c r="G1082" s="2" t="s">
        <v>23</v>
      </c>
      <c r="H1082" s="2" t="s">
        <v>23</v>
      </c>
      <c r="I1082" s="2" t="s">
        <v>23</v>
      </c>
      <c r="J1082" s="2">
        <v>86</v>
      </c>
      <c r="K1082" s="2" t="s">
        <v>73</v>
      </c>
      <c r="L1082" s="2">
        <v>25073</v>
      </c>
      <c r="M1082" s="2" t="s">
        <v>148</v>
      </c>
      <c r="N1082" s="2">
        <v>37</v>
      </c>
      <c r="O1082" s="2">
        <v>355896.88</v>
      </c>
      <c r="P1082" s="2">
        <v>9618.83</v>
      </c>
    </row>
    <row r="1083" spans="1:16" outlineLevel="1" x14ac:dyDescent="0.2">
      <c r="A1083" s="5"/>
      <c r="D1083" s="3" t="s">
        <v>695</v>
      </c>
      <c r="N1083" s="2">
        <f>SUBTOTAL(9,N1082:N1082)</f>
        <v>37</v>
      </c>
      <c r="O1083" s="2">
        <f>SUBTOTAL(9,O1082:O1082)</f>
        <v>355896.88</v>
      </c>
    </row>
    <row r="1084" spans="1:16" outlineLevel="2" x14ac:dyDescent="0.2">
      <c r="A1084" s="5">
        <v>46062</v>
      </c>
      <c r="B1084" s="2">
        <v>156804</v>
      </c>
      <c r="C1084" s="2">
        <v>1</v>
      </c>
      <c r="D1084" s="2" t="s">
        <v>38</v>
      </c>
      <c r="E1084" s="2" t="s">
        <v>39</v>
      </c>
      <c r="F1084" s="2" t="s">
        <v>290</v>
      </c>
      <c r="G1084" s="2" t="s">
        <v>22</v>
      </c>
      <c r="H1084" s="2" t="s">
        <v>23</v>
      </c>
      <c r="I1084" s="2" t="s">
        <v>23</v>
      </c>
      <c r="J1084" s="2">
        <v>40</v>
      </c>
      <c r="K1084" s="2" t="s">
        <v>43</v>
      </c>
      <c r="L1084" s="2">
        <v>2551</v>
      </c>
      <c r="M1084" s="2" t="s">
        <v>292</v>
      </c>
      <c r="N1084" s="2">
        <v>672</v>
      </c>
      <c r="O1084" s="2">
        <v>18766471.289999999</v>
      </c>
      <c r="P1084" s="2">
        <v>27926.3</v>
      </c>
    </row>
    <row r="1085" spans="1:16" outlineLevel="1" x14ac:dyDescent="0.2">
      <c r="A1085" s="5"/>
      <c r="D1085" s="3" t="s">
        <v>721</v>
      </c>
      <c r="N1085" s="2">
        <f>SUBTOTAL(9,N1084:N1084)</f>
        <v>672</v>
      </c>
      <c r="O1085" s="2">
        <f>SUBTOTAL(9,O1084:O1084)</f>
        <v>18766471.289999999</v>
      </c>
    </row>
    <row r="1086" spans="1:16" outlineLevel="2" x14ac:dyDescent="0.2">
      <c r="A1086" s="5">
        <v>46059</v>
      </c>
      <c r="B1086" s="2">
        <v>156805</v>
      </c>
      <c r="C1086" s="2">
        <v>1</v>
      </c>
      <c r="D1086" s="2" t="s">
        <v>67</v>
      </c>
      <c r="E1086" s="2" t="s">
        <v>311</v>
      </c>
      <c r="F1086" s="2" t="s">
        <v>187</v>
      </c>
      <c r="G1086" s="2" t="s">
        <v>22</v>
      </c>
      <c r="H1086" s="2" t="s">
        <v>23</v>
      </c>
      <c r="I1086" s="2" t="s">
        <v>312</v>
      </c>
      <c r="J1086" s="2">
        <v>124</v>
      </c>
      <c r="K1086" s="2" t="s">
        <v>155</v>
      </c>
      <c r="L1086" s="2">
        <v>25144</v>
      </c>
      <c r="M1086" s="2" t="s">
        <v>189</v>
      </c>
      <c r="N1086" s="2">
        <v>63</v>
      </c>
      <c r="O1086" s="2">
        <v>1890247.34</v>
      </c>
      <c r="P1086" s="2">
        <v>30003.93</v>
      </c>
    </row>
    <row r="1087" spans="1:16" outlineLevel="2" x14ac:dyDescent="0.2">
      <c r="A1087" s="5">
        <v>46059</v>
      </c>
      <c r="B1087" s="2">
        <v>156805</v>
      </c>
      <c r="C1087" s="2">
        <v>2</v>
      </c>
      <c r="D1087" s="2" t="s">
        <v>67</v>
      </c>
      <c r="E1087" s="2" t="s">
        <v>311</v>
      </c>
      <c r="F1087" s="2" t="s">
        <v>187</v>
      </c>
      <c r="G1087" s="2" t="s">
        <v>22</v>
      </c>
      <c r="H1087" s="2" t="s">
        <v>23</v>
      </c>
      <c r="I1087" s="2" t="s">
        <v>194</v>
      </c>
      <c r="J1087" s="2">
        <v>1</v>
      </c>
      <c r="K1087" s="2" t="s">
        <v>24</v>
      </c>
      <c r="L1087" s="2">
        <v>25144</v>
      </c>
      <c r="M1087" s="2" t="s">
        <v>189</v>
      </c>
      <c r="N1087" s="2">
        <v>89</v>
      </c>
      <c r="O1087" s="2">
        <v>2924274.37</v>
      </c>
      <c r="P1087" s="2">
        <v>32857.019999999997</v>
      </c>
    </row>
    <row r="1088" spans="1:16" outlineLevel="2" x14ac:dyDescent="0.2">
      <c r="A1088" s="5">
        <v>46062</v>
      </c>
      <c r="B1088" s="2">
        <v>156805</v>
      </c>
      <c r="C1088" s="2">
        <v>3</v>
      </c>
      <c r="D1088" s="2" t="s">
        <v>67</v>
      </c>
      <c r="E1088" s="2" t="s">
        <v>311</v>
      </c>
      <c r="F1088" s="2" t="s">
        <v>187</v>
      </c>
      <c r="G1088" s="2" t="s">
        <v>22</v>
      </c>
      <c r="H1088" s="2" t="s">
        <v>23</v>
      </c>
      <c r="I1088" s="2" t="s">
        <v>332</v>
      </c>
      <c r="J1088" s="2">
        <v>1</v>
      </c>
      <c r="K1088" s="2" t="s">
        <v>24</v>
      </c>
      <c r="L1088" s="2">
        <v>25144</v>
      </c>
      <c r="M1088" s="2" t="s">
        <v>189</v>
      </c>
      <c r="N1088" s="2">
        <v>32</v>
      </c>
      <c r="O1088" s="2">
        <v>496433.48</v>
      </c>
      <c r="P1088" s="2">
        <v>15513.55</v>
      </c>
    </row>
    <row r="1089" spans="1:16" outlineLevel="2" x14ac:dyDescent="0.2">
      <c r="A1089" s="5">
        <v>46062</v>
      </c>
      <c r="B1089" s="2">
        <v>156805</v>
      </c>
      <c r="C1089" s="2">
        <v>4</v>
      </c>
      <c r="D1089" s="2" t="s">
        <v>67</v>
      </c>
      <c r="E1089" s="2" t="s">
        <v>311</v>
      </c>
      <c r="F1089" s="2" t="s">
        <v>187</v>
      </c>
      <c r="G1089" s="2" t="s">
        <v>22</v>
      </c>
      <c r="H1089" s="2" t="s">
        <v>23</v>
      </c>
      <c r="I1089" s="2" t="s">
        <v>313</v>
      </c>
      <c r="J1089" s="2">
        <v>1</v>
      </c>
      <c r="K1089" s="2" t="s">
        <v>24</v>
      </c>
      <c r="L1089" s="2">
        <v>25144</v>
      </c>
      <c r="M1089" s="2" t="s">
        <v>189</v>
      </c>
      <c r="N1089" s="2">
        <v>56</v>
      </c>
      <c r="O1089" s="2">
        <v>1042250.68</v>
      </c>
      <c r="P1089" s="2">
        <v>18611.62</v>
      </c>
    </row>
    <row r="1090" spans="1:16" outlineLevel="2" x14ac:dyDescent="0.2">
      <c r="A1090" s="5">
        <v>46062</v>
      </c>
      <c r="B1090" s="2">
        <v>156805</v>
      </c>
      <c r="C1090" s="2">
        <v>6</v>
      </c>
      <c r="D1090" s="2" t="s">
        <v>67</v>
      </c>
      <c r="E1090" s="2" t="s">
        <v>311</v>
      </c>
      <c r="F1090" s="2" t="s">
        <v>187</v>
      </c>
      <c r="G1090" s="2" t="s">
        <v>22</v>
      </c>
      <c r="H1090" s="2" t="s">
        <v>23</v>
      </c>
      <c r="I1090" s="2" t="s">
        <v>332</v>
      </c>
      <c r="J1090" s="2">
        <v>1</v>
      </c>
      <c r="K1090" s="2" t="s">
        <v>24</v>
      </c>
      <c r="L1090" s="2">
        <v>25144</v>
      </c>
      <c r="M1090" s="2" t="s">
        <v>189</v>
      </c>
      <c r="N1090" s="2">
        <v>55</v>
      </c>
      <c r="O1090" s="2">
        <v>1059052.6499999999</v>
      </c>
      <c r="P1090" s="2">
        <v>19255.5</v>
      </c>
    </row>
    <row r="1091" spans="1:16" outlineLevel="1" x14ac:dyDescent="0.2">
      <c r="A1091" s="5"/>
      <c r="D1091" s="3" t="s">
        <v>720</v>
      </c>
      <c r="N1091" s="2">
        <f>SUBTOTAL(9,N1086:N1090)</f>
        <v>295</v>
      </c>
      <c r="O1091" s="2">
        <f>SUBTOTAL(9,O1086:O1090)</f>
        <v>7412258.5199999996</v>
      </c>
    </row>
    <row r="1092" spans="1:16" outlineLevel="2" x14ac:dyDescent="0.2">
      <c r="A1092" s="5">
        <v>46062</v>
      </c>
      <c r="B1092" s="2">
        <v>156806</v>
      </c>
      <c r="C1092" s="2">
        <v>1</v>
      </c>
      <c r="D1092" s="2" t="s">
        <v>119</v>
      </c>
      <c r="E1092" s="2" t="s">
        <v>120</v>
      </c>
      <c r="F1092" s="2" t="s">
        <v>121</v>
      </c>
      <c r="G1092" s="2" t="s">
        <v>22</v>
      </c>
      <c r="H1092" s="2" t="s">
        <v>23</v>
      </c>
      <c r="I1092" s="2" t="s">
        <v>122</v>
      </c>
      <c r="J1092" s="2">
        <v>1</v>
      </c>
      <c r="K1092" s="2" t="s">
        <v>24</v>
      </c>
      <c r="L1092" s="2">
        <v>25227</v>
      </c>
      <c r="M1092" s="2" t="s">
        <v>123</v>
      </c>
      <c r="N1092" s="2">
        <v>236</v>
      </c>
      <c r="O1092" s="2">
        <v>12420181.42</v>
      </c>
      <c r="P1092" s="2">
        <v>52627.89</v>
      </c>
    </row>
    <row r="1093" spans="1:16" outlineLevel="2" x14ac:dyDescent="0.2">
      <c r="A1093" s="5">
        <v>46094</v>
      </c>
      <c r="B1093" s="2">
        <v>156806</v>
      </c>
      <c r="C1093" s="2">
        <v>3</v>
      </c>
      <c r="D1093" s="2" t="s">
        <v>119</v>
      </c>
      <c r="E1093" s="2" t="s">
        <v>120</v>
      </c>
      <c r="F1093" s="2" t="s">
        <v>121</v>
      </c>
      <c r="G1093" s="2" t="s">
        <v>23</v>
      </c>
      <c r="H1093" s="2" t="s">
        <v>23</v>
      </c>
      <c r="I1093" s="2" t="s">
        <v>333</v>
      </c>
      <c r="J1093" s="2">
        <v>1</v>
      </c>
      <c r="K1093" s="2" t="s">
        <v>24</v>
      </c>
      <c r="L1093" s="2">
        <v>25227</v>
      </c>
      <c r="M1093" s="2" t="s">
        <v>123</v>
      </c>
      <c r="N1093" s="2">
        <v>95</v>
      </c>
      <c r="O1093" s="2">
        <v>4217029.55</v>
      </c>
      <c r="P1093" s="2">
        <v>44389.78</v>
      </c>
    </row>
    <row r="1094" spans="1:16" outlineLevel="1" x14ac:dyDescent="0.2">
      <c r="A1094" s="5"/>
      <c r="D1094" s="3" t="s">
        <v>708</v>
      </c>
      <c r="N1094" s="2">
        <f>SUBTOTAL(9,N1092:N1093)</f>
        <v>331</v>
      </c>
      <c r="O1094" s="2">
        <f>SUBTOTAL(9,O1092:O1093)</f>
        <v>16637210.969999999</v>
      </c>
    </row>
    <row r="1095" spans="1:16" outlineLevel="2" x14ac:dyDescent="0.2">
      <c r="A1095" s="5">
        <v>46059</v>
      </c>
      <c r="B1095" s="2">
        <v>156807</v>
      </c>
      <c r="C1095" s="2">
        <v>1</v>
      </c>
      <c r="D1095" s="2" t="s">
        <v>75</v>
      </c>
      <c r="E1095" s="2" t="s">
        <v>99</v>
      </c>
      <c r="F1095" s="2" t="s">
        <v>40</v>
      </c>
      <c r="G1095" s="2" t="s">
        <v>22</v>
      </c>
      <c r="H1095" s="2" t="s">
        <v>23</v>
      </c>
      <c r="I1095" s="2" t="s">
        <v>100</v>
      </c>
      <c r="J1095" s="2">
        <v>1</v>
      </c>
      <c r="K1095" s="2" t="s">
        <v>24</v>
      </c>
      <c r="L1095" s="2">
        <v>2024</v>
      </c>
      <c r="M1095" s="2" t="s">
        <v>76</v>
      </c>
      <c r="N1095" s="2">
        <v>160</v>
      </c>
      <c r="O1095" s="2">
        <v>4600715.0599999996</v>
      </c>
      <c r="P1095" s="2">
        <v>28754.47</v>
      </c>
    </row>
    <row r="1096" spans="1:16" outlineLevel="2" x14ac:dyDescent="0.2">
      <c r="A1096" s="5">
        <v>46059</v>
      </c>
      <c r="B1096" s="2">
        <v>156807</v>
      </c>
      <c r="C1096" s="2">
        <v>2</v>
      </c>
      <c r="D1096" s="2" t="s">
        <v>75</v>
      </c>
      <c r="E1096" s="2" t="s">
        <v>99</v>
      </c>
      <c r="F1096" s="2" t="s">
        <v>40</v>
      </c>
      <c r="G1096" s="2" t="s">
        <v>22</v>
      </c>
      <c r="H1096" s="2" t="s">
        <v>23</v>
      </c>
      <c r="I1096" s="2" t="s">
        <v>109</v>
      </c>
      <c r="J1096" s="2">
        <v>1</v>
      </c>
      <c r="K1096" s="2" t="s">
        <v>24</v>
      </c>
      <c r="L1096" s="2">
        <v>2024</v>
      </c>
      <c r="M1096" s="2" t="s">
        <v>76</v>
      </c>
      <c r="N1096" s="2">
        <v>80</v>
      </c>
      <c r="O1096" s="2">
        <v>2346337.75</v>
      </c>
      <c r="P1096" s="2">
        <v>29329.22</v>
      </c>
    </row>
    <row r="1097" spans="1:16" outlineLevel="2" x14ac:dyDescent="0.2">
      <c r="A1097" s="5">
        <v>46062</v>
      </c>
      <c r="B1097" s="2">
        <v>156807</v>
      </c>
      <c r="C1097" s="2">
        <v>3</v>
      </c>
      <c r="D1097" s="2" t="s">
        <v>75</v>
      </c>
      <c r="E1097" s="2" t="s">
        <v>99</v>
      </c>
      <c r="F1097" s="2" t="s">
        <v>40</v>
      </c>
      <c r="G1097" s="2" t="s">
        <v>22</v>
      </c>
      <c r="H1097" s="2" t="s">
        <v>23</v>
      </c>
      <c r="I1097" s="2" t="s">
        <v>101</v>
      </c>
      <c r="J1097" s="2">
        <v>1</v>
      </c>
      <c r="K1097" s="2" t="s">
        <v>24</v>
      </c>
      <c r="L1097" s="2">
        <v>2024</v>
      </c>
      <c r="M1097" s="2" t="s">
        <v>76</v>
      </c>
      <c r="N1097" s="2">
        <v>80</v>
      </c>
      <c r="O1097" s="2">
        <v>2418212.5699999998</v>
      </c>
      <c r="P1097" s="2">
        <v>30227.66</v>
      </c>
    </row>
    <row r="1098" spans="1:16" outlineLevel="1" x14ac:dyDescent="0.2">
      <c r="A1098" s="5"/>
      <c r="D1098" s="3" t="s">
        <v>729</v>
      </c>
      <c r="N1098" s="2">
        <f>SUBTOTAL(9,N1095:N1097)</f>
        <v>320</v>
      </c>
      <c r="O1098" s="2">
        <f>SUBTOTAL(9,O1095:O1097)</f>
        <v>9365265.379999999</v>
      </c>
    </row>
    <row r="1099" spans="1:16" outlineLevel="2" x14ac:dyDescent="0.2">
      <c r="A1099" s="5">
        <v>46066</v>
      </c>
      <c r="B1099" s="2">
        <v>156817</v>
      </c>
      <c r="C1099" s="2">
        <v>307</v>
      </c>
      <c r="D1099" s="2" t="s">
        <v>197</v>
      </c>
      <c r="E1099" s="2" t="s">
        <v>244</v>
      </c>
      <c r="F1099" s="2" t="s">
        <v>199</v>
      </c>
      <c r="G1099" s="2" t="s">
        <v>22</v>
      </c>
      <c r="H1099" s="2" t="s">
        <v>23</v>
      </c>
      <c r="I1099" s="2" t="s">
        <v>23</v>
      </c>
      <c r="J1099" s="2">
        <v>86</v>
      </c>
      <c r="K1099" s="2" t="s">
        <v>73</v>
      </c>
      <c r="L1099" s="2">
        <v>155</v>
      </c>
      <c r="M1099" s="2" t="s">
        <v>328</v>
      </c>
      <c r="N1099" s="2">
        <v>55</v>
      </c>
      <c r="O1099" s="2">
        <v>655806.79</v>
      </c>
      <c r="P1099" s="2">
        <v>11923.76</v>
      </c>
    </row>
    <row r="1100" spans="1:16" outlineLevel="1" x14ac:dyDescent="0.2">
      <c r="A1100" s="5"/>
      <c r="D1100" s="3" t="s">
        <v>734</v>
      </c>
      <c r="N1100" s="2">
        <f>SUBTOTAL(9,N1099:N1099)</f>
        <v>55</v>
      </c>
      <c r="O1100" s="2">
        <f>SUBTOTAL(9,O1099:O1099)</f>
        <v>655806.79</v>
      </c>
    </row>
    <row r="1101" spans="1:16" outlineLevel="2" x14ac:dyDescent="0.2">
      <c r="A1101" s="5">
        <v>46062</v>
      </c>
      <c r="B1101" s="2">
        <v>156820</v>
      </c>
      <c r="C1101" s="2">
        <v>2</v>
      </c>
      <c r="D1101" s="2" t="s">
        <v>107</v>
      </c>
      <c r="E1101" s="2" t="s">
        <v>23</v>
      </c>
      <c r="F1101" s="2" t="s">
        <v>63</v>
      </c>
      <c r="G1101" s="2" t="s">
        <v>22</v>
      </c>
      <c r="H1101" s="2" t="s">
        <v>23</v>
      </c>
      <c r="I1101" s="2" t="s">
        <v>334</v>
      </c>
      <c r="J1101" s="2">
        <v>40</v>
      </c>
      <c r="K1101" s="2" t="s">
        <v>43</v>
      </c>
      <c r="L1101" s="2">
        <v>2104</v>
      </c>
      <c r="M1101" s="2" t="s">
        <v>118</v>
      </c>
      <c r="N1101" s="2">
        <v>102</v>
      </c>
      <c r="O1101" s="2">
        <v>1789100.78</v>
      </c>
      <c r="P1101" s="2">
        <v>17540.2</v>
      </c>
    </row>
    <row r="1102" spans="1:16" outlineLevel="1" x14ac:dyDescent="0.2">
      <c r="A1102" s="5"/>
      <c r="D1102" s="3" t="s">
        <v>726</v>
      </c>
      <c r="N1102" s="2">
        <f>SUBTOTAL(9,N1101:N1101)</f>
        <v>102</v>
      </c>
      <c r="O1102" s="2">
        <f>SUBTOTAL(9,O1101:O1101)</f>
        <v>1789100.78</v>
      </c>
    </row>
    <row r="1103" spans="1:16" outlineLevel="2" x14ac:dyDescent="0.2">
      <c r="A1103" s="5">
        <v>46062</v>
      </c>
      <c r="B1103" s="2">
        <v>156821</v>
      </c>
      <c r="C1103" s="2">
        <v>1</v>
      </c>
      <c r="D1103" s="2" t="s">
        <v>131</v>
      </c>
      <c r="E1103" s="2" t="s">
        <v>132</v>
      </c>
      <c r="F1103" s="2" t="s">
        <v>40</v>
      </c>
      <c r="G1103" s="2" t="s">
        <v>22</v>
      </c>
      <c r="H1103" s="2" t="s">
        <v>23</v>
      </c>
      <c r="I1103" s="2" t="s">
        <v>23</v>
      </c>
      <c r="J1103" s="2">
        <v>1</v>
      </c>
      <c r="K1103" s="2" t="s">
        <v>24</v>
      </c>
      <c r="L1103" s="2">
        <v>2521</v>
      </c>
      <c r="M1103" s="2" t="s">
        <v>82</v>
      </c>
      <c r="N1103" s="2">
        <v>492</v>
      </c>
      <c r="O1103" s="2">
        <v>8963516.4000000004</v>
      </c>
      <c r="P1103" s="2">
        <v>18218.53</v>
      </c>
    </row>
    <row r="1104" spans="1:16" outlineLevel="1" x14ac:dyDescent="0.2">
      <c r="A1104" s="5"/>
      <c r="D1104" s="3" t="s">
        <v>713</v>
      </c>
      <c r="N1104" s="2">
        <f>SUBTOTAL(9,N1103:N1103)</f>
        <v>492</v>
      </c>
      <c r="O1104" s="2">
        <f>SUBTOTAL(9,O1103:O1103)</f>
        <v>8963516.4000000004</v>
      </c>
    </row>
    <row r="1105" spans="1:16" outlineLevel="2" x14ac:dyDescent="0.2">
      <c r="A1105" s="5">
        <v>46062</v>
      </c>
      <c r="B1105" s="2">
        <v>156822</v>
      </c>
      <c r="C1105" s="2">
        <v>1</v>
      </c>
      <c r="D1105" s="2" t="s">
        <v>160</v>
      </c>
      <c r="E1105" s="2" t="s">
        <v>222</v>
      </c>
      <c r="F1105" s="2" t="s">
        <v>40</v>
      </c>
      <c r="G1105" s="2" t="s">
        <v>22</v>
      </c>
      <c r="H1105" s="2" t="s">
        <v>23</v>
      </c>
      <c r="I1105" s="2" t="s">
        <v>23</v>
      </c>
      <c r="J1105" s="2">
        <v>1</v>
      </c>
      <c r="K1105" s="2" t="s">
        <v>24</v>
      </c>
      <c r="L1105" s="2">
        <v>25202</v>
      </c>
      <c r="M1105" s="2" t="s">
        <v>307</v>
      </c>
      <c r="N1105" s="2">
        <v>97</v>
      </c>
      <c r="O1105" s="2">
        <v>3070916.38</v>
      </c>
      <c r="P1105" s="2">
        <v>31658.93</v>
      </c>
    </row>
    <row r="1106" spans="1:16" outlineLevel="1" x14ac:dyDescent="0.2">
      <c r="A1106" s="5"/>
      <c r="D1106" s="3" t="s">
        <v>709</v>
      </c>
      <c r="N1106" s="2">
        <f>SUBTOTAL(9,N1105:N1105)</f>
        <v>97</v>
      </c>
      <c r="O1106" s="2">
        <f>SUBTOTAL(9,O1105:O1105)</f>
        <v>3070916.38</v>
      </c>
    </row>
    <row r="1107" spans="1:16" outlineLevel="2" x14ac:dyDescent="0.2">
      <c r="A1107" s="5">
        <v>46064</v>
      </c>
      <c r="B1107" s="2">
        <v>156823</v>
      </c>
      <c r="C1107" s="2">
        <v>4</v>
      </c>
      <c r="D1107" s="2" t="s">
        <v>150</v>
      </c>
      <c r="E1107" s="2" t="s">
        <v>321</v>
      </c>
      <c r="F1107" s="2" t="s">
        <v>40</v>
      </c>
      <c r="G1107" s="2" t="s">
        <v>22</v>
      </c>
      <c r="H1107" s="2" t="s">
        <v>23</v>
      </c>
      <c r="I1107" s="2" t="s">
        <v>36</v>
      </c>
      <c r="J1107" s="2">
        <v>1</v>
      </c>
      <c r="K1107" s="2" t="s">
        <v>24</v>
      </c>
      <c r="L1107" s="2">
        <v>634</v>
      </c>
      <c r="M1107" s="2" t="s">
        <v>153</v>
      </c>
      <c r="N1107" s="2">
        <v>71</v>
      </c>
      <c r="O1107" s="2">
        <v>1560310.6</v>
      </c>
      <c r="P1107" s="2">
        <v>21976.21</v>
      </c>
    </row>
    <row r="1108" spans="1:16" outlineLevel="1" x14ac:dyDescent="0.2">
      <c r="A1108" s="5"/>
      <c r="D1108" s="3" t="s">
        <v>718</v>
      </c>
      <c r="N1108" s="2">
        <f>SUBTOTAL(9,N1107:N1107)</f>
        <v>71</v>
      </c>
      <c r="O1108" s="2">
        <f>SUBTOTAL(9,O1107:O1107)</f>
        <v>1560310.6</v>
      </c>
    </row>
    <row r="1109" spans="1:16" outlineLevel="2" x14ac:dyDescent="0.2">
      <c r="A1109" s="5">
        <v>46097</v>
      </c>
      <c r="B1109" s="2">
        <v>156827</v>
      </c>
      <c r="C1109" s="2">
        <v>1</v>
      </c>
      <c r="D1109" s="2" t="s">
        <v>83</v>
      </c>
      <c r="E1109" s="2" t="s">
        <v>55</v>
      </c>
      <c r="F1109" s="2" t="s">
        <v>23</v>
      </c>
      <c r="G1109" s="2" t="s">
        <v>23</v>
      </c>
      <c r="H1109" s="2" t="s">
        <v>23</v>
      </c>
      <c r="I1109" s="2" t="s">
        <v>23</v>
      </c>
      <c r="J1109" s="2">
        <v>1</v>
      </c>
      <c r="K1109" s="2" t="s">
        <v>24</v>
      </c>
      <c r="L1109" s="2">
        <v>226</v>
      </c>
      <c r="M1109" s="2" t="s">
        <v>59</v>
      </c>
      <c r="N1109" s="2">
        <v>13</v>
      </c>
      <c r="O1109" s="2">
        <v>142066.84</v>
      </c>
      <c r="P1109" s="2">
        <v>10928.22</v>
      </c>
    </row>
    <row r="1110" spans="1:16" outlineLevel="2" x14ac:dyDescent="0.2">
      <c r="A1110" s="5">
        <v>46092</v>
      </c>
      <c r="B1110" s="2">
        <v>156827</v>
      </c>
      <c r="C1110" s="2">
        <v>2</v>
      </c>
      <c r="D1110" s="2" t="s">
        <v>83</v>
      </c>
      <c r="E1110" s="2" t="s">
        <v>317</v>
      </c>
      <c r="F1110" s="2" t="s">
        <v>31</v>
      </c>
      <c r="G1110" s="2" t="s">
        <v>55</v>
      </c>
      <c r="H1110" s="2" t="s">
        <v>23</v>
      </c>
      <c r="I1110" s="2" t="s">
        <v>23</v>
      </c>
      <c r="J1110" s="2">
        <v>1</v>
      </c>
      <c r="K1110" s="2" t="s">
        <v>24</v>
      </c>
      <c r="L1110" s="2">
        <v>226</v>
      </c>
      <c r="M1110" s="2" t="s">
        <v>59</v>
      </c>
      <c r="N1110" s="2">
        <v>6</v>
      </c>
      <c r="O1110" s="2">
        <v>74767.179999999993</v>
      </c>
      <c r="P1110" s="2">
        <v>12461.2</v>
      </c>
    </row>
    <row r="1111" spans="1:16" outlineLevel="1" x14ac:dyDescent="0.2">
      <c r="A1111" s="5"/>
      <c r="D1111" s="3" t="s">
        <v>701</v>
      </c>
      <c r="N1111" s="2">
        <f>SUBTOTAL(9,N1109:N1110)</f>
        <v>19</v>
      </c>
      <c r="O1111" s="2">
        <f>SUBTOTAL(9,O1109:O1110)</f>
        <v>216834.02</v>
      </c>
    </row>
    <row r="1112" spans="1:16" outlineLevel="2" x14ac:dyDescent="0.2">
      <c r="A1112" s="5">
        <v>46064</v>
      </c>
      <c r="B1112" s="2">
        <v>156829</v>
      </c>
      <c r="C1112" s="2">
        <v>2</v>
      </c>
      <c r="D1112" s="2" t="s">
        <v>29</v>
      </c>
      <c r="E1112" s="2" t="s">
        <v>55</v>
      </c>
      <c r="F1112" s="2" t="s">
        <v>23</v>
      </c>
      <c r="G1112" s="2" t="s">
        <v>23</v>
      </c>
      <c r="H1112" s="2" t="s">
        <v>23</v>
      </c>
      <c r="I1112" s="2" t="s">
        <v>23</v>
      </c>
      <c r="J1112" s="2">
        <v>1</v>
      </c>
      <c r="K1112" s="2" t="s">
        <v>24</v>
      </c>
      <c r="L1112" s="2">
        <v>25177</v>
      </c>
      <c r="M1112" s="2" t="s">
        <v>32</v>
      </c>
      <c r="N1112" s="2">
        <v>96</v>
      </c>
      <c r="O1112" s="2">
        <v>413119.84</v>
      </c>
      <c r="P1112" s="2">
        <v>4303.33</v>
      </c>
    </row>
    <row r="1113" spans="1:16" outlineLevel="1" x14ac:dyDescent="0.2">
      <c r="A1113" s="5"/>
      <c r="D1113" s="3" t="s">
        <v>703</v>
      </c>
      <c r="N1113" s="2">
        <f>SUBTOTAL(9,N1112:N1112)</f>
        <v>96</v>
      </c>
      <c r="O1113" s="2">
        <f>SUBTOTAL(9,O1112:O1112)</f>
        <v>413119.84</v>
      </c>
    </row>
    <row r="1114" spans="1:16" outlineLevel="2" x14ac:dyDescent="0.2">
      <c r="A1114" s="5">
        <v>46062</v>
      </c>
      <c r="B1114" s="2">
        <v>156839</v>
      </c>
      <c r="C1114" s="2">
        <v>1</v>
      </c>
      <c r="D1114" s="2" t="s">
        <v>102</v>
      </c>
      <c r="E1114" s="2" t="s">
        <v>104</v>
      </c>
      <c r="F1114" s="2" t="s">
        <v>40</v>
      </c>
      <c r="G1114" s="2" t="s">
        <v>22</v>
      </c>
      <c r="H1114" s="2" t="s">
        <v>23</v>
      </c>
      <c r="I1114" s="2" t="s">
        <v>23</v>
      </c>
      <c r="J1114" s="2">
        <v>1</v>
      </c>
      <c r="K1114" s="2" t="s">
        <v>24</v>
      </c>
      <c r="L1114" s="2">
        <v>25120</v>
      </c>
      <c r="M1114" s="2" t="s">
        <v>103</v>
      </c>
      <c r="N1114" s="2">
        <v>324</v>
      </c>
      <c r="O1114" s="2">
        <v>16747841.99</v>
      </c>
      <c r="P1114" s="2">
        <v>51690.87</v>
      </c>
    </row>
    <row r="1115" spans="1:16" outlineLevel="1" x14ac:dyDescent="0.2">
      <c r="A1115" s="5"/>
      <c r="D1115" s="3" t="s">
        <v>707</v>
      </c>
      <c r="N1115" s="2">
        <f>SUBTOTAL(9,N1114:N1114)</f>
        <v>324</v>
      </c>
      <c r="O1115" s="2">
        <f>SUBTOTAL(9,O1114:O1114)</f>
        <v>16747841.99</v>
      </c>
    </row>
    <row r="1116" spans="1:16" outlineLevel="2" x14ac:dyDescent="0.2">
      <c r="A1116" s="5">
        <v>46064</v>
      </c>
      <c r="B1116" s="2">
        <v>156840</v>
      </c>
      <c r="C1116" s="2">
        <v>1</v>
      </c>
      <c r="D1116" s="2" t="s">
        <v>38</v>
      </c>
      <c r="E1116" s="2" t="s">
        <v>39</v>
      </c>
      <c r="F1116" s="2" t="s">
        <v>63</v>
      </c>
      <c r="G1116" s="2" t="s">
        <v>22</v>
      </c>
      <c r="H1116" s="2" t="s">
        <v>23</v>
      </c>
      <c r="I1116" s="2" t="s">
        <v>243</v>
      </c>
      <c r="J1116" s="2">
        <v>1</v>
      </c>
      <c r="K1116" s="2" t="s">
        <v>24</v>
      </c>
      <c r="L1116" s="2">
        <v>1846</v>
      </c>
      <c r="M1116" s="2" t="s">
        <v>134</v>
      </c>
      <c r="N1116" s="2">
        <v>308</v>
      </c>
      <c r="O1116" s="2">
        <v>18945650.920000002</v>
      </c>
      <c r="P1116" s="2">
        <v>61511.85</v>
      </c>
    </row>
    <row r="1117" spans="1:16" outlineLevel="2" x14ac:dyDescent="0.2">
      <c r="A1117" s="5">
        <v>46062</v>
      </c>
      <c r="B1117" s="2">
        <v>156840</v>
      </c>
      <c r="C1117" s="2">
        <v>2</v>
      </c>
      <c r="D1117" s="2" t="s">
        <v>38</v>
      </c>
      <c r="E1117" s="2" t="s">
        <v>39</v>
      </c>
      <c r="F1117" s="2" t="s">
        <v>63</v>
      </c>
      <c r="G1117" s="2" t="s">
        <v>22</v>
      </c>
      <c r="H1117" s="2" t="s">
        <v>23</v>
      </c>
      <c r="I1117" s="2" t="s">
        <v>116</v>
      </c>
      <c r="J1117" s="2">
        <v>1</v>
      </c>
      <c r="K1117" s="2" t="s">
        <v>24</v>
      </c>
      <c r="L1117" s="2">
        <v>1846</v>
      </c>
      <c r="M1117" s="2" t="s">
        <v>134</v>
      </c>
      <c r="N1117" s="2">
        <v>156</v>
      </c>
      <c r="O1117" s="2">
        <v>9603746.5</v>
      </c>
      <c r="P1117" s="2">
        <v>61562.48</v>
      </c>
    </row>
    <row r="1118" spans="1:16" outlineLevel="2" x14ac:dyDescent="0.2">
      <c r="A1118" s="5">
        <v>46070</v>
      </c>
      <c r="B1118" s="2">
        <v>156840</v>
      </c>
      <c r="C1118" s="2">
        <v>4</v>
      </c>
      <c r="D1118" s="2" t="s">
        <v>38</v>
      </c>
      <c r="E1118" s="2" t="s">
        <v>39</v>
      </c>
      <c r="F1118" s="2" t="s">
        <v>63</v>
      </c>
      <c r="G1118" s="2" t="s">
        <v>22</v>
      </c>
      <c r="H1118" s="2" t="s">
        <v>23</v>
      </c>
      <c r="I1118" s="2" t="s">
        <v>133</v>
      </c>
      <c r="J1118" s="2">
        <v>1</v>
      </c>
      <c r="K1118" s="2" t="s">
        <v>24</v>
      </c>
      <c r="L1118" s="2">
        <v>1846</v>
      </c>
      <c r="M1118" s="2" t="s">
        <v>134</v>
      </c>
      <c r="N1118" s="2">
        <v>423</v>
      </c>
      <c r="O1118" s="2">
        <v>21893767.280000001</v>
      </c>
      <c r="P1118" s="2">
        <v>51758.32</v>
      </c>
    </row>
    <row r="1119" spans="1:16" outlineLevel="2" x14ac:dyDescent="0.2">
      <c r="A1119" s="5">
        <v>46062</v>
      </c>
      <c r="B1119" s="2">
        <v>156840</v>
      </c>
      <c r="C1119" s="2">
        <v>5</v>
      </c>
      <c r="D1119" s="2" t="s">
        <v>38</v>
      </c>
      <c r="E1119" s="2" t="s">
        <v>39</v>
      </c>
      <c r="F1119" s="2" t="s">
        <v>63</v>
      </c>
      <c r="G1119" s="2" t="s">
        <v>22</v>
      </c>
      <c r="H1119" s="2" t="s">
        <v>23</v>
      </c>
      <c r="I1119" s="2" t="s">
        <v>23</v>
      </c>
      <c r="J1119" s="2">
        <v>124</v>
      </c>
      <c r="K1119" s="2" t="s">
        <v>155</v>
      </c>
      <c r="L1119" s="2">
        <v>1846</v>
      </c>
      <c r="M1119" s="2" t="s">
        <v>134</v>
      </c>
      <c r="N1119" s="2">
        <v>165</v>
      </c>
      <c r="O1119" s="2">
        <v>11649003.789999999</v>
      </c>
      <c r="P1119" s="2">
        <v>70600.02</v>
      </c>
    </row>
    <row r="1120" spans="1:16" outlineLevel="2" x14ac:dyDescent="0.2">
      <c r="A1120" s="5">
        <v>46062</v>
      </c>
      <c r="B1120" s="2">
        <v>156841</v>
      </c>
      <c r="C1120" s="2">
        <v>1</v>
      </c>
      <c r="D1120" s="2" t="s">
        <v>38</v>
      </c>
      <c r="E1120" s="2" t="s">
        <v>39</v>
      </c>
      <c r="F1120" s="2" t="s">
        <v>63</v>
      </c>
      <c r="G1120" s="2" t="s">
        <v>22</v>
      </c>
      <c r="H1120" s="2" t="s">
        <v>23</v>
      </c>
      <c r="I1120" s="2" t="s">
        <v>243</v>
      </c>
      <c r="J1120" s="2">
        <v>1</v>
      </c>
      <c r="K1120" s="2" t="s">
        <v>24</v>
      </c>
      <c r="L1120" s="2">
        <v>2586</v>
      </c>
      <c r="M1120" s="2" t="s">
        <v>65</v>
      </c>
      <c r="N1120" s="2">
        <v>176</v>
      </c>
      <c r="O1120" s="2">
        <v>10515399.939999999</v>
      </c>
      <c r="P1120" s="2">
        <v>59746.59</v>
      </c>
    </row>
    <row r="1121" spans="1:16" outlineLevel="2" x14ac:dyDescent="0.2">
      <c r="A1121" s="5">
        <v>46062</v>
      </c>
      <c r="B1121" s="2">
        <v>156841</v>
      </c>
      <c r="C1121" s="2">
        <v>2</v>
      </c>
      <c r="D1121" s="2" t="s">
        <v>38</v>
      </c>
      <c r="E1121" s="2" t="s">
        <v>39</v>
      </c>
      <c r="F1121" s="2" t="s">
        <v>63</v>
      </c>
      <c r="G1121" s="2" t="s">
        <v>22</v>
      </c>
      <c r="H1121" s="2" t="s">
        <v>23</v>
      </c>
      <c r="I1121" s="2" t="s">
        <v>116</v>
      </c>
      <c r="J1121" s="2">
        <v>1</v>
      </c>
      <c r="K1121" s="2" t="s">
        <v>24</v>
      </c>
      <c r="L1121" s="2">
        <v>2586</v>
      </c>
      <c r="M1121" s="2" t="s">
        <v>65</v>
      </c>
      <c r="N1121" s="2">
        <v>176</v>
      </c>
      <c r="O1121" s="2">
        <v>10496731.560000001</v>
      </c>
      <c r="P1121" s="2">
        <v>59640.52</v>
      </c>
    </row>
    <row r="1122" spans="1:16" outlineLevel="2" x14ac:dyDescent="0.2">
      <c r="A1122" s="5">
        <v>46062</v>
      </c>
      <c r="B1122" s="2">
        <v>156841</v>
      </c>
      <c r="C1122" s="2">
        <v>3</v>
      </c>
      <c r="D1122" s="2" t="s">
        <v>38</v>
      </c>
      <c r="E1122" s="2" t="s">
        <v>39</v>
      </c>
      <c r="F1122" s="2" t="s">
        <v>63</v>
      </c>
      <c r="G1122" s="2" t="s">
        <v>22</v>
      </c>
      <c r="H1122" s="2" t="s">
        <v>23</v>
      </c>
      <c r="I1122" s="2" t="s">
        <v>135</v>
      </c>
      <c r="J1122" s="2">
        <v>1</v>
      </c>
      <c r="K1122" s="2" t="s">
        <v>24</v>
      </c>
      <c r="L1122" s="2">
        <v>2586</v>
      </c>
      <c r="M1122" s="2" t="s">
        <v>65</v>
      </c>
      <c r="N1122" s="2">
        <v>88</v>
      </c>
      <c r="O1122" s="2">
        <v>5302038.3899999997</v>
      </c>
      <c r="P1122" s="2">
        <v>60250.44</v>
      </c>
    </row>
    <row r="1123" spans="1:16" outlineLevel="2" x14ac:dyDescent="0.2">
      <c r="A1123" s="5">
        <v>46073</v>
      </c>
      <c r="B1123" s="2">
        <v>156841</v>
      </c>
      <c r="C1123" s="2">
        <v>4</v>
      </c>
      <c r="D1123" s="2" t="s">
        <v>38</v>
      </c>
      <c r="E1123" s="2" t="s">
        <v>39</v>
      </c>
      <c r="F1123" s="2" t="s">
        <v>63</v>
      </c>
      <c r="G1123" s="2" t="s">
        <v>22</v>
      </c>
      <c r="H1123" s="2" t="s">
        <v>23</v>
      </c>
      <c r="I1123" s="2" t="s">
        <v>133</v>
      </c>
      <c r="J1123" s="2">
        <v>1</v>
      </c>
      <c r="K1123" s="2" t="s">
        <v>24</v>
      </c>
      <c r="L1123" s="2">
        <v>2586</v>
      </c>
      <c r="M1123" s="2" t="s">
        <v>65</v>
      </c>
      <c r="N1123" s="2">
        <v>11</v>
      </c>
      <c r="O1123" s="2">
        <v>558676.42000000004</v>
      </c>
      <c r="P1123" s="2">
        <v>50788.77</v>
      </c>
    </row>
    <row r="1124" spans="1:16" outlineLevel="1" x14ac:dyDescent="0.2">
      <c r="A1124" s="5"/>
      <c r="D1124" s="3" t="s">
        <v>721</v>
      </c>
      <c r="N1124" s="2">
        <f>SUBTOTAL(9,N1116:N1123)</f>
        <v>1503</v>
      </c>
      <c r="O1124" s="2">
        <f>SUBTOTAL(9,O1116:O1123)</f>
        <v>88965014.800000012</v>
      </c>
    </row>
    <row r="1125" spans="1:16" outlineLevel="2" x14ac:dyDescent="0.2">
      <c r="A1125" s="5">
        <v>46062</v>
      </c>
      <c r="B1125" s="2">
        <v>156842</v>
      </c>
      <c r="C1125" s="2">
        <v>1</v>
      </c>
      <c r="D1125" s="2" t="s">
        <v>197</v>
      </c>
      <c r="E1125" s="2" t="s">
        <v>198</v>
      </c>
      <c r="F1125" s="2" t="s">
        <v>199</v>
      </c>
      <c r="G1125" s="2" t="s">
        <v>22</v>
      </c>
      <c r="H1125" s="2" t="s">
        <v>23</v>
      </c>
      <c r="I1125" s="2" t="s">
        <v>23</v>
      </c>
      <c r="J1125" s="2">
        <v>2</v>
      </c>
      <c r="K1125" s="2" t="s">
        <v>48</v>
      </c>
      <c r="L1125" s="2">
        <v>182</v>
      </c>
      <c r="M1125" s="2" t="s">
        <v>263</v>
      </c>
      <c r="N1125" s="2">
        <v>34</v>
      </c>
      <c r="O1125" s="2">
        <v>848353.67</v>
      </c>
      <c r="P1125" s="2">
        <v>24951.58</v>
      </c>
    </row>
    <row r="1126" spans="1:16" outlineLevel="2" x14ac:dyDescent="0.2">
      <c r="A1126" s="5">
        <v>46062</v>
      </c>
      <c r="B1126" s="2">
        <v>156846</v>
      </c>
      <c r="C1126" s="2">
        <v>1</v>
      </c>
      <c r="D1126" s="2" t="s">
        <v>197</v>
      </c>
      <c r="E1126" s="2" t="s">
        <v>198</v>
      </c>
      <c r="F1126" s="2" t="s">
        <v>199</v>
      </c>
      <c r="G1126" s="2" t="s">
        <v>22</v>
      </c>
      <c r="H1126" s="2" t="s">
        <v>23</v>
      </c>
      <c r="I1126" s="2" t="s">
        <v>23</v>
      </c>
      <c r="J1126" s="2">
        <v>2</v>
      </c>
      <c r="K1126" s="2" t="s">
        <v>48</v>
      </c>
      <c r="L1126" s="2">
        <v>182</v>
      </c>
      <c r="M1126" s="2" t="s">
        <v>263</v>
      </c>
      <c r="N1126" s="2">
        <v>102</v>
      </c>
      <c r="O1126" s="2">
        <v>2578698.14</v>
      </c>
      <c r="P1126" s="2">
        <v>25281.35</v>
      </c>
    </row>
    <row r="1127" spans="1:16" outlineLevel="2" x14ac:dyDescent="0.2">
      <c r="A1127" s="5">
        <v>46062</v>
      </c>
      <c r="B1127" s="2">
        <v>156848</v>
      </c>
      <c r="C1127" s="2">
        <v>1</v>
      </c>
      <c r="D1127" s="2" t="s">
        <v>197</v>
      </c>
      <c r="E1127" s="2" t="s">
        <v>198</v>
      </c>
      <c r="F1127" s="2" t="s">
        <v>199</v>
      </c>
      <c r="G1127" s="2" t="s">
        <v>22</v>
      </c>
      <c r="H1127" s="2" t="s">
        <v>23</v>
      </c>
      <c r="I1127" s="2" t="s">
        <v>23</v>
      </c>
      <c r="J1127" s="2">
        <v>2</v>
      </c>
      <c r="K1127" s="2" t="s">
        <v>48</v>
      </c>
      <c r="L1127" s="2">
        <v>25255</v>
      </c>
      <c r="M1127" s="2" t="s">
        <v>327</v>
      </c>
      <c r="N1127" s="2">
        <v>98</v>
      </c>
      <c r="O1127" s="2">
        <v>2456325.7000000002</v>
      </c>
      <c r="P1127" s="2">
        <v>25064.55</v>
      </c>
    </row>
    <row r="1128" spans="1:16" outlineLevel="1" x14ac:dyDescent="0.2">
      <c r="A1128" s="5"/>
      <c r="D1128" s="3" t="s">
        <v>734</v>
      </c>
      <c r="N1128" s="2">
        <f>SUBTOTAL(9,N1125:N1127)</f>
        <v>234</v>
      </c>
      <c r="O1128" s="2">
        <f>SUBTOTAL(9,O1125:O1127)</f>
        <v>5883377.5099999998</v>
      </c>
    </row>
    <row r="1129" spans="1:16" outlineLevel="2" x14ac:dyDescent="0.2">
      <c r="A1129" s="5">
        <v>46064</v>
      </c>
      <c r="B1129" s="2">
        <v>156856</v>
      </c>
      <c r="C1129" s="2">
        <v>1</v>
      </c>
      <c r="D1129" s="2" t="s">
        <v>229</v>
      </c>
      <c r="E1129" s="2" t="s">
        <v>55</v>
      </c>
      <c r="F1129" s="2" t="s">
        <v>23</v>
      </c>
      <c r="G1129" s="2" t="s">
        <v>23</v>
      </c>
      <c r="H1129" s="2" t="s">
        <v>23</v>
      </c>
      <c r="I1129" s="2" t="s">
        <v>23</v>
      </c>
      <c r="J1129" s="2">
        <v>2</v>
      </c>
      <c r="K1129" s="2" t="s">
        <v>48</v>
      </c>
      <c r="L1129" s="2">
        <v>25094</v>
      </c>
      <c r="M1129" s="2" t="s">
        <v>236</v>
      </c>
      <c r="N1129" s="2">
        <v>3</v>
      </c>
      <c r="O1129" s="2">
        <v>83122.11</v>
      </c>
      <c r="P1129" s="2">
        <v>27707.37</v>
      </c>
    </row>
    <row r="1130" spans="1:16" outlineLevel="2" x14ac:dyDescent="0.2">
      <c r="A1130" s="5">
        <v>46064</v>
      </c>
      <c r="B1130" s="2">
        <v>156856</v>
      </c>
      <c r="C1130" s="2">
        <v>2</v>
      </c>
      <c r="D1130" s="2" t="s">
        <v>229</v>
      </c>
      <c r="E1130" s="2" t="s">
        <v>55</v>
      </c>
      <c r="F1130" s="2" t="s">
        <v>23</v>
      </c>
      <c r="G1130" s="2" t="s">
        <v>23</v>
      </c>
      <c r="H1130" s="2" t="s">
        <v>23</v>
      </c>
      <c r="I1130" s="2" t="s">
        <v>23</v>
      </c>
      <c r="J1130" s="2">
        <v>2</v>
      </c>
      <c r="K1130" s="2" t="s">
        <v>48</v>
      </c>
      <c r="L1130" s="2">
        <v>25094</v>
      </c>
      <c r="M1130" s="2" t="s">
        <v>236</v>
      </c>
      <c r="N1130" s="2">
        <v>32</v>
      </c>
      <c r="O1130" s="2">
        <v>347108.1</v>
      </c>
      <c r="P1130" s="2">
        <v>10847.13</v>
      </c>
    </row>
    <row r="1131" spans="1:16" outlineLevel="1" x14ac:dyDescent="0.2">
      <c r="A1131" s="5"/>
      <c r="D1131" s="3" t="s">
        <v>737</v>
      </c>
      <c r="N1131" s="2">
        <f>SUBTOTAL(9,N1129:N1130)</f>
        <v>35</v>
      </c>
      <c r="O1131" s="2">
        <f>SUBTOTAL(9,O1129:O1130)</f>
        <v>430230.20999999996</v>
      </c>
    </row>
    <row r="1132" spans="1:16" outlineLevel="2" x14ac:dyDescent="0.2">
      <c r="A1132" s="5">
        <v>46066</v>
      </c>
      <c r="B1132" s="2">
        <v>156857</v>
      </c>
      <c r="C1132" s="2">
        <v>1</v>
      </c>
      <c r="D1132" s="2" t="s">
        <v>335</v>
      </c>
      <c r="E1132" s="2" t="s">
        <v>277</v>
      </c>
      <c r="F1132" s="2" t="s">
        <v>55</v>
      </c>
      <c r="G1132" s="2" t="s">
        <v>23</v>
      </c>
      <c r="H1132" s="2" t="s">
        <v>23</v>
      </c>
      <c r="I1132" s="2" t="s">
        <v>23</v>
      </c>
      <c r="J1132" s="2">
        <v>1</v>
      </c>
      <c r="K1132" s="2" t="s">
        <v>24</v>
      </c>
      <c r="L1132" s="2">
        <v>25177</v>
      </c>
      <c r="M1132" s="2" t="s">
        <v>32</v>
      </c>
      <c r="N1132" s="2">
        <v>403</v>
      </c>
      <c r="O1132" s="2">
        <v>2159315.7000000002</v>
      </c>
      <c r="P1132" s="2">
        <v>5358.1</v>
      </c>
    </row>
    <row r="1133" spans="1:16" outlineLevel="1" x14ac:dyDescent="0.2">
      <c r="A1133" s="5"/>
      <c r="D1133" s="3" t="s">
        <v>752</v>
      </c>
      <c r="N1133" s="2">
        <f>SUBTOTAL(9,N1132:N1132)</f>
        <v>403</v>
      </c>
      <c r="O1133" s="2">
        <f>SUBTOTAL(9,O1132:O1132)</f>
        <v>2159315.7000000002</v>
      </c>
    </row>
    <row r="1134" spans="1:16" outlineLevel="2" x14ac:dyDescent="0.2">
      <c r="A1134" s="5">
        <v>46064</v>
      </c>
      <c r="B1134" s="2">
        <v>156860</v>
      </c>
      <c r="C1134" s="2">
        <v>302</v>
      </c>
      <c r="D1134" s="2" t="s">
        <v>45</v>
      </c>
      <c r="E1134" s="2" t="s">
        <v>228</v>
      </c>
      <c r="F1134" s="2" t="s">
        <v>55</v>
      </c>
      <c r="G1134" s="2" t="s">
        <v>23</v>
      </c>
      <c r="H1134" s="2" t="s">
        <v>23</v>
      </c>
      <c r="I1134" s="2" t="s">
        <v>23</v>
      </c>
      <c r="J1134" s="2">
        <v>2</v>
      </c>
      <c r="K1134" s="2" t="s">
        <v>48</v>
      </c>
      <c r="L1134" s="2">
        <v>1964</v>
      </c>
      <c r="M1134" s="2" t="s">
        <v>49</v>
      </c>
      <c r="N1134" s="2">
        <v>7</v>
      </c>
      <c r="O1134" s="2">
        <v>41801</v>
      </c>
      <c r="P1134" s="2">
        <v>5971.57</v>
      </c>
    </row>
    <row r="1135" spans="1:16" outlineLevel="1" x14ac:dyDescent="0.2">
      <c r="A1135" s="5"/>
      <c r="D1135" s="3" t="s">
        <v>733</v>
      </c>
      <c r="N1135" s="2">
        <f>SUBTOTAL(9,N1134:N1134)</f>
        <v>7</v>
      </c>
      <c r="O1135" s="2">
        <f>SUBTOTAL(9,O1134:O1134)</f>
        <v>41801</v>
      </c>
    </row>
    <row r="1136" spans="1:16" outlineLevel="2" x14ac:dyDescent="0.2">
      <c r="A1136" s="5">
        <v>46078</v>
      </c>
      <c r="B1136" s="2">
        <v>156862</v>
      </c>
      <c r="C1136" s="2">
        <v>1</v>
      </c>
      <c r="D1136" s="2" t="s">
        <v>57</v>
      </c>
      <c r="E1136" s="2" t="s">
        <v>259</v>
      </c>
      <c r="F1136" s="2" t="s">
        <v>31</v>
      </c>
      <c r="G1136" s="2" t="s">
        <v>22</v>
      </c>
      <c r="H1136" s="2" t="s">
        <v>23</v>
      </c>
      <c r="I1136" s="2" t="s">
        <v>23</v>
      </c>
      <c r="J1136" s="2">
        <v>1</v>
      </c>
      <c r="K1136" s="2" t="s">
        <v>24</v>
      </c>
      <c r="L1136" s="2">
        <v>2316</v>
      </c>
      <c r="M1136" s="2" t="s">
        <v>206</v>
      </c>
      <c r="N1136" s="2">
        <v>1</v>
      </c>
      <c r="O1136" s="2">
        <v>9038.59</v>
      </c>
      <c r="P1136" s="2">
        <v>9038.59</v>
      </c>
    </row>
    <row r="1137" spans="1:16" outlineLevel="1" x14ac:dyDescent="0.2">
      <c r="A1137" s="5"/>
      <c r="D1137" s="3" t="s">
        <v>716</v>
      </c>
      <c r="N1137" s="2">
        <f>SUBTOTAL(9,N1136:N1136)</f>
        <v>1</v>
      </c>
      <c r="O1137" s="2">
        <f>SUBTOTAL(9,O1136:O1136)</f>
        <v>9038.59</v>
      </c>
    </row>
    <row r="1138" spans="1:16" outlineLevel="2" x14ac:dyDescent="0.2">
      <c r="A1138" s="5">
        <v>46092</v>
      </c>
      <c r="B1138" s="2">
        <v>156863</v>
      </c>
      <c r="C1138" s="2">
        <v>4</v>
      </c>
      <c r="D1138" s="2" t="s">
        <v>83</v>
      </c>
      <c r="E1138" s="2" t="s">
        <v>317</v>
      </c>
      <c r="F1138" s="2" t="s">
        <v>31</v>
      </c>
      <c r="G1138" s="2" t="s">
        <v>55</v>
      </c>
      <c r="H1138" s="2" t="s">
        <v>23</v>
      </c>
      <c r="I1138" s="2" t="s">
        <v>23</v>
      </c>
      <c r="J1138" s="2">
        <v>1</v>
      </c>
      <c r="K1138" s="2" t="s">
        <v>24</v>
      </c>
      <c r="L1138" s="2">
        <v>226</v>
      </c>
      <c r="M1138" s="2" t="s">
        <v>59</v>
      </c>
      <c r="N1138" s="2">
        <v>9</v>
      </c>
      <c r="O1138" s="2">
        <v>58011.31</v>
      </c>
      <c r="P1138" s="2">
        <v>6445.7</v>
      </c>
    </row>
    <row r="1139" spans="1:16" outlineLevel="1" x14ac:dyDescent="0.2">
      <c r="A1139" s="5"/>
      <c r="D1139" s="3" t="s">
        <v>701</v>
      </c>
      <c r="N1139" s="2">
        <f>SUBTOTAL(9,N1138:N1138)</f>
        <v>9</v>
      </c>
      <c r="O1139" s="2">
        <f>SUBTOTAL(9,O1138:O1138)</f>
        <v>58011.31</v>
      </c>
    </row>
    <row r="1140" spans="1:16" outlineLevel="2" x14ac:dyDescent="0.2">
      <c r="A1140" s="5">
        <v>46078</v>
      </c>
      <c r="B1140" s="2">
        <v>156866</v>
      </c>
      <c r="C1140" s="2">
        <v>1</v>
      </c>
      <c r="D1140" s="2" t="s">
        <v>285</v>
      </c>
      <c r="E1140" s="2" t="s">
        <v>23</v>
      </c>
      <c r="F1140" s="2" t="s">
        <v>144</v>
      </c>
      <c r="G1140" s="2" t="s">
        <v>22</v>
      </c>
      <c r="H1140" s="2" t="s">
        <v>23</v>
      </c>
      <c r="I1140" s="2" t="s">
        <v>23</v>
      </c>
      <c r="J1140" s="2">
        <v>5</v>
      </c>
      <c r="K1140" s="2" t="s">
        <v>27</v>
      </c>
      <c r="L1140" s="2">
        <v>104</v>
      </c>
      <c r="M1140" s="2" t="s">
        <v>158</v>
      </c>
      <c r="N1140" s="2">
        <v>1099</v>
      </c>
      <c r="O1140" s="2">
        <v>4897036.3099999996</v>
      </c>
      <c r="P1140" s="2">
        <v>4455.8999999999996</v>
      </c>
    </row>
    <row r="1141" spans="1:16" outlineLevel="1" x14ac:dyDescent="0.2">
      <c r="A1141" s="5"/>
      <c r="D1141" s="3" t="s">
        <v>739</v>
      </c>
      <c r="N1141" s="2">
        <f>SUBTOTAL(9,N1140:N1140)</f>
        <v>1099</v>
      </c>
      <c r="O1141" s="2">
        <f>SUBTOTAL(9,O1140:O1140)</f>
        <v>4897036.3099999996</v>
      </c>
    </row>
    <row r="1142" spans="1:16" outlineLevel="2" x14ac:dyDescent="0.2">
      <c r="A1142" s="5">
        <v>46062</v>
      </c>
      <c r="B1142" s="2">
        <v>156867</v>
      </c>
      <c r="C1142" s="2">
        <v>1</v>
      </c>
      <c r="D1142" s="2" t="s">
        <v>336</v>
      </c>
      <c r="E1142" s="2" t="s">
        <v>317</v>
      </c>
      <c r="F1142" s="2" t="s">
        <v>31</v>
      </c>
      <c r="G1142" s="2" t="s">
        <v>22</v>
      </c>
      <c r="H1142" s="2" t="s">
        <v>23</v>
      </c>
      <c r="I1142" s="2" t="s">
        <v>23</v>
      </c>
      <c r="J1142" s="2">
        <v>1</v>
      </c>
      <c r="K1142" s="2" t="s">
        <v>24</v>
      </c>
      <c r="L1142" s="2">
        <v>226</v>
      </c>
      <c r="M1142" s="2" t="s">
        <v>59</v>
      </c>
      <c r="N1142" s="2">
        <v>88</v>
      </c>
      <c r="O1142" s="2">
        <v>1836173.7</v>
      </c>
      <c r="P1142" s="2">
        <v>20865.61</v>
      </c>
    </row>
    <row r="1143" spans="1:16" outlineLevel="1" x14ac:dyDescent="0.2">
      <c r="A1143" s="5"/>
      <c r="D1143" s="3" t="s">
        <v>753</v>
      </c>
      <c r="N1143" s="2">
        <f>SUBTOTAL(9,N1142:N1142)</f>
        <v>88</v>
      </c>
      <c r="O1143" s="2">
        <f>SUBTOTAL(9,O1142:O1142)</f>
        <v>1836173.7</v>
      </c>
    </row>
    <row r="1144" spans="1:16" outlineLevel="2" x14ac:dyDescent="0.2">
      <c r="A1144" s="5">
        <v>46062</v>
      </c>
      <c r="B1144" s="2">
        <v>156867</v>
      </c>
      <c r="C1144" s="2">
        <v>2</v>
      </c>
      <c r="D1144" s="2" t="s">
        <v>83</v>
      </c>
      <c r="E1144" s="2" t="s">
        <v>317</v>
      </c>
      <c r="F1144" s="2" t="s">
        <v>31</v>
      </c>
      <c r="G1144" s="2" t="s">
        <v>337</v>
      </c>
      <c r="H1144" s="2" t="s">
        <v>23</v>
      </c>
      <c r="I1144" s="2" t="s">
        <v>23</v>
      </c>
      <c r="J1144" s="2">
        <v>1</v>
      </c>
      <c r="K1144" s="2" t="s">
        <v>24</v>
      </c>
      <c r="L1144" s="2">
        <v>226</v>
      </c>
      <c r="M1144" s="2" t="s">
        <v>59</v>
      </c>
      <c r="N1144" s="2">
        <v>104</v>
      </c>
      <c r="O1144" s="2">
        <v>2107352.9900000002</v>
      </c>
      <c r="P1144" s="2">
        <v>20263.009999999998</v>
      </c>
    </row>
    <row r="1145" spans="1:16" outlineLevel="1" x14ac:dyDescent="0.2">
      <c r="A1145" s="5"/>
      <c r="D1145" s="3" t="s">
        <v>701</v>
      </c>
      <c r="N1145" s="2">
        <f>SUBTOTAL(9,N1144:N1144)</f>
        <v>104</v>
      </c>
      <c r="O1145" s="2">
        <f>SUBTOTAL(9,O1144:O1144)</f>
        <v>2107352.9900000002</v>
      </c>
    </row>
    <row r="1146" spans="1:16" outlineLevel="2" x14ac:dyDescent="0.2">
      <c r="A1146" s="5">
        <v>46062</v>
      </c>
      <c r="B1146" s="2">
        <v>156867</v>
      </c>
      <c r="C1146" s="2">
        <v>3</v>
      </c>
      <c r="D1146" s="2" t="s">
        <v>107</v>
      </c>
      <c r="E1146" s="2" t="s">
        <v>314</v>
      </c>
      <c r="F1146" s="2" t="s">
        <v>31</v>
      </c>
      <c r="G1146" s="2" t="s">
        <v>337</v>
      </c>
      <c r="H1146" s="2" t="s">
        <v>23</v>
      </c>
      <c r="I1146" s="2" t="s">
        <v>23</v>
      </c>
      <c r="J1146" s="2">
        <v>11</v>
      </c>
      <c r="K1146" s="2" t="s">
        <v>257</v>
      </c>
      <c r="L1146" s="2">
        <v>226</v>
      </c>
      <c r="M1146" s="2" t="s">
        <v>59</v>
      </c>
      <c r="N1146" s="2">
        <v>64</v>
      </c>
      <c r="O1146" s="2">
        <v>1504363.71</v>
      </c>
      <c r="P1146" s="2">
        <v>23505.68</v>
      </c>
    </row>
    <row r="1147" spans="1:16" outlineLevel="1" x14ac:dyDescent="0.2">
      <c r="A1147" s="5"/>
      <c r="D1147" s="3" t="s">
        <v>726</v>
      </c>
      <c r="N1147" s="2">
        <f>SUBTOTAL(9,N1146:N1146)</f>
        <v>64</v>
      </c>
      <c r="O1147" s="2">
        <f>SUBTOTAL(9,O1146:O1146)</f>
        <v>1504363.71</v>
      </c>
    </row>
    <row r="1148" spans="1:16" outlineLevel="2" x14ac:dyDescent="0.2">
      <c r="A1148" s="5">
        <v>46062</v>
      </c>
      <c r="B1148" s="2">
        <v>156867</v>
      </c>
      <c r="C1148" s="2">
        <v>4</v>
      </c>
      <c r="D1148" s="2" t="s">
        <v>29</v>
      </c>
      <c r="E1148" s="2" t="s">
        <v>322</v>
      </c>
      <c r="F1148" s="2" t="s">
        <v>31</v>
      </c>
      <c r="G1148" s="2" t="s">
        <v>337</v>
      </c>
      <c r="H1148" s="2" t="s">
        <v>23</v>
      </c>
      <c r="I1148" s="2" t="s">
        <v>23</v>
      </c>
      <c r="J1148" s="2">
        <v>11</v>
      </c>
      <c r="K1148" s="2" t="s">
        <v>257</v>
      </c>
      <c r="L1148" s="2">
        <v>226</v>
      </c>
      <c r="M1148" s="2" t="s">
        <v>59</v>
      </c>
      <c r="N1148" s="2">
        <v>64</v>
      </c>
      <c r="O1148" s="2">
        <v>1482972.42</v>
      </c>
      <c r="P1148" s="2">
        <v>23171.439999999999</v>
      </c>
    </row>
    <row r="1149" spans="1:16" outlineLevel="2" x14ac:dyDescent="0.2">
      <c r="A1149" s="5">
        <v>46062</v>
      </c>
      <c r="B1149" s="2">
        <v>156867</v>
      </c>
      <c r="C1149" s="2">
        <v>5</v>
      </c>
      <c r="D1149" s="2" t="s">
        <v>29</v>
      </c>
      <c r="E1149" s="2" t="s">
        <v>316</v>
      </c>
      <c r="F1149" s="2" t="s">
        <v>31</v>
      </c>
      <c r="G1149" s="2" t="s">
        <v>337</v>
      </c>
      <c r="H1149" s="2" t="s">
        <v>23</v>
      </c>
      <c r="I1149" s="2" t="s">
        <v>23</v>
      </c>
      <c r="J1149" s="2">
        <v>11</v>
      </c>
      <c r="K1149" s="2" t="s">
        <v>257</v>
      </c>
      <c r="L1149" s="2">
        <v>226</v>
      </c>
      <c r="M1149" s="2" t="s">
        <v>59</v>
      </c>
      <c r="N1149" s="2">
        <v>64</v>
      </c>
      <c r="O1149" s="2">
        <v>1479897.01</v>
      </c>
      <c r="P1149" s="2">
        <v>23123.39</v>
      </c>
    </row>
    <row r="1150" spans="1:16" outlineLevel="1" x14ac:dyDescent="0.2">
      <c r="A1150" s="5"/>
      <c r="D1150" s="3" t="s">
        <v>703</v>
      </c>
      <c r="N1150" s="2">
        <f>SUBTOTAL(9,N1148:N1149)</f>
        <v>128</v>
      </c>
      <c r="O1150" s="2">
        <f>SUBTOTAL(9,O1148:O1149)</f>
        <v>2962869.4299999997</v>
      </c>
    </row>
    <row r="1151" spans="1:16" outlineLevel="2" x14ac:dyDescent="0.2">
      <c r="A1151" s="5">
        <v>46062</v>
      </c>
      <c r="B1151" s="2">
        <v>156868</v>
      </c>
      <c r="C1151" s="2">
        <v>1</v>
      </c>
      <c r="D1151" s="2" t="s">
        <v>128</v>
      </c>
      <c r="E1151" s="2" t="s">
        <v>23</v>
      </c>
      <c r="F1151" s="2" t="s">
        <v>47</v>
      </c>
      <c r="G1151" s="2" t="s">
        <v>22</v>
      </c>
      <c r="H1151" s="2" t="s">
        <v>23</v>
      </c>
      <c r="I1151" s="2" t="s">
        <v>23</v>
      </c>
      <c r="J1151" s="2">
        <v>1</v>
      </c>
      <c r="K1151" s="2" t="s">
        <v>24</v>
      </c>
      <c r="L1151" s="2">
        <v>25213</v>
      </c>
      <c r="M1151" s="2" t="s">
        <v>130</v>
      </c>
      <c r="N1151" s="2">
        <v>4</v>
      </c>
      <c r="O1151" s="2">
        <v>316186.03999999998</v>
      </c>
      <c r="P1151" s="2">
        <v>79046.509999999995</v>
      </c>
    </row>
    <row r="1152" spans="1:16" outlineLevel="1" x14ac:dyDescent="0.2">
      <c r="A1152" s="5"/>
      <c r="D1152" s="3" t="s">
        <v>732</v>
      </c>
      <c r="N1152" s="2">
        <f>SUBTOTAL(9,N1151:N1151)</f>
        <v>4</v>
      </c>
      <c r="O1152" s="2">
        <f>SUBTOTAL(9,O1151:O1151)</f>
        <v>316186.03999999998</v>
      </c>
    </row>
    <row r="1153" spans="1:16" outlineLevel="2" x14ac:dyDescent="0.2">
      <c r="A1153" s="5">
        <v>46062</v>
      </c>
      <c r="B1153" s="2">
        <v>156868</v>
      </c>
      <c r="C1153" s="2">
        <v>2</v>
      </c>
      <c r="D1153" s="2" t="s">
        <v>207</v>
      </c>
      <c r="E1153" s="2" t="s">
        <v>23</v>
      </c>
      <c r="F1153" s="2" t="s">
        <v>47</v>
      </c>
      <c r="G1153" s="2" t="s">
        <v>22</v>
      </c>
      <c r="H1153" s="2" t="s">
        <v>23</v>
      </c>
      <c r="I1153" s="2" t="s">
        <v>23</v>
      </c>
      <c r="J1153" s="2">
        <v>1</v>
      </c>
      <c r="K1153" s="2" t="s">
        <v>24</v>
      </c>
      <c r="L1153" s="2">
        <v>25213</v>
      </c>
      <c r="M1153" s="2" t="s">
        <v>130</v>
      </c>
      <c r="N1153" s="2">
        <v>3</v>
      </c>
      <c r="O1153" s="2">
        <v>219404.2</v>
      </c>
      <c r="P1153" s="2">
        <v>73134.73</v>
      </c>
    </row>
    <row r="1154" spans="1:16" outlineLevel="1" x14ac:dyDescent="0.2">
      <c r="A1154" s="5"/>
      <c r="D1154" s="3" t="s">
        <v>699</v>
      </c>
      <c r="N1154" s="2">
        <f>SUBTOTAL(9,N1153:N1153)</f>
        <v>3</v>
      </c>
      <c r="O1154" s="2">
        <f>SUBTOTAL(9,O1153:O1153)</f>
        <v>219404.2</v>
      </c>
    </row>
    <row r="1155" spans="1:16" outlineLevel="2" x14ac:dyDescent="0.2">
      <c r="A1155" s="5">
        <v>46062</v>
      </c>
      <c r="B1155" s="2">
        <v>156868</v>
      </c>
      <c r="C1155" s="2">
        <v>3</v>
      </c>
      <c r="D1155" s="2" t="s">
        <v>128</v>
      </c>
      <c r="E1155" s="2" t="s">
        <v>23</v>
      </c>
      <c r="F1155" s="2" t="s">
        <v>47</v>
      </c>
      <c r="G1155" s="2" t="s">
        <v>22</v>
      </c>
      <c r="H1155" s="2" t="s">
        <v>23</v>
      </c>
      <c r="I1155" s="2" t="s">
        <v>23</v>
      </c>
      <c r="J1155" s="2">
        <v>41</v>
      </c>
      <c r="K1155" s="2" t="s">
        <v>129</v>
      </c>
      <c r="L1155" s="2">
        <v>25213</v>
      </c>
      <c r="M1155" s="2" t="s">
        <v>130</v>
      </c>
      <c r="N1155" s="2">
        <v>50</v>
      </c>
      <c r="O1155" s="2">
        <v>171897.5</v>
      </c>
      <c r="P1155" s="2">
        <v>3437.95</v>
      </c>
    </row>
    <row r="1156" spans="1:16" outlineLevel="1" x14ac:dyDescent="0.2">
      <c r="A1156" s="5"/>
      <c r="D1156" s="3" t="s">
        <v>732</v>
      </c>
      <c r="N1156" s="2">
        <f>SUBTOTAL(9,N1155:N1155)</f>
        <v>50</v>
      </c>
      <c r="O1156" s="2">
        <f>SUBTOTAL(9,O1155:O1155)</f>
        <v>171897.5</v>
      </c>
    </row>
    <row r="1157" spans="1:16" outlineLevel="2" x14ac:dyDescent="0.2">
      <c r="A1157" s="5">
        <v>46062</v>
      </c>
      <c r="B1157" s="2">
        <v>156868</v>
      </c>
      <c r="C1157" s="2">
        <v>4</v>
      </c>
      <c r="D1157" s="2" t="s">
        <v>207</v>
      </c>
      <c r="E1157" s="2" t="s">
        <v>23</v>
      </c>
      <c r="F1157" s="2" t="s">
        <v>47</v>
      </c>
      <c r="G1157" s="2" t="s">
        <v>22</v>
      </c>
      <c r="H1157" s="2" t="s">
        <v>209</v>
      </c>
      <c r="I1157" s="2" t="s">
        <v>23</v>
      </c>
      <c r="J1157" s="2">
        <v>41</v>
      </c>
      <c r="K1157" s="2" t="s">
        <v>129</v>
      </c>
      <c r="L1157" s="2">
        <v>25213</v>
      </c>
      <c r="M1157" s="2" t="s">
        <v>130</v>
      </c>
      <c r="N1157" s="2">
        <v>50</v>
      </c>
      <c r="O1157" s="2">
        <v>150895.5</v>
      </c>
      <c r="P1157" s="2">
        <v>3017.91</v>
      </c>
    </row>
    <row r="1158" spans="1:16" outlineLevel="2" x14ac:dyDescent="0.2">
      <c r="A1158" s="5">
        <v>46062</v>
      </c>
      <c r="B1158" s="2">
        <v>156868</v>
      </c>
      <c r="C1158" s="2">
        <v>5</v>
      </c>
      <c r="D1158" s="2" t="s">
        <v>207</v>
      </c>
      <c r="E1158" s="2" t="s">
        <v>23</v>
      </c>
      <c r="F1158" s="2" t="s">
        <v>47</v>
      </c>
      <c r="G1158" s="2" t="s">
        <v>22</v>
      </c>
      <c r="H1158" s="2" t="s">
        <v>208</v>
      </c>
      <c r="I1158" s="2" t="s">
        <v>23</v>
      </c>
      <c r="J1158" s="2">
        <v>41</v>
      </c>
      <c r="K1158" s="2" t="s">
        <v>129</v>
      </c>
      <c r="L1158" s="2">
        <v>25213</v>
      </c>
      <c r="M1158" s="2" t="s">
        <v>130</v>
      </c>
      <c r="N1158" s="2">
        <v>50</v>
      </c>
      <c r="O1158" s="2">
        <v>171897.5</v>
      </c>
      <c r="P1158" s="2">
        <v>3437.95</v>
      </c>
    </row>
    <row r="1159" spans="1:16" outlineLevel="1" x14ac:dyDescent="0.2">
      <c r="A1159" s="5"/>
      <c r="D1159" s="3" t="s">
        <v>699</v>
      </c>
      <c r="N1159" s="2">
        <f>SUBTOTAL(9,N1157:N1158)</f>
        <v>100</v>
      </c>
      <c r="O1159" s="2">
        <f>SUBTOTAL(9,O1157:O1158)</f>
        <v>322793</v>
      </c>
    </row>
    <row r="1160" spans="1:16" outlineLevel="2" x14ac:dyDescent="0.2">
      <c r="A1160" s="5">
        <v>46062</v>
      </c>
      <c r="B1160" s="2">
        <v>156870</v>
      </c>
      <c r="C1160" s="2">
        <v>1</v>
      </c>
      <c r="D1160" s="2" t="s">
        <v>57</v>
      </c>
      <c r="E1160" s="2" t="s">
        <v>308</v>
      </c>
      <c r="F1160" s="2" t="s">
        <v>31</v>
      </c>
      <c r="G1160" s="2" t="s">
        <v>22</v>
      </c>
      <c r="H1160" s="2" t="s">
        <v>23</v>
      </c>
      <c r="I1160" s="2" t="s">
        <v>23</v>
      </c>
      <c r="J1160" s="2">
        <v>1</v>
      </c>
      <c r="K1160" s="2" t="s">
        <v>24</v>
      </c>
      <c r="L1160" s="2">
        <v>226</v>
      </c>
      <c r="M1160" s="2" t="s">
        <v>59</v>
      </c>
      <c r="N1160" s="2">
        <v>42</v>
      </c>
      <c r="O1160" s="2">
        <v>1894487.94</v>
      </c>
      <c r="P1160" s="2">
        <v>45106.86</v>
      </c>
    </row>
    <row r="1161" spans="1:16" outlineLevel="1" x14ac:dyDescent="0.2">
      <c r="A1161" s="5"/>
      <c r="D1161" s="3" t="s">
        <v>716</v>
      </c>
      <c r="N1161" s="2">
        <f>SUBTOTAL(9,N1160:N1160)</f>
        <v>42</v>
      </c>
      <c r="O1161" s="2">
        <f>SUBTOTAL(9,O1160:O1160)</f>
        <v>1894487.94</v>
      </c>
    </row>
    <row r="1162" spans="1:16" outlineLevel="2" x14ac:dyDescent="0.2">
      <c r="A1162" s="5">
        <v>46062</v>
      </c>
      <c r="B1162" s="2">
        <v>156870</v>
      </c>
      <c r="C1162" s="2">
        <v>2</v>
      </c>
      <c r="D1162" s="2" t="s">
        <v>60</v>
      </c>
      <c r="E1162" s="2" t="s">
        <v>23</v>
      </c>
      <c r="F1162" s="2" t="s">
        <v>31</v>
      </c>
      <c r="G1162" s="2" t="s">
        <v>22</v>
      </c>
      <c r="H1162" s="2" t="s">
        <v>23</v>
      </c>
      <c r="I1162" s="2" t="s">
        <v>23</v>
      </c>
      <c r="J1162" s="2">
        <v>78</v>
      </c>
      <c r="K1162" s="2" t="s">
        <v>212</v>
      </c>
      <c r="L1162" s="2">
        <v>226</v>
      </c>
      <c r="M1162" s="2" t="s">
        <v>59</v>
      </c>
      <c r="N1162" s="2">
        <v>91</v>
      </c>
      <c r="O1162" s="2">
        <v>1265894.78</v>
      </c>
      <c r="P1162" s="2">
        <v>13910.93</v>
      </c>
    </row>
    <row r="1163" spans="1:16" outlineLevel="1" x14ac:dyDescent="0.2">
      <c r="A1163" s="5"/>
      <c r="D1163" s="3" t="s">
        <v>728</v>
      </c>
      <c r="N1163" s="2">
        <f>SUBTOTAL(9,N1162:N1162)</f>
        <v>91</v>
      </c>
      <c r="O1163" s="2">
        <f>SUBTOTAL(9,O1162:O1162)</f>
        <v>1265894.78</v>
      </c>
    </row>
    <row r="1164" spans="1:16" outlineLevel="2" x14ac:dyDescent="0.2">
      <c r="A1164" s="5">
        <v>46092</v>
      </c>
      <c r="B1164" s="2">
        <v>156880</v>
      </c>
      <c r="C1164" s="2">
        <v>1</v>
      </c>
      <c r="D1164" s="2" t="s">
        <v>83</v>
      </c>
      <c r="E1164" s="2" t="s">
        <v>55</v>
      </c>
      <c r="F1164" s="2" t="s">
        <v>23</v>
      </c>
      <c r="G1164" s="2" t="s">
        <v>23</v>
      </c>
      <c r="H1164" s="2" t="s">
        <v>23</v>
      </c>
      <c r="I1164" s="2" t="s">
        <v>23</v>
      </c>
      <c r="J1164" s="2">
        <v>1</v>
      </c>
      <c r="K1164" s="2" t="s">
        <v>24</v>
      </c>
      <c r="L1164" s="2">
        <v>600</v>
      </c>
      <c r="M1164" s="2" t="s">
        <v>112</v>
      </c>
      <c r="N1164" s="2">
        <v>8</v>
      </c>
      <c r="O1164" s="2">
        <v>61107.44</v>
      </c>
      <c r="P1164" s="2">
        <v>7638.43</v>
      </c>
    </row>
    <row r="1165" spans="1:16" outlineLevel="1" x14ac:dyDescent="0.2">
      <c r="A1165" s="5"/>
      <c r="D1165" s="3" t="s">
        <v>701</v>
      </c>
      <c r="N1165" s="2">
        <f>SUBTOTAL(9,N1164:N1164)</f>
        <v>8</v>
      </c>
      <c r="O1165" s="2">
        <f>SUBTOTAL(9,O1164:O1164)</f>
        <v>61107.44</v>
      </c>
    </row>
    <row r="1166" spans="1:16" outlineLevel="2" x14ac:dyDescent="0.2">
      <c r="A1166" s="5">
        <v>46073</v>
      </c>
      <c r="B1166" s="2">
        <v>156881</v>
      </c>
      <c r="C1166" s="2">
        <v>1</v>
      </c>
      <c r="D1166" s="2" t="s">
        <v>338</v>
      </c>
      <c r="E1166" s="2" t="s">
        <v>55</v>
      </c>
      <c r="F1166" s="2" t="s">
        <v>55</v>
      </c>
      <c r="G1166" s="2" t="s">
        <v>23</v>
      </c>
      <c r="H1166" s="2" t="s">
        <v>23</v>
      </c>
      <c r="I1166" s="2" t="s">
        <v>23</v>
      </c>
      <c r="J1166" s="2">
        <v>2</v>
      </c>
      <c r="K1166" s="2" t="s">
        <v>48</v>
      </c>
      <c r="L1166" s="2">
        <v>600</v>
      </c>
      <c r="M1166" s="2" t="s">
        <v>112</v>
      </c>
      <c r="N1166" s="2">
        <v>4</v>
      </c>
      <c r="O1166" s="2">
        <v>29620.27</v>
      </c>
      <c r="P1166" s="2">
        <v>7405.07</v>
      </c>
    </row>
    <row r="1167" spans="1:16" outlineLevel="1" x14ac:dyDescent="0.2">
      <c r="A1167" s="5"/>
      <c r="D1167" s="3" t="s">
        <v>754</v>
      </c>
      <c r="N1167" s="2">
        <f>SUBTOTAL(9,N1166:N1166)</f>
        <v>4</v>
      </c>
      <c r="O1167" s="2">
        <f>SUBTOTAL(9,O1166:O1166)</f>
        <v>29620.27</v>
      </c>
    </row>
    <row r="1168" spans="1:16" outlineLevel="2" x14ac:dyDescent="0.2">
      <c r="A1168" s="5">
        <v>46064</v>
      </c>
      <c r="B1168" s="2">
        <v>156888</v>
      </c>
      <c r="C1168" s="2">
        <v>1</v>
      </c>
      <c r="D1168" s="2" t="s">
        <v>339</v>
      </c>
      <c r="E1168" s="2" t="s">
        <v>305</v>
      </c>
      <c r="F1168" s="2" t="s">
        <v>47</v>
      </c>
      <c r="G1168" s="2" t="s">
        <v>22</v>
      </c>
      <c r="H1168" s="2" t="s">
        <v>23</v>
      </c>
      <c r="I1168" s="2" t="s">
        <v>23</v>
      </c>
      <c r="J1168" s="2">
        <v>1</v>
      </c>
      <c r="K1168" s="2" t="s">
        <v>24</v>
      </c>
      <c r="L1168" s="2">
        <v>1964</v>
      </c>
      <c r="M1168" s="2" t="s">
        <v>49</v>
      </c>
      <c r="N1168" s="2">
        <v>4</v>
      </c>
      <c r="O1168" s="2">
        <v>54823.12</v>
      </c>
      <c r="P1168" s="2">
        <v>13705.78</v>
      </c>
    </row>
    <row r="1169" spans="1:16" outlineLevel="1" x14ac:dyDescent="0.2">
      <c r="A1169" s="5"/>
      <c r="D1169" s="3" t="s">
        <v>755</v>
      </c>
      <c r="N1169" s="2">
        <f>SUBTOTAL(9,N1168:N1168)</f>
        <v>4</v>
      </c>
      <c r="O1169" s="2">
        <f>SUBTOTAL(9,O1168:O1168)</f>
        <v>54823.12</v>
      </c>
    </row>
    <row r="1170" spans="1:16" outlineLevel="2" x14ac:dyDescent="0.2">
      <c r="A1170" s="5">
        <v>46064</v>
      </c>
      <c r="B1170" s="2">
        <v>156888</v>
      </c>
      <c r="C1170" s="2">
        <v>2</v>
      </c>
      <c r="D1170" s="2" t="s">
        <v>45</v>
      </c>
      <c r="E1170" s="2" t="s">
        <v>125</v>
      </c>
      <c r="F1170" s="2" t="s">
        <v>47</v>
      </c>
      <c r="G1170" s="2" t="s">
        <v>22</v>
      </c>
      <c r="H1170" s="2" t="s">
        <v>23</v>
      </c>
      <c r="I1170" s="2" t="s">
        <v>23</v>
      </c>
      <c r="J1170" s="2">
        <v>41</v>
      </c>
      <c r="K1170" s="2" t="s">
        <v>129</v>
      </c>
      <c r="L1170" s="2">
        <v>1964</v>
      </c>
      <c r="M1170" s="2" t="s">
        <v>49</v>
      </c>
      <c r="N1170" s="2">
        <v>35</v>
      </c>
      <c r="O1170" s="2">
        <v>217406.01</v>
      </c>
      <c r="P1170" s="2">
        <v>6211.6</v>
      </c>
    </row>
    <row r="1171" spans="1:16" outlineLevel="2" x14ac:dyDescent="0.2">
      <c r="A1171" s="5">
        <v>46064</v>
      </c>
      <c r="B1171" s="2">
        <v>156888</v>
      </c>
      <c r="C1171" s="2">
        <v>3</v>
      </c>
      <c r="D1171" s="2" t="s">
        <v>45</v>
      </c>
      <c r="E1171" s="2" t="s">
        <v>227</v>
      </c>
      <c r="F1171" s="2" t="s">
        <v>47</v>
      </c>
      <c r="G1171" s="2" t="s">
        <v>22</v>
      </c>
      <c r="H1171" s="2" t="s">
        <v>23</v>
      </c>
      <c r="I1171" s="2" t="s">
        <v>23</v>
      </c>
      <c r="J1171" s="2">
        <v>41</v>
      </c>
      <c r="K1171" s="2" t="s">
        <v>129</v>
      </c>
      <c r="L1171" s="2">
        <v>1964</v>
      </c>
      <c r="M1171" s="2" t="s">
        <v>49</v>
      </c>
      <c r="N1171" s="2">
        <v>46</v>
      </c>
      <c r="O1171" s="2">
        <v>664069.72</v>
      </c>
      <c r="P1171" s="2">
        <v>14436.3</v>
      </c>
    </row>
    <row r="1172" spans="1:16" outlineLevel="1" x14ac:dyDescent="0.2">
      <c r="A1172" s="5"/>
      <c r="D1172" s="3" t="s">
        <v>733</v>
      </c>
      <c r="N1172" s="2">
        <f>SUBTOTAL(9,N1170:N1171)</f>
        <v>81</v>
      </c>
      <c r="O1172" s="2">
        <f>SUBTOTAL(9,O1170:O1171)</f>
        <v>881475.73</v>
      </c>
    </row>
    <row r="1173" spans="1:16" outlineLevel="2" x14ac:dyDescent="0.2">
      <c r="A1173" s="5">
        <v>46064</v>
      </c>
      <c r="B1173" s="2">
        <v>156888</v>
      </c>
      <c r="C1173" s="2">
        <v>4</v>
      </c>
      <c r="D1173" s="2" t="s">
        <v>226</v>
      </c>
      <c r="E1173" s="2" t="s">
        <v>227</v>
      </c>
      <c r="F1173" s="2" t="s">
        <v>47</v>
      </c>
      <c r="G1173" s="2" t="s">
        <v>22</v>
      </c>
      <c r="H1173" s="2" t="s">
        <v>23</v>
      </c>
      <c r="I1173" s="2" t="s">
        <v>23</v>
      </c>
      <c r="J1173" s="2">
        <v>41</v>
      </c>
      <c r="K1173" s="2" t="s">
        <v>129</v>
      </c>
      <c r="L1173" s="2">
        <v>1964</v>
      </c>
      <c r="M1173" s="2" t="s">
        <v>49</v>
      </c>
      <c r="N1173" s="2">
        <v>58</v>
      </c>
      <c r="O1173" s="2">
        <v>1173911.8799999999</v>
      </c>
      <c r="P1173" s="2">
        <v>20239.86</v>
      </c>
    </row>
    <row r="1174" spans="1:16" outlineLevel="1" x14ac:dyDescent="0.2">
      <c r="A1174" s="5"/>
      <c r="D1174" s="3" t="s">
        <v>736</v>
      </c>
      <c r="N1174" s="2">
        <f>SUBTOTAL(9,N1173:N1173)</f>
        <v>58</v>
      </c>
      <c r="O1174" s="2">
        <f>SUBTOTAL(9,O1173:O1173)</f>
        <v>1173911.8799999999</v>
      </c>
    </row>
    <row r="1175" spans="1:16" outlineLevel="2" x14ac:dyDescent="0.2">
      <c r="A1175" s="5">
        <v>46064</v>
      </c>
      <c r="B1175" s="2">
        <v>156888</v>
      </c>
      <c r="C1175" s="2">
        <v>5</v>
      </c>
      <c r="D1175" s="2" t="s">
        <v>45</v>
      </c>
      <c r="E1175" s="2" t="s">
        <v>228</v>
      </c>
      <c r="F1175" s="2" t="s">
        <v>47</v>
      </c>
      <c r="G1175" s="2" t="s">
        <v>22</v>
      </c>
      <c r="H1175" s="2" t="s">
        <v>23</v>
      </c>
      <c r="I1175" s="2" t="s">
        <v>23</v>
      </c>
      <c r="J1175" s="2">
        <v>41</v>
      </c>
      <c r="K1175" s="2" t="s">
        <v>129</v>
      </c>
      <c r="L1175" s="2">
        <v>1964</v>
      </c>
      <c r="M1175" s="2" t="s">
        <v>49</v>
      </c>
      <c r="N1175" s="2">
        <v>26</v>
      </c>
      <c r="O1175" s="2">
        <v>373152.2</v>
      </c>
      <c r="P1175" s="2">
        <v>14352.01</v>
      </c>
    </row>
    <row r="1176" spans="1:16" outlineLevel="1" x14ac:dyDescent="0.2">
      <c r="A1176" s="5"/>
      <c r="D1176" s="3" t="s">
        <v>733</v>
      </c>
      <c r="N1176" s="2">
        <f>SUBTOTAL(9,N1175:N1175)</f>
        <v>26</v>
      </c>
      <c r="O1176" s="2">
        <f>SUBTOTAL(9,O1175:O1175)</f>
        <v>373152.2</v>
      </c>
    </row>
    <row r="1177" spans="1:16" outlineLevel="2" x14ac:dyDescent="0.2">
      <c r="A1177" s="5">
        <v>46064</v>
      </c>
      <c r="B1177" s="2">
        <v>156888</v>
      </c>
      <c r="C1177" s="2">
        <v>6</v>
      </c>
      <c r="D1177" s="2" t="s">
        <v>226</v>
      </c>
      <c r="E1177" s="2" t="s">
        <v>151</v>
      </c>
      <c r="F1177" s="2" t="s">
        <v>47</v>
      </c>
      <c r="G1177" s="2" t="s">
        <v>22</v>
      </c>
      <c r="H1177" s="2" t="s">
        <v>23</v>
      </c>
      <c r="I1177" s="2" t="s">
        <v>23</v>
      </c>
      <c r="J1177" s="2">
        <v>2</v>
      </c>
      <c r="K1177" s="2" t="s">
        <v>48</v>
      </c>
      <c r="L1177" s="2">
        <v>1964</v>
      </c>
      <c r="M1177" s="2" t="s">
        <v>49</v>
      </c>
      <c r="N1177" s="2">
        <v>16</v>
      </c>
      <c r="O1177" s="2">
        <v>183821.79</v>
      </c>
      <c r="P1177" s="2">
        <v>11488.86</v>
      </c>
    </row>
    <row r="1178" spans="1:16" outlineLevel="1" x14ac:dyDescent="0.2">
      <c r="A1178" s="5"/>
      <c r="D1178" s="3" t="s">
        <v>736</v>
      </c>
      <c r="N1178" s="2">
        <f>SUBTOTAL(9,N1177:N1177)</f>
        <v>16</v>
      </c>
      <c r="O1178" s="2">
        <f>SUBTOTAL(9,O1177:O1177)</f>
        <v>183821.79</v>
      </c>
    </row>
    <row r="1179" spans="1:16" outlineLevel="2" x14ac:dyDescent="0.2">
      <c r="A1179" s="5">
        <v>46064</v>
      </c>
      <c r="B1179" s="2">
        <v>156889</v>
      </c>
      <c r="C1179" s="2">
        <v>1</v>
      </c>
      <c r="D1179" s="2" t="s">
        <v>60</v>
      </c>
      <c r="E1179" s="2" t="s">
        <v>253</v>
      </c>
      <c r="F1179" s="2" t="s">
        <v>31</v>
      </c>
      <c r="G1179" s="2" t="s">
        <v>22</v>
      </c>
      <c r="H1179" s="2" t="s">
        <v>23</v>
      </c>
      <c r="I1179" s="2" t="s">
        <v>23</v>
      </c>
      <c r="J1179" s="2">
        <v>78</v>
      </c>
      <c r="K1179" s="2" t="s">
        <v>212</v>
      </c>
      <c r="L1179" s="2">
        <v>226</v>
      </c>
      <c r="M1179" s="2" t="s">
        <v>59</v>
      </c>
      <c r="N1179" s="2">
        <v>91</v>
      </c>
      <c r="O1179" s="2">
        <v>1207088.06</v>
      </c>
      <c r="P1179" s="2">
        <v>13264.7</v>
      </c>
    </row>
    <row r="1180" spans="1:16" outlineLevel="1" x14ac:dyDescent="0.2">
      <c r="A1180" s="5"/>
      <c r="D1180" s="3" t="s">
        <v>728</v>
      </c>
      <c r="N1180" s="2">
        <f>SUBTOTAL(9,N1179:N1179)</f>
        <v>91</v>
      </c>
      <c r="O1180" s="2">
        <f>SUBTOTAL(9,O1179:O1179)</f>
        <v>1207088.06</v>
      </c>
    </row>
    <row r="1181" spans="1:16" outlineLevel="2" x14ac:dyDescent="0.2">
      <c r="A1181" s="5">
        <v>46064</v>
      </c>
      <c r="B1181" s="2">
        <v>156889</v>
      </c>
      <c r="C1181" s="2">
        <v>2</v>
      </c>
      <c r="D1181" s="2" t="s">
        <v>107</v>
      </c>
      <c r="E1181" s="2" t="s">
        <v>314</v>
      </c>
      <c r="F1181" s="2" t="s">
        <v>31</v>
      </c>
      <c r="G1181" s="2" t="s">
        <v>340</v>
      </c>
      <c r="H1181" s="2" t="s">
        <v>23</v>
      </c>
      <c r="I1181" s="2" t="s">
        <v>23</v>
      </c>
      <c r="J1181" s="2">
        <v>1</v>
      </c>
      <c r="K1181" s="2" t="s">
        <v>24</v>
      </c>
      <c r="L1181" s="2">
        <v>226</v>
      </c>
      <c r="M1181" s="2" t="s">
        <v>59</v>
      </c>
      <c r="N1181" s="2">
        <v>48</v>
      </c>
      <c r="O1181" s="2">
        <v>1341155.04</v>
      </c>
      <c r="P1181" s="2">
        <v>27940.73</v>
      </c>
    </row>
    <row r="1182" spans="1:16" outlineLevel="1" x14ac:dyDescent="0.2">
      <c r="A1182" s="5"/>
      <c r="D1182" s="3" t="s">
        <v>726</v>
      </c>
      <c r="N1182" s="2">
        <f>SUBTOTAL(9,N1181:N1181)</f>
        <v>48</v>
      </c>
      <c r="O1182" s="2">
        <f>SUBTOTAL(9,O1181:O1181)</f>
        <v>1341155.04</v>
      </c>
    </row>
    <row r="1183" spans="1:16" outlineLevel="2" x14ac:dyDescent="0.2">
      <c r="A1183" s="5">
        <v>46064</v>
      </c>
      <c r="B1183" s="2">
        <v>156889</v>
      </c>
      <c r="C1183" s="2">
        <v>3</v>
      </c>
      <c r="D1183" s="2" t="s">
        <v>29</v>
      </c>
      <c r="E1183" s="2" t="s">
        <v>316</v>
      </c>
      <c r="F1183" s="2" t="s">
        <v>31</v>
      </c>
      <c r="G1183" s="2" t="s">
        <v>22</v>
      </c>
      <c r="H1183" s="2" t="s">
        <v>23</v>
      </c>
      <c r="I1183" s="2" t="s">
        <v>23</v>
      </c>
      <c r="J1183" s="2">
        <v>11</v>
      </c>
      <c r="K1183" s="2" t="s">
        <v>257</v>
      </c>
      <c r="L1183" s="2">
        <v>226</v>
      </c>
      <c r="M1183" s="2" t="s">
        <v>59</v>
      </c>
      <c r="N1183" s="2">
        <v>30</v>
      </c>
      <c r="O1183" s="2">
        <v>716408.18</v>
      </c>
      <c r="P1183" s="2">
        <v>23880.27</v>
      </c>
    </row>
    <row r="1184" spans="1:16" outlineLevel="1" x14ac:dyDescent="0.2">
      <c r="A1184" s="5"/>
      <c r="D1184" s="3" t="s">
        <v>703</v>
      </c>
      <c r="N1184" s="2">
        <f>SUBTOTAL(9,N1183:N1183)</f>
        <v>30</v>
      </c>
      <c r="O1184" s="2">
        <f>SUBTOTAL(9,O1183:O1183)</f>
        <v>716408.18</v>
      </c>
    </row>
    <row r="1185" spans="1:16" outlineLevel="2" x14ac:dyDescent="0.2">
      <c r="A1185" s="5">
        <v>46064</v>
      </c>
      <c r="B1185" s="2">
        <v>156890</v>
      </c>
      <c r="C1185" s="2">
        <v>1</v>
      </c>
      <c r="D1185" s="2" t="s">
        <v>140</v>
      </c>
      <c r="E1185" s="2" t="s">
        <v>141</v>
      </c>
      <c r="F1185" s="2" t="s">
        <v>108</v>
      </c>
      <c r="G1185" s="2" t="s">
        <v>22</v>
      </c>
      <c r="H1185" s="2" t="s">
        <v>23</v>
      </c>
      <c r="I1185" s="2" t="s">
        <v>23</v>
      </c>
      <c r="J1185" s="2">
        <v>1</v>
      </c>
      <c r="K1185" s="2" t="s">
        <v>24</v>
      </c>
      <c r="L1185" s="2">
        <v>1833</v>
      </c>
      <c r="M1185" s="2" t="s">
        <v>142</v>
      </c>
      <c r="N1185" s="2">
        <v>23</v>
      </c>
      <c r="O1185" s="2">
        <v>696076.21</v>
      </c>
      <c r="P1185" s="2">
        <v>30264.18</v>
      </c>
    </row>
    <row r="1186" spans="1:16" outlineLevel="1" x14ac:dyDescent="0.2">
      <c r="A1186" s="5"/>
      <c r="D1186" s="3" t="s">
        <v>696</v>
      </c>
      <c r="N1186" s="2">
        <f>SUBTOTAL(9,N1185:N1185)</f>
        <v>23</v>
      </c>
      <c r="O1186" s="2">
        <f>SUBTOTAL(9,O1185:O1185)</f>
        <v>696076.21</v>
      </c>
    </row>
    <row r="1187" spans="1:16" outlineLevel="2" x14ac:dyDescent="0.2">
      <c r="A1187" s="5">
        <v>46064</v>
      </c>
      <c r="B1187" s="2">
        <v>156891</v>
      </c>
      <c r="C1187" s="2">
        <v>1</v>
      </c>
      <c r="D1187" s="2" t="s">
        <v>128</v>
      </c>
      <c r="E1187" s="2" t="s">
        <v>23</v>
      </c>
      <c r="F1187" s="2" t="s">
        <v>47</v>
      </c>
      <c r="G1187" s="2" t="s">
        <v>22</v>
      </c>
      <c r="H1187" s="2" t="s">
        <v>23</v>
      </c>
      <c r="I1187" s="2" t="s">
        <v>23</v>
      </c>
      <c r="J1187" s="2">
        <v>41</v>
      </c>
      <c r="K1187" s="2" t="s">
        <v>129</v>
      </c>
      <c r="L1187" s="2">
        <v>25213</v>
      </c>
      <c r="M1187" s="2" t="s">
        <v>130</v>
      </c>
      <c r="N1187" s="2">
        <v>50</v>
      </c>
      <c r="O1187" s="2">
        <v>200823.17</v>
      </c>
      <c r="P1187" s="2">
        <v>4016.46</v>
      </c>
    </row>
    <row r="1188" spans="1:16" outlineLevel="1" x14ac:dyDescent="0.2">
      <c r="A1188" s="5"/>
      <c r="D1188" s="3" t="s">
        <v>732</v>
      </c>
      <c r="N1188" s="2">
        <f>SUBTOTAL(9,N1187:N1187)</f>
        <v>50</v>
      </c>
      <c r="O1188" s="2">
        <f>SUBTOTAL(9,O1187:O1187)</f>
        <v>200823.17</v>
      </c>
    </row>
    <row r="1189" spans="1:16" outlineLevel="2" x14ac:dyDescent="0.2">
      <c r="A1189" s="5">
        <v>46064</v>
      </c>
      <c r="B1189" s="2">
        <v>156891</v>
      </c>
      <c r="C1189" s="2">
        <v>2</v>
      </c>
      <c r="D1189" s="2" t="s">
        <v>207</v>
      </c>
      <c r="E1189" s="2" t="s">
        <v>23</v>
      </c>
      <c r="F1189" s="2" t="s">
        <v>47</v>
      </c>
      <c r="G1189" s="2" t="s">
        <v>22</v>
      </c>
      <c r="H1189" s="2" t="s">
        <v>23</v>
      </c>
      <c r="I1189" s="2" t="s">
        <v>23</v>
      </c>
      <c r="J1189" s="2">
        <v>1</v>
      </c>
      <c r="K1189" s="2" t="s">
        <v>24</v>
      </c>
      <c r="L1189" s="2">
        <v>25213</v>
      </c>
      <c r="M1189" s="2" t="s">
        <v>130</v>
      </c>
      <c r="N1189" s="2">
        <v>2</v>
      </c>
      <c r="O1189" s="2">
        <v>119822.01</v>
      </c>
      <c r="P1189" s="2">
        <v>59911.01</v>
      </c>
    </row>
    <row r="1190" spans="1:16" outlineLevel="1" x14ac:dyDescent="0.2">
      <c r="A1190" s="5"/>
      <c r="D1190" s="3" t="s">
        <v>699</v>
      </c>
      <c r="N1190" s="2">
        <f>SUBTOTAL(9,N1189:N1189)</f>
        <v>2</v>
      </c>
      <c r="O1190" s="2">
        <f>SUBTOTAL(9,O1189:O1189)</f>
        <v>119822.01</v>
      </c>
    </row>
    <row r="1191" spans="1:16" outlineLevel="2" x14ac:dyDescent="0.2">
      <c r="A1191" s="5">
        <v>46064</v>
      </c>
      <c r="B1191" s="2">
        <v>156891</v>
      </c>
      <c r="C1191" s="2">
        <v>3</v>
      </c>
      <c r="D1191" s="2" t="s">
        <v>128</v>
      </c>
      <c r="E1191" s="2" t="s">
        <v>23</v>
      </c>
      <c r="F1191" s="2" t="s">
        <v>47</v>
      </c>
      <c r="G1191" s="2" t="s">
        <v>22</v>
      </c>
      <c r="H1191" s="2" t="s">
        <v>23</v>
      </c>
      <c r="I1191" s="2" t="s">
        <v>23</v>
      </c>
      <c r="J1191" s="2">
        <v>1</v>
      </c>
      <c r="K1191" s="2" t="s">
        <v>24</v>
      </c>
      <c r="L1191" s="2">
        <v>25213</v>
      </c>
      <c r="M1191" s="2" t="s">
        <v>130</v>
      </c>
      <c r="N1191" s="2">
        <v>5</v>
      </c>
      <c r="O1191" s="2">
        <v>418568.5</v>
      </c>
      <c r="P1191" s="2">
        <v>83713.7</v>
      </c>
    </row>
    <row r="1192" spans="1:16" outlineLevel="1" x14ac:dyDescent="0.2">
      <c r="A1192" s="5"/>
      <c r="D1192" s="3" t="s">
        <v>732</v>
      </c>
      <c r="N1192" s="2">
        <f>SUBTOTAL(9,N1191:N1191)</f>
        <v>5</v>
      </c>
      <c r="O1192" s="2">
        <f>SUBTOTAL(9,O1191:O1191)</f>
        <v>418568.5</v>
      </c>
    </row>
    <row r="1193" spans="1:16" outlineLevel="2" x14ac:dyDescent="0.2">
      <c r="A1193" s="5">
        <v>46087</v>
      </c>
      <c r="B1193" s="2">
        <v>156894</v>
      </c>
      <c r="C1193" s="2">
        <v>301</v>
      </c>
      <c r="D1193" s="2" t="s">
        <v>45</v>
      </c>
      <c r="E1193" s="2" t="s">
        <v>46</v>
      </c>
      <c r="F1193" s="2" t="s">
        <v>55</v>
      </c>
      <c r="G1193" s="2" t="s">
        <v>23</v>
      </c>
      <c r="H1193" s="2" t="s">
        <v>23</v>
      </c>
      <c r="I1193" s="2" t="s">
        <v>23</v>
      </c>
      <c r="J1193" s="2">
        <v>2</v>
      </c>
      <c r="K1193" s="2" t="s">
        <v>48</v>
      </c>
      <c r="L1193" s="2">
        <v>2316</v>
      </c>
      <c r="M1193" s="2" t="s">
        <v>206</v>
      </c>
      <c r="N1193" s="2">
        <v>17</v>
      </c>
      <c r="O1193" s="2">
        <v>79914.289999999994</v>
      </c>
      <c r="P1193" s="2">
        <v>4700.84</v>
      </c>
    </row>
    <row r="1194" spans="1:16" outlineLevel="2" x14ac:dyDescent="0.2">
      <c r="A1194" s="5">
        <v>46085</v>
      </c>
      <c r="B1194" s="2">
        <v>156894</v>
      </c>
      <c r="C1194" s="2">
        <v>325</v>
      </c>
      <c r="D1194" s="2" t="s">
        <v>45</v>
      </c>
      <c r="E1194" s="2" t="s">
        <v>46</v>
      </c>
      <c r="F1194" s="2" t="s">
        <v>47</v>
      </c>
      <c r="G1194" s="2" t="s">
        <v>22</v>
      </c>
      <c r="H1194" s="2" t="s">
        <v>23</v>
      </c>
      <c r="I1194" s="2" t="s">
        <v>23</v>
      </c>
      <c r="J1194" s="2">
        <v>2</v>
      </c>
      <c r="K1194" s="2" t="s">
        <v>48</v>
      </c>
      <c r="L1194" s="2">
        <v>2316</v>
      </c>
      <c r="M1194" s="2" t="s">
        <v>206</v>
      </c>
      <c r="N1194" s="2">
        <v>2</v>
      </c>
      <c r="O1194" s="2">
        <v>7809.35</v>
      </c>
      <c r="P1194" s="2">
        <v>3904.68</v>
      </c>
    </row>
    <row r="1195" spans="1:16" outlineLevel="1" x14ac:dyDescent="0.2">
      <c r="A1195" s="5"/>
      <c r="D1195" s="3" t="s">
        <v>733</v>
      </c>
      <c r="N1195" s="2">
        <f>SUBTOTAL(9,N1193:N1194)</f>
        <v>19</v>
      </c>
      <c r="O1195" s="2">
        <f>SUBTOTAL(9,O1193:O1194)</f>
        <v>87723.64</v>
      </c>
    </row>
    <row r="1196" spans="1:16" outlineLevel="2" x14ac:dyDescent="0.2">
      <c r="A1196" s="5">
        <v>46064</v>
      </c>
      <c r="B1196" s="2">
        <v>156901</v>
      </c>
      <c r="C1196" s="2">
        <v>1</v>
      </c>
      <c r="D1196" s="2" t="s">
        <v>38</v>
      </c>
      <c r="E1196" s="2" t="s">
        <v>39</v>
      </c>
      <c r="F1196" s="2" t="s">
        <v>63</v>
      </c>
      <c r="G1196" s="2" t="s">
        <v>22</v>
      </c>
      <c r="H1196" s="2" t="s">
        <v>23</v>
      </c>
      <c r="I1196" s="2" t="s">
        <v>116</v>
      </c>
      <c r="J1196" s="2">
        <v>1</v>
      </c>
      <c r="K1196" s="2" t="s">
        <v>24</v>
      </c>
      <c r="L1196" s="2">
        <v>1846</v>
      </c>
      <c r="M1196" s="2" t="s">
        <v>134</v>
      </c>
      <c r="N1196" s="2">
        <v>176</v>
      </c>
      <c r="O1196" s="2">
        <v>11011057.75</v>
      </c>
      <c r="P1196" s="2">
        <v>62562.83</v>
      </c>
    </row>
    <row r="1197" spans="1:16" outlineLevel="2" x14ac:dyDescent="0.2">
      <c r="A1197" s="5">
        <v>46064</v>
      </c>
      <c r="B1197" s="2">
        <v>156901</v>
      </c>
      <c r="C1197" s="2">
        <v>5</v>
      </c>
      <c r="D1197" s="2" t="s">
        <v>38</v>
      </c>
      <c r="E1197" s="2" t="s">
        <v>39</v>
      </c>
      <c r="F1197" s="2" t="s">
        <v>63</v>
      </c>
      <c r="G1197" s="2" t="s">
        <v>22</v>
      </c>
      <c r="H1197" s="2" t="s">
        <v>23</v>
      </c>
      <c r="I1197" s="2" t="s">
        <v>23</v>
      </c>
      <c r="J1197" s="2">
        <v>124</v>
      </c>
      <c r="K1197" s="2" t="s">
        <v>155</v>
      </c>
      <c r="L1197" s="2">
        <v>1846</v>
      </c>
      <c r="M1197" s="2" t="s">
        <v>134</v>
      </c>
      <c r="N1197" s="2">
        <v>165</v>
      </c>
      <c r="O1197" s="2">
        <v>11665189.75</v>
      </c>
      <c r="P1197" s="2">
        <v>70698.12</v>
      </c>
    </row>
    <row r="1198" spans="1:16" outlineLevel="2" x14ac:dyDescent="0.2">
      <c r="A1198" s="5">
        <v>46071</v>
      </c>
      <c r="B1198" s="2">
        <v>156902</v>
      </c>
      <c r="C1198" s="2">
        <v>1</v>
      </c>
      <c r="D1198" s="2" t="s">
        <v>38</v>
      </c>
      <c r="E1198" s="2" t="s">
        <v>39</v>
      </c>
      <c r="F1198" s="2" t="s">
        <v>63</v>
      </c>
      <c r="G1198" s="2" t="s">
        <v>22</v>
      </c>
      <c r="H1198" s="2" t="s">
        <v>23</v>
      </c>
      <c r="I1198" s="2" t="s">
        <v>243</v>
      </c>
      <c r="J1198" s="2">
        <v>1</v>
      </c>
      <c r="K1198" s="2" t="s">
        <v>24</v>
      </c>
      <c r="L1198" s="2">
        <v>1846</v>
      </c>
      <c r="M1198" s="2" t="s">
        <v>134</v>
      </c>
      <c r="N1198" s="2">
        <v>244</v>
      </c>
      <c r="O1198" s="2">
        <v>15385777.1</v>
      </c>
      <c r="P1198" s="2">
        <v>63056.46</v>
      </c>
    </row>
    <row r="1199" spans="1:16" outlineLevel="2" x14ac:dyDescent="0.2">
      <c r="A1199" s="5">
        <v>46064</v>
      </c>
      <c r="B1199" s="2">
        <v>156902</v>
      </c>
      <c r="C1199" s="2">
        <v>5</v>
      </c>
      <c r="D1199" s="2" t="s">
        <v>38</v>
      </c>
      <c r="E1199" s="2" t="s">
        <v>39</v>
      </c>
      <c r="F1199" s="2" t="s">
        <v>63</v>
      </c>
      <c r="G1199" s="2" t="s">
        <v>22</v>
      </c>
      <c r="H1199" s="2" t="s">
        <v>23</v>
      </c>
      <c r="I1199" s="2" t="s">
        <v>23</v>
      </c>
      <c r="J1199" s="2">
        <v>124</v>
      </c>
      <c r="K1199" s="2" t="s">
        <v>155</v>
      </c>
      <c r="L1199" s="2">
        <v>1846</v>
      </c>
      <c r="M1199" s="2" t="s">
        <v>134</v>
      </c>
      <c r="N1199" s="2">
        <v>165</v>
      </c>
      <c r="O1199" s="2">
        <v>11805625.02</v>
      </c>
      <c r="P1199" s="2">
        <v>71549.240000000005</v>
      </c>
    </row>
    <row r="1200" spans="1:16" outlineLevel="1" x14ac:dyDescent="0.2">
      <c r="A1200" s="5"/>
      <c r="D1200" s="3" t="s">
        <v>721</v>
      </c>
      <c r="N1200" s="2">
        <f>SUBTOTAL(9,N1196:N1199)</f>
        <v>750</v>
      </c>
      <c r="O1200" s="2">
        <f>SUBTOTAL(9,O1196:O1199)</f>
        <v>49867649.620000005</v>
      </c>
    </row>
    <row r="1201" spans="1:16" outlineLevel="2" x14ac:dyDescent="0.2">
      <c r="A1201" s="5">
        <v>46064</v>
      </c>
      <c r="B1201" s="2">
        <v>156913</v>
      </c>
      <c r="C1201" s="2">
        <v>1</v>
      </c>
      <c r="D1201" s="2" t="s">
        <v>197</v>
      </c>
      <c r="E1201" s="2" t="s">
        <v>198</v>
      </c>
      <c r="F1201" s="2" t="s">
        <v>199</v>
      </c>
      <c r="G1201" s="2" t="s">
        <v>22</v>
      </c>
      <c r="H1201" s="2" t="s">
        <v>23</v>
      </c>
      <c r="I1201" s="2" t="s">
        <v>23</v>
      </c>
      <c r="J1201" s="2">
        <v>2</v>
      </c>
      <c r="K1201" s="2" t="s">
        <v>48</v>
      </c>
      <c r="L1201" s="2">
        <v>25255</v>
      </c>
      <c r="M1201" s="2" t="s">
        <v>327</v>
      </c>
      <c r="N1201" s="2">
        <v>206</v>
      </c>
      <c r="O1201" s="2">
        <v>5093884.71</v>
      </c>
      <c r="P1201" s="2">
        <v>24727.599999999999</v>
      </c>
    </row>
    <row r="1202" spans="1:16" outlineLevel="1" x14ac:dyDescent="0.2">
      <c r="A1202" s="5"/>
      <c r="D1202" s="3" t="s">
        <v>734</v>
      </c>
      <c r="N1202" s="2">
        <f>SUBTOTAL(9,N1201:N1201)</f>
        <v>206</v>
      </c>
      <c r="O1202" s="2">
        <f>SUBTOTAL(9,O1201:O1201)</f>
        <v>5093884.71</v>
      </c>
    </row>
    <row r="1203" spans="1:16" outlineLevel="2" x14ac:dyDescent="0.2">
      <c r="A1203" s="5">
        <v>46092</v>
      </c>
      <c r="B1203" s="2">
        <v>156925</v>
      </c>
      <c r="C1203" s="2">
        <v>3</v>
      </c>
      <c r="D1203" s="2" t="s">
        <v>83</v>
      </c>
      <c r="E1203" s="2" t="s">
        <v>317</v>
      </c>
      <c r="F1203" s="2" t="s">
        <v>55</v>
      </c>
      <c r="G1203" s="2" t="s">
        <v>22</v>
      </c>
      <c r="H1203" s="2" t="s">
        <v>23</v>
      </c>
      <c r="I1203" s="2" t="s">
        <v>23</v>
      </c>
      <c r="J1203" s="2">
        <v>1</v>
      </c>
      <c r="K1203" s="2" t="s">
        <v>24</v>
      </c>
      <c r="L1203" s="2">
        <v>226</v>
      </c>
      <c r="M1203" s="2" t="s">
        <v>59</v>
      </c>
      <c r="N1203" s="2">
        <v>16</v>
      </c>
      <c r="O1203" s="2">
        <v>111916.01</v>
      </c>
      <c r="P1203" s="2">
        <v>6994.75</v>
      </c>
    </row>
    <row r="1204" spans="1:16" outlineLevel="1" x14ac:dyDescent="0.2">
      <c r="A1204" s="5"/>
      <c r="D1204" s="3" t="s">
        <v>701</v>
      </c>
      <c r="N1204" s="2">
        <f>SUBTOTAL(9,N1203:N1203)</f>
        <v>16</v>
      </c>
      <c r="O1204" s="2">
        <f>SUBTOTAL(9,O1203:O1203)</f>
        <v>111916.01</v>
      </c>
    </row>
    <row r="1205" spans="1:16" outlineLevel="2" x14ac:dyDescent="0.2">
      <c r="A1205" s="5">
        <v>46092</v>
      </c>
      <c r="B1205" s="2">
        <v>156931</v>
      </c>
      <c r="C1205" s="2">
        <v>310</v>
      </c>
      <c r="D1205" s="2" t="s">
        <v>215</v>
      </c>
      <c r="E1205" s="2" t="s">
        <v>55</v>
      </c>
      <c r="F1205" s="2" t="s">
        <v>23</v>
      </c>
      <c r="G1205" s="2" t="s">
        <v>23</v>
      </c>
      <c r="H1205" s="2" t="s">
        <v>23</v>
      </c>
      <c r="I1205" s="2" t="s">
        <v>23</v>
      </c>
      <c r="J1205" s="2">
        <v>2</v>
      </c>
      <c r="K1205" s="2" t="s">
        <v>48</v>
      </c>
      <c r="L1205" s="2">
        <v>1876</v>
      </c>
      <c r="M1205" s="2" t="s">
        <v>138</v>
      </c>
      <c r="N1205" s="2">
        <v>1</v>
      </c>
      <c r="O1205" s="2">
        <v>3437.95</v>
      </c>
      <c r="P1205" s="2">
        <v>3437.95</v>
      </c>
    </row>
    <row r="1206" spans="1:16" outlineLevel="1" x14ac:dyDescent="0.2">
      <c r="A1206" s="5"/>
      <c r="D1206" s="3" t="s">
        <v>727</v>
      </c>
      <c r="N1206" s="2">
        <f>SUBTOTAL(9,N1205:N1205)</f>
        <v>1</v>
      </c>
      <c r="O1206" s="2">
        <f>SUBTOTAL(9,O1205:O1205)</f>
        <v>3437.95</v>
      </c>
    </row>
    <row r="1207" spans="1:16" outlineLevel="2" x14ac:dyDescent="0.2">
      <c r="A1207" s="5">
        <v>46066</v>
      </c>
      <c r="B1207" s="2">
        <v>156940</v>
      </c>
      <c r="C1207" s="2">
        <v>501</v>
      </c>
      <c r="D1207" s="2" t="s">
        <v>67</v>
      </c>
      <c r="E1207" s="2" t="s">
        <v>68</v>
      </c>
      <c r="F1207" s="2" t="s">
        <v>23</v>
      </c>
      <c r="G1207" s="2" t="s">
        <v>22</v>
      </c>
      <c r="H1207" s="2" t="s">
        <v>23</v>
      </c>
      <c r="I1207" s="2" t="s">
        <v>23</v>
      </c>
      <c r="J1207" s="2">
        <v>2</v>
      </c>
      <c r="K1207" s="2" t="s">
        <v>48</v>
      </c>
      <c r="L1207" s="2">
        <v>25257</v>
      </c>
      <c r="M1207" s="2" t="s">
        <v>341</v>
      </c>
      <c r="N1207" s="2">
        <v>4</v>
      </c>
      <c r="O1207" s="2">
        <v>13751.8</v>
      </c>
      <c r="P1207" s="2">
        <v>3437.95</v>
      </c>
    </row>
    <row r="1208" spans="1:16" outlineLevel="1" x14ac:dyDescent="0.2">
      <c r="A1208" s="5"/>
      <c r="D1208" s="3" t="s">
        <v>720</v>
      </c>
      <c r="N1208" s="2">
        <f>SUBTOTAL(9,N1207:N1207)</f>
        <v>4</v>
      </c>
      <c r="O1208" s="2">
        <f>SUBTOTAL(9,O1207:O1207)</f>
        <v>13751.8</v>
      </c>
    </row>
    <row r="1209" spans="1:16" outlineLevel="2" x14ac:dyDescent="0.2">
      <c r="A1209" s="5">
        <v>46066</v>
      </c>
      <c r="B1209" s="2">
        <v>156948</v>
      </c>
      <c r="C1209" s="2">
        <v>1</v>
      </c>
      <c r="D1209" s="2" t="s">
        <v>140</v>
      </c>
      <c r="E1209" s="2" t="s">
        <v>342</v>
      </c>
      <c r="F1209" s="2" t="s">
        <v>108</v>
      </c>
      <c r="G1209" s="2" t="s">
        <v>22</v>
      </c>
      <c r="H1209" s="2" t="s">
        <v>343</v>
      </c>
      <c r="I1209" s="2" t="s">
        <v>23</v>
      </c>
      <c r="J1209" s="2">
        <v>1</v>
      </c>
      <c r="K1209" s="2" t="s">
        <v>24</v>
      </c>
      <c r="L1209" s="2">
        <v>25256</v>
      </c>
      <c r="M1209" s="2" t="s">
        <v>344</v>
      </c>
      <c r="N1209" s="2">
        <v>27</v>
      </c>
      <c r="O1209" s="2">
        <v>795704.43</v>
      </c>
      <c r="P1209" s="2">
        <v>29470.53</v>
      </c>
    </row>
    <row r="1210" spans="1:16" outlineLevel="1" x14ac:dyDescent="0.2">
      <c r="A1210" s="5"/>
      <c r="D1210" s="3" t="s">
        <v>696</v>
      </c>
      <c r="N1210" s="2">
        <f>SUBTOTAL(9,N1209:N1209)</f>
        <v>27</v>
      </c>
      <c r="O1210" s="2">
        <f>SUBTOTAL(9,O1209:O1209)</f>
        <v>795704.43</v>
      </c>
    </row>
    <row r="1211" spans="1:16" outlineLevel="2" x14ac:dyDescent="0.2">
      <c r="A1211" s="5">
        <v>46066</v>
      </c>
      <c r="B1211" s="2">
        <v>156949</v>
      </c>
      <c r="C1211" s="2">
        <v>1</v>
      </c>
      <c r="D1211" s="2" t="s">
        <v>207</v>
      </c>
      <c r="E1211" s="2" t="s">
        <v>23</v>
      </c>
      <c r="F1211" s="2" t="s">
        <v>47</v>
      </c>
      <c r="G1211" s="2" t="s">
        <v>22</v>
      </c>
      <c r="H1211" s="2" t="s">
        <v>208</v>
      </c>
      <c r="I1211" s="2" t="s">
        <v>23</v>
      </c>
      <c r="J1211" s="2">
        <v>41</v>
      </c>
      <c r="K1211" s="2" t="s">
        <v>129</v>
      </c>
      <c r="L1211" s="2">
        <v>25213</v>
      </c>
      <c r="M1211" s="2" t="s">
        <v>130</v>
      </c>
      <c r="N1211" s="2">
        <v>50</v>
      </c>
      <c r="O1211" s="2">
        <v>176553.75</v>
      </c>
      <c r="P1211" s="2">
        <v>3531.08</v>
      </c>
    </row>
    <row r="1212" spans="1:16" outlineLevel="1" x14ac:dyDescent="0.2">
      <c r="A1212" s="5"/>
      <c r="D1212" s="3" t="s">
        <v>699</v>
      </c>
      <c r="N1212" s="2">
        <f>SUBTOTAL(9,N1211:N1211)</f>
        <v>50</v>
      </c>
      <c r="O1212" s="2">
        <f>SUBTOTAL(9,O1211:O1211)</f>
        <v>176553.75</v>
      </c>
    </row>
    <row r="1213" spans="1:16" outlineLevel="2" x14ac:dyDescent="0.2">
      <c r="A1213" s="5">
        <v>46066</v>
      </c>
      <c r="B1213" s="2">
        <v>156949</v>
      </c>
      <c r="C1213" s="2">
        <v>2</v>
      </c>
      <c r="D1213" s="2" t="s">
        <v>128</v>
      </c>
      <c r="E1213" s="2" t="s">
        <v>23</v>
      </c>
      <c r="F1213" s="2" t="s">
        <v>47</v>
      </c>
      <c r="G1213" s="2" t="s">
        <v>22</v>
      </c>
      <c r="H1213" s="2" t="s">
        <v>23</v>
      </c>
      <c r="I1213" s="2" t="s">
        <v>23</v>
      </c>
      <c r="J1213" s="2">
        <v>41</v>
      </c>
      <c r="K1213" s="2" t="s">
        <v>129</v>
      </c>
      <c r="L1213" s="2">
        <v>25213</v>
      </c>
      <c r="M1213" s="2" t="s">
        <v>130</v>
      </c>
      <c r="N1213" s="2">
        <v>48</v>
      </c>
      <c r="O1213" s="2">
        <v>169677.85</v>
      </c>
      <c r="P1213" s="2">
        <v>3534.96</v>
      </c>
    </row>
    <row r="1214" spans="1:16" outlineLevel="1" x14ac:dyDescent="0.2">
      <c r="A1214" s="5"/>
      <c r="D1214" s="3" t="s">
        <v>732</v>
      </c>
      <c r="N1214" s="2">
        <f>SUBTOTAL(9,N1213:N1213)</f>
        <v>48</v>
      </c>
      <c r="O1214" s="2">
        <f>SUBTOTAL(9,O1213:O1213)</f>
        <v>169677.85</v>
      </c>
    </row>
    <row r="1215" spans="1:16" outlineLevel="2" x14ac:dyDescent="0.2">
      <c r="A1215" s="5">
        <v>46066</v>
      </c>
      <c r="B1215" s="2">
        <v>156949</v>
      </c>
      <c r="C1215" s="2">
        <v>3</v>
      </c>
      <c r="D1215" s="2" t="s">
        <v>207</v>
      </c>
      <c r="E1215" s="2" t="s">
        <v>23</v>
      </c>
      <c r="F1215" s="2" t="s">
        <v>47</v>
      </c>
      <c r="G1215" s="2" t="s">
        <v>22</v>
      </c>
      <c r="H1215" s="2" t="s">
        <v>209</v>
      </c>
      <c r="I1215" s="2" t="s">
        <v>23</v>
      </c>
      <c r="J1215" s="2">
        <v>41</v>
      </c>
      <c r="K1215" s="2" t="s">
        <v>129</v>
      </c>
      <c r="L1215" s="2">
        <v>25213</v>
      </c>
      <c r="M1215" s="2" t="s">
        <v>130</v>
      </c>
      <c r="N1215" s="2">
        <v>50</v>
      </c>
      <c r="O1215" s="2">
        <v>153229</v>
      </c>
      <c r="P1215" s="2">
        <v>3064.58</v>
      </c>
    </row>
    <row r="1216" spans="1:16" outlineLevel="1" x14ac:dyDescent="0.2">
      <c r="A1216" s="5"/>
      <c r="D1216" s="3" t="s">
        <v>699</v>
      </c>
      <c r="N1216" s="2">
        <f>SUBTOTAL(9,N1215:N1215)</f>
        <v>50</v>
      </c>
      <c r="O1216" s="2">
        <f>SUBTOTAL(9,O1215:O1215)</f>
        <v>153229</v>
      </c>
    </row>
    <row r="1217" spans="1:16" outlineLevel="2" x14ac:dyDescent="0.2">
      <c r="A1217" s="5">
        <v>46066</v>
      </c>
      <c r="B1217" s="2">
        <v>156949</v>
      </c>
      <c r="C1217" s="2">
        <v>4</v>
      </c>
      <c r="D1217" s="2" t="s">
        <v>128</v>
      </c>
      <c r="E1217" s="2" t="s">
        <v>23</v>
      </c>
      <c r="F1217" s="2" t="s">
        <v>47</v>
      </c>
      <c r="G1217" s="2" t="s">
        <v>22</v>
      </c>
      <c r="H1217" s="2" t="s">
        <v>23</v>
      </c>
      <c r="I1217" s="2" t="s">
        <v>23</v>
      </c>
      <c r="J1217" s="2">
        <v>1</v>
      </c>
      <c r="K1217" s="2" t="s">
        <v>24</v>
      </c>
      <c r="L1217" s="2">
        <v>25213</v>
      </c>
      <c r="M1217" s="2" t="s">
        <v>130</v>
      </c>
      <c r="N1217" s="2">
        <v>3</v>
      </c>
      <c r="O1217" s="2">
        <v>251141.1</v>
      </c>
      <c r="P1217" s="2">
        <v>83713.7</v>
      </c>
    </row>
    <row r="1218" spans="1:16" outlineLevel="1" x14ac:dyDescent="0.2">
      <c r="A1218" s="5"/>
      <c r="D1218" s="3" t="s">
        <v>732</v>
      </c>
      <c r="N1218" s="2">
        <f>SUBTOTAL(9,N1217:N1217)</f>
        <v>3</v>
      </c>
      <c r="O1218" s="2">
        <f>SUBTOTAL(9,O1217:O1217)</f>
        <v>251141.1</v>
      </c>
    </row>
    <row r="1219" spans="1:16" outlineLevel="2" x14ac:dyDescent="0.2">
      <c r="A1219" s="5">
        <v>46066</v>
      </c>
      <c r="B1219" s="2">
        <v>156949</v>
      </c>
      <c r="C1219" s="2">
        <v>5</v>
      </c>
      <c r="D1219" s="2" t="s">
        <v>207</v>
      </c>
      <c r="E1219" s="2" t="s">
        <v>23</v>
      </c>
      <c r="F1219" s="2" t="s">
        <v>47</v>
      </c>
      <c r="G1219" s="2" t="s">
        <v>22</v>
      </c>
      <c r="H1219" s="2" t="s">
        <v>23</v>
      </c>
      <c r="I1219" s="2" t="s">
        <v>23</v>
      </c>
      <c r="J1219" s="2">
        <v>1</v>
      </c>
      <c r="K1219" s="2" t="s">
        <v>24</v>
      </c>
      <c r="L1219" s="2">
        <v>25213</v>
      </c>
      <c r="M1219" s="2" t="s">
        <v>130</v>
      </c>
      <c r="N1219" s="2">
        <v>3</v>
      </c>
      <c r="O1219" s="2">
        <v>217537.32</v>
      </c>
      <c r="P1219" s="2">
        <v>72512.44</v>
      </c>
    </row>
    <row r="1220" spans="1:16" outlineLevel="2" x14ac:dyDescent="0.2">
      <c r="A1220" s="5">
        <v>46066</v>
      </c>
      <c r="B1220" s="2">
        <v>156949</v>
      </c>
      <c r="C1220" s="2">
        <v>6</v>
      </c>
      <c r="D1220" s="2" t="s">
        <v>207</v>
      </c>
      <c r="E1220" s="2" t="s">
        <v>23</v>
      </c>
      <c r="F1220" s="2" t="s">
        <v>47</v>
      </c>
      <c r="G1220" s="2" t="s">
        <v>210</v>
      </c>
      <c r="H1220" s="2" t="s">
        <v>23</v>
      </c>
      <c r="I1220" s="2" t="s">
        <v>23</v>
      </c>
      <c r="J1220" s="2">
        <v>1</v>
      </c>
      <c r="K1220" s="2" t="s">
        <v>24</v>
      </c>
      <c r="L1220" s="2">
        <v>25213</v>
      </c>
      <c r="M1220" s="2" t="s">
        <v>130</v>
      </c>
      <c r="N1220" s="2">
        <v>2</v>
      </c>
      <c r="O1220" s="2">
        <v>137557.37</v>
      </c>
      <c r="P1220" s="2">
        <v>68778.69</v>
      </c>
    </row>
    <row r="1221" spans="1:16" outlineLevel="1" x14ac:dyDescent="0.2">
      <c r="A1221" s="5"/>
      <c r="D1221" s="3" t="s">
        <v>699</v>
      </c>
      <c r="N1221" s="2">
        <f>SUBTOTAL(9,N1219:N1220)</f>
        <v>5</v>
      </c>
      <c r="O1221" s="2">
        <f>SUBTOTAL(9,O1219:O1220)</f>
        <v>355094.69</v>
      </c>
    </row>
    <row r="1222" spans="1:16" outlineLevel="2" x14ac:dyDescent="0.2">
      <c r="A1222" s="5">
        <v>46066</v>
      </c>
      <c r="B1222" s="2">
        <v>156950</v>
      </c>
      <c r="C1222" s="2">
        <v>1</v>
      </c>
      <c r="D1222" s="2" t="s">
        <v>57</v>
      </c>
      <c r="E1222" s="2" t="s">
        <v>308</v>
      </c>
      <c r="F1222" s="2" t="s">
        <v>31</v>
      </c>
      <c r="G1222" s="2" t="s">
        <v>22</v>
      </c>
      <c r="H1222" s="2" t="s">
        <v>23</v>
      </c>
      <c r="I1222" s="2" t="s">
        <v>309</v>
      </c>
      <c r="J1222" s="2">
        <v>1</v>
      </c>
      <c r="K1222" s="2" t="s">
        <v>24</v>
      </c>
      <c r="L1222" s="2">
        <v>226</v>
      </c>
      <c r="M1222" s="2" t="s">
        <v>59</v>
      </c>
      <c r="N1222" s="2">
        <v>42</v>
      </c>
      <c r="O1222" s="2">
        <v>2083264.2</v>
      </c>
      <c r="P1222" s="2">
        <v>49601.53</v>
      </c>
    </row>
    <row r="1223" spans="1:16" outlineLevel="2" x14ac:dyDescent="0.2">
      <c r="A1223" s="5">
        <v>46066</v>
      </c>
      <c r="B1223" s="2">
        <v>156950</v>
      </c>
      <c r="C1223" s="2">
        <v>2</v>
      </c>
      <c r="D1223" s="2" t="s">
        <v>57</v>
      </c>
      <c r="E1223" s="2" t="s">
        <v>308</v>
      </c>
      <c r="F1223" s="2" t="s">
        <v>31</v>
      </c>
      <c r="G1223" s="2" t="s">
        <v>22</v>
      </c>
      <c r="H1223" s="2" t="s">
        <v>23</v>
      </c>
      <c r="I1223" s="2" t="s">
        <v>345</v>
      </c>
      <c r="J1223" s="2">
        <v>1</v>
      </c>
      <c r="K1223" s="2" t="s">
        <v>24</v>
      </c>
      <c r="L1223" s="2">
        <v>226</v>
      </c>
      <c r="M1223" s="2" t="s">
        <v>59</v>
      </c>
      <c r="N1223" s="2">
        <v>42</v>
      </c>
      <c r="O1223" s="2">
        <v>1839776.4</v>
      </c>
      <c r="P1223" s="2">
        <v>43804.2</v>
      </c>
    </row>
    <row r="1224" spans="1:16" outlineLevel="1" x14ac:dyDescent="0.2">
      <c r="A1224" s="5"/>
      <c r="D1224" s="3" t="s">
        <v>716</v>
      </c>
      <c r="N1224" s="2">
        <f>SUBTOTAL(9,N1222:N1223)</f>
        <v>84</v>
      </c>
      <c r="O1224" s="2">
        <f>SUBTOTAL(9,O1222:O1223)</f>
        <v>3923040.5999999996</v>
      </c>
    </row>
    <row r="1225" spans="1:16" outlineLevel="2" x14ac:dyDescent="0.2">
      <c r="A1225" s="5">
        <v>46066</v>
      </c>
      <c r="B1225" s="2">
        <v>156950</v>
      </c>
      <c r="C1225" s="2">
        <v>3</v>
      </c>
      <c r="D1225" s="2" t="s">
        <v>107</v>
      </c>
      <c r="E1225" s="2" t="s">
        <v>314</v>
      </c>
      <c r="F1225" s="2" t="s">
        <v>31</v>
      </c>
      <c r="G1225" s="2" t="s">
        <v>22</v>
      </c>
      <c r="H1225" s="2" t="s">
        <v>23</v>
      </c>
      <c r="I1225" s="2" t="s">
        <v>23</v>
      </c>
      <c r="J1225" s="2">
        <v>11</v>
      </c>
      <c r="K1225" s="2" t="s">
        <v>257</v>
      </c>
      <c r="L1225" s="2">
        <v>226</v>
      </c>
      <c r="M1225" s="2" t="s">
        <v>59</v>
      </c>
      <c r="N1225" s="2">
        <v>32</v>
      </c>
      <c r="O1225" s="2">
        <v>733552</v>
      </c>
      <c r="P1225" s="2">
        <v>22923.5</v>
      </c>
    </row>
    <row r="1226" spans="1:16" outlineLevel="2" x14ac:dyDescent="0.2">
      <c r="A1226" s="5">
        <v>46066</v>
      </c>
      <c r="B1226" s="2">
        <v>156950</v>
      </c>
      <c r="C1226" s="2">
        <v>4</v>
      </c>
      <c r="D1226" s="2" t="s">
        <v>107</v>
      </c>
      <c r="E1226" s="2" t="s">
        <v>254</v>
      </c>
      <c r="F1226" s="2" t="s">
        <v>31</v>
      </c>
      <c r="G1226" s="2" t="s">
        <v>22</v>
      </c>
      <c r="H1226" s="2" t="s">
        <v>23</v>
      </c>
      <c r="I1226" s="2" t="s">
        <v>23</v>
      </c>
      <c r="J1226" s="2">
        <v>11</v>
      </c>
      <c r="K1226" s="2" t="s">
        <v>257</v>
      </c>
      <c r="L1226" s="2">
        <v>226</v>
      </c>
      <c r="M1226" s="2" t="s">
        <v>59</v>
      </c>
      <c r="N1226" s="2">
        <v>32</v>
      </c>
      <c r="O1226" s="2">
        <v>727479.07</v>
      </c>
      <c r="P1226" s="2">
        <v>22733.72</v>
      </c>
    </row>
    <row r="1227" spans="1:16" outlineLevel="1" x14ac:dyDescent="0.2">
      <c r="A1227" s="5"/>
      <c r="D1227" s="3" t="s">
        <v>726</v>
      </c>
      <c r="N1227" s="2">
        <f>SUBTOTAL(9,N1225:N1226)</f>
        <v>64</v>
      </c>
      <c r="O1227" s="2">
        <f>SUBTOTAL(9,O1225:O1226)</f>
        <v>1461031.0699999998</v>
      </c>
    </row>
    <row r="1228" spans="1:16" outlineLevel="2" x14ac:dyDescent="0.2">
      <c r="A1228" s="5">
        <v>46066</v>
      </c>
      <c r="B1228" s="2">
        <v>156951</v>
      </c>
      <c r="C1228" s="2">
        <v>1</v>
      </c>
      <c r="D1228" s="2" t="s">
        <v>226</v>
      </c>
      <c r="E1228" s="2" t="s">
        <v>227</v>
      </c>
      <c r="F1228" s="2" t="s">
        <v>47</v>
      </c>
      <c r="G1228" s="2" t="s">
        <v>22</v>
      </c>
      <c r="H1228" s="2" t="s">
        <v>23</v>
      </c>
      <c r="I1228" s="2" t="s">
        <v>23</v>
      </c>
      <c r="J1228" s="2">
        <v>41</v>
      </c>
      <c r="K1228" s="2" t="s">
        <v>129</v>
      </c>
      <c r="L1228" s="2">
        <v>1964</v>
      </c>
      <c r="M1228" s="2" t="s">
        <v>49</v>
      </c>
      <c r="N1228" s="2">
        <v>57</v>
      </c>
      <c r="O1228" s="2">
        <v>1153672</v>
      </c>
      <c r="P1228" s="2">
        <v>20239.86</v>
      </c>
    </row>
    <row r="1229" spans="1:16" outlineLevel="1" x14ac:dyDescent="0.2">
      <c r="A1229" s="5"/>
      <c r="D1229" s="3" t="s">
        <v>736</v>
      </c>
      <c r="N1229" s="2">
        <f>SUBTOTAL(9,N1228:N1228)</f>
        <v>57</v>
      </c>
      <c r="O1229" s="2">
        <f>SUBTOTAL(9,O1228:O1228)</f>
        <v>1153672</v>
      </c>
    </row>
    <row r="1230" spans="1:16" outlineLevel="2" x14ac:dyDescent="0.2">
      <c r="A1230" s="5">
        <v>46066</v>
      </c>
      <c r="B1230" s="2">
        <v>156951</v>
      </c>
      <c r="C1230" s="2">
        <v>2</v>
      </c>
      <c r="D1230" s="2" t="s">
        <v>45</v>
      </c>
      <c r="E1230" s="2" t="s">
        <v>227</v>
      </c>
      <c r="F1230" s="2" t="s">
        <v>47</v>
      </c>
      <c r="G1230" s="2" t="s">
        <v>22</v>
      </c>
      <c r="H1230" s="2" t="s">
        <v>23</v>
      </c>
      <c r="I1230" s="2" t="s">
        <v>23</v>
      </c>
      <c r="J1230" s="2">
        <v>41</v>
      </c>
      <c r="K1230" s="2" t="s">
        <v>129</v>
      </c>
      <c r="L1230" s="2">
        <v>1964</v>
      </c>
      <c r="M1230" s="2" t="s">
        <v>49</v>
      </c>
      <c r="N1230" s="2">
        <v>24</v>
      </c>
      <c r="O1230" s="2">
        <v>334539.36</v>
      </c>
      <c r="P1230" s="2">
        <v>13939.14</v>
      </c>
    </row>
    <row r="1231" spans="1:16" outlineLevel="2" x14ac:dyDescent="0.2">
      <c r="A1231" s="5">
        <v>46066</v>
      </c>
      <c r="B1231" s="2">
        <v>156951</v>
      </c>
      <c r="C1231" s="2">
        <v>3</v>
      </c>
      <c r="D1231" s="2" t="s">
        <v>45</v>
      </c>
      <c r="E1231" s="2" t="s">
        <v>125</v>
      </c>
      <c r="F1231" s="2" t="s">
        <v>47</v>
      </c>
      <c r="G1231" s="2" t="s">
        <v>22</v>
      </c>
      <c r="H1231" s="2" t="s">
        <v>23</v>
      </c>
      <c r="I1231" s="2" t="s">
        <v>23</v>
      </c>
      <c r="J1231" s="2">
        <v>41</v>
      </c>
      <c r="K1231" s="2" t="s">
        <v>129</v>
      </c>
      <c r="L1231" s="2">
        <v>1964</v>
      </c>
      <c r="M1231" s="2" t="s">
        <v>49</v>
      </c>
      <c r="N1231" s="2">
        <v>34</v>
      </c>
      <c r="O1231" s="2">
        <v>226102.8</v>
      </c>
      <c r="P1231" s="2">
        <v>6650.08</v>
      </c>
    </row>
    <row r="1232" spans="1:16" outlineLevel="1" x14ac:dyDescent="0.2">
      <c r="A1232" s="5"/>
      <c r="D1232" s="3" t="s">
        <v>733</v>
      </c>
      <c r="N1232" s="2">
        <f>SUBTOTAL(9,N1230:N1231)</f>
        <v>58</v>
      </c>
      <c r="O1232" s="2">
        <f>SUBTOTAL(9,O1230:O1231)</f>
        <v>560642.15999999992</v>
      </c>
    </row>
    <row r="1233" spans="1:16" outlineLevel="2" x14ac:dyDescent="0.2">
      <c r="A1233" s="5">
        <v>46066</v>
      </c>
      <c r="B1233" s="2">
        <v>156951</v>
      </c>
      <c r="C1233" s="2">
        <v>4</v>
      </c>
      <c r="D1233" s="2" t="s">
        <v>226</v>
      </c>
      <c r="E1233" s="2" t="s">
        <v>151</v>
      </c>
      <c r="F1233" s="2" t="s">
        <v>47</v>
      </c>
      <c r="G1233" s="2" t="s">
        <v>22</v>
      </c>
      <c r="H1233" s="2" t="s">
        <v>23</v>
      </c>
      <c r="I1233" s="2" t="s">
        <v>23</v>
      </c>
      <c r="J1233" s="2">
        <v>2</v>
      </c>
      <c r="K1233" s="2" t="s">
        <v>48</v>
      </c>
      <c r="L1233" s="2">
        <v>1964</v>
      </c>
      <c r="M1233" s="2" t="s">
        <v>49</v>
      </c>
      <c r="N1233" s="2">
        <v>16</v>
      </c>
      <c r="O1233" s="2">
        <v>165152.99</v>
      </c>
      <c r="P1233" s="2">
        <v>10322.06</v>
      </c>
    </row>
    <row r="1234" spans="1:16" outlineLevel="1" x14ac:dyDescent="0.2">
      <c r="A1234" s="5"/>
      <c r="D1234" s="3" t="s">
        <v>736</v>
      </c>
      <c r="N1234" s="2">
        <f>SUBTOTAL(9,N1233:N1233)</f>
        <v>16</v>
      </c>
      <c r="O1234" s="2">
        <f>SUBTOTAL(9,O1233:O1233)</f>
        <v>165152.99</v>
      </c>
    </row>
    <row r="1235" spans="1:16" outlineLevel="2" x14ac:dyDescent="0.2">
      <c r="A1235" s="5">
        <v>46066</v>
      </c>
      <c r="B1235" s="2">
        <v>156952</v>
      </c>
      <c r="C1235" s="2">
        <v>1</v>
      </c>
      <c r="D1235" s="2" t="s">
        <v>143</v>
      </c>
      <c r="E1235" s="2" t="s">
        <v>23</v>
      </c>
      <c r="F1235" s="2" t="s">
        <v>144</v>
      </c>
      <c r="G1235" s="2" t="s">
        <v>22</v>
      </c>
      <c r="H1235" s="2" t="s">
        <v>23</v>
      </c>
      <c r="I1235" s="2" t="s">
        <v>23</v>
      </c>
      <c r="J1235" s="2">
        <v>1</v>
      </c>
      <c r="K1235" s="2" t="s">
        <v>24</v>
      </c>
      <c r="L1235" s="2">
        <v>2101</v>
      </c>
      <c r="M1235" s="2" t="s">
        <v>145</v>
      </c>
      <c r="N1235" s="2">
        <v>183</v>
      </c>
      <c r="O1235" s="2">
        <v>1835895.1</v>
      </c>
      <c r="P1235" s="2">
        <v>10032.209999999999</v>
      </c>
    </row>
    <row r="1236" spans="1:16" outlineLevel="1" x14ac:dyDescent="0.2">
      <c r="A1236" s="5"/>
      <c r="D1236" s="3" t="s">
        <v>706</v>
      </c>
      <c r="N1236" s="2">
        <f>SUBTOTAL(9,N1235:N1235)</f>
        <v>183</v>
      </c>
      <c r="O1236" s="2">
        <f>SUBTOTAL(9,O1235:O1235)</f>
        <v>1835895.1</v>
      </c>
    </row>
    <row r="1237" spans="1:16" outlineLevel="2" x14ac:dyDescent="0.2">
      <c r="A1237" s="5">
        <v>46066</v>
      </c>
      <c r="B1237" s="2">
        <v>156954</v>
      </c>
      <c r="C1237" s="2">
        <v>502</v>
      </c>
      <c r="D1237" s="2" t="s">
        <v>45</v>
      </c>
      <c r="E1237" s="2" t="s">
        <v>46</v>
      </c>
      <c r="F1237" s="2" t="s">
        <v>23</v>
      </c>
      <c r="G1237" s="2" t="s">
        <v>22</v>
      </c>
      <c r="H1237" s="2" t="s">
        <v>23</v>
      </c>
      <c r="I1237" s="2" t="s">
        <v>23</v>
      </c>
      <c r="J1237" s="2">
        <v>2</v>
      </c>
      <c r="K1237" s="2" t="s">
        <v>48</v>
      </c>
      <c r="L1237" s="2">
        <v>341</v>
      </c>
      <c r="M1237" s="2" t="s">
        <v>142</v>
      </c>
      <c r="N1237" s="2">
        <v>2</v>
      </c>
      <c r="O1237" s="2">
        <v>8742.7800000000007</v>
      </c>
      <c r="P1237" s="2">
        <v>4371.3900000000003</v>
      </c>
    </row>
    <row r="1238" spans="1:16" outlineLevel="1" x14ac:dyDescent="0.2">
      <c r="A1238" s="5"/>
      <c r="D1238" s="3" t="s">
        <v>733</v>
      </c>
      <c r="N1238" s="2">
        <f>SUBTOTAL(9,N1237:N1237)</f>
        <v>2</v>
      </c>
      <c r="O1238" s="2">
        <f>SUBTOTAL(9,O1237:O1237)</f>
        <v>8742.7800000000007</v>
      </c>
    </row>
    <row r="1239" spans="1:16" outlineLevel="2" x14ac:dyDescent="0.2">
      <c r="A1239" s="5">
        <v>46073</v>
      </c>
      <c r="B1239" s="2">
        <v>156957</v>
      </c>
      <c r="C1239" s="2">
        <v>2</v>
      </c>
      <c r="D1239" s="2" t="s">
        <v>60</v>
      </c>
      <c r="E1239" s="2" t="s">
        <v>346</v>
      </c>
      <c r="F1239" s="2" t="s">
        <v>55</v>
      </c>
      <c r="G1239" s="2" t="s">
        <v>55</v>
      </c>
      <c r="H1239" s="2" t="s">
        <v>23</v>
      </c>
      <c r="I1239" s="2" t="s">
        <v>23</v>
      </c>
      <c r="J1239" s="2">
        <v>1</v>
      </c>
      <c r="K1239" s="2" t="s">
        <v>24</v>
      </c>
      <c r="L1239" s="2">
        <v>2353</v>
      </c>
      <c r="M1239" s="2" t="s">
        <v>347</v>
      </c>
      <c r="N1239" s="2">
        <v>28</v>
      </c>
      <c r="O1239" s="2">
        <v>315916.53000000003</v>
      </c>
      <c r="P1239" s="2">
        <v>11282.73</v>
      </c>
    </row>
    <row r="1240" spans="1:16" outlineLevel="1" x14ac:dyDescent="0.2">
      <c r="A1240" s="5"/>
      <c r="D1240" s="3" t="s">
        <v>728</v>
      </c>
      <c r="N1240" s="2">
        <f>SUBTOTAL(9,N1239:N1239)</f>
        <v>28</v>
      </c>
      <c r="O1240" s="2">
        <f>SUBTOTAL(9,O1239:O1239)</f>
        <v>315916.53000000003</v>
      </c>
    </row>
    <row r="1241" spans="1:16" outlineLevel="2" x14ac:dyDescent="0.2">
      <c r="A1241" s="5">
        <v>46072</v>
      </c>
      <c r="B1241" s="2">
        <v>156958</v>
      </c>
      <c r="C1241" s="2">
        <v>1</v>
      </c>
      <c r="D1241" s="2" t="s">
        <v>83</v>
      </c>
      <c r="E1241" s="2" t="s">
        <v>348</v>
      </c>
      <c r="F1241" s="2" t="s">
        <v>47</v>
      </c>
      <c r="G1241" s="2" t="s">
        <v>22</v>
      </c>
      <c r="H1241" s="2" t="s">
        <v>23</v>
      </c>
      <c r="I1241" s="2" t="s">
        <v>23</v>
      </c>
      <c r="J1241" s="2">
        <v>2</v>
      </c>
      <c r="K1241" s="2" t="s">
        <v>48</v>
      </c>
      <c r="L1241" s="2">
        <v>2353</v>
      </c>
      <c r="M1241" s="2" t="s">
        <v>347</v>
      </c>
      <c r="N1241" s="2">
        <v>137</v>
      </c>
      <c r="O1241" s="2">
        <v>2063012.48</v>
      </c>
      <c r="P1241" s="2">
        <v>15058.49</v>
      </c>
    </row>
    <row r="1242" spans="1:16" outlineLevel="1" x14ac:dyDescent="0.2">
      <c r="A1242" s="5"/>
      <c r="D1242" s="3" t="s">
        <v>701</v>
      </c>
      <c r="N1242" s="2">
        <f>SUBTOTAL(9,N1241:N1241)</f>
        <v>137</v>
      </c>
      <c r="O1242" s="2">
        <f>SUBTOTAL(9,O1241:O1241)</f>
        <v>2063012.48</v>
      </c>
    </row>
    <row r="1243" spans="1:16" outlineLevel="2" x14ac:dyDescent="0.2">
      <c r="A1243" s="5">
        <v>46089</v>
      </c>
      <c r="B1243" s="2">
        <v>156959</v>
      </c>
      <c r="C1243" s="2">
        <v>3</v>
      </c>
      <c r="D1243" s="2" t="s">
        <v>29</v>
      </c>
      <c r="E1243" s="2" t="s">
        <v>55</v>
      </c>
      <c r="F1243" s="2" t="s">
        <v>23</v>
      </c>
      <c r="G1243" s="2" t="s">
        <v>23</v>
      </c>
      <c r="H1243" s="2" t="s">
        <v>23</v>
      </c>
      <c r="I1243" s="2" t="s">
        <v>23</v>
      </c>
      <c r="J1243" s="2">
        <v>1</v>
      </c>
      <c r="K1243" s="2" t="s">
        <v>24</v>
      </c>
      <c r="L1243" s="2">
        <v>25177</v>
      </c>
      <c r="M1243" s="2" t="s">
        <v>32</v>
      </c>
      <c r="N1243" s="2">
        <v>46</v>
      </c>
      <c r="O1243" s="2">
        <v>158145.70000000001</v>
      </c>
      <c r="P1243" s="2">
        <v>3437.95</v>
      </c>
    </row>
    <row r="1244" spans="1:16" outlineLevel="2" x14ac:dyDescent="0.2">
      <c r="A1244" s="5">
        <v>46072</v>
      </c>
      <c r="B1244" s="2">
        <v>156959</v>
      </c>
      <c r="C1244" s="2">
        <v>4</v>
      </c>
      <c r="D1244" s="2" t="s">
        <v>29</v>
      </c>
      <c r="E1244" s="2" t="s">
        <v>55</v>
      </c>
      <c r="F1244" s="2" t="s">
        <v>31</v>
      </c>
      <c r="G1244" s="2" t="s">
        <v>55</v>
      </c>
      <c r="H1244" s="2" t="s">
        <v>23</v>
      </c>
      <c r="I1244" s="2" t="s">
        <v>23</v>
      </c>
      <c r="J1244" s="2">
        <v>1</v>
      </c>
      <c r="K1244" s="2" t="s">
        <v>24</v>
      </c>
      <c r="L1244" s="2">
        <v>25177</v>
      </c>
      <c r="M1244" s="2" t="s">
        <v>32</v>
      </c>
      <c r="N1244" s="2">
        <v>38</v>
      </c>
      <c r="O1244" s="2">
        <v>275325.3</v>
      </c>
      <c r="P1244" s="2">
        <v>7245.4</v>
      </c>
    </row>
    <row r="1245" spans="1:16" outlineLevel="2" x14ac:dyDescent="0.2">
      <c r="A1245" s="5">
        <v>46089</v>
      </c>
      <c r="B1245" s="2">
        <v>156959</v>
      </c>
      <c r="C1245" s="2">
        <v>5</v>
      </c>
      <c r="D1245" s="2" t="s">
        <v>29</v>
      </c>
      <c r="E1245" s="2" t="s">
        <v>55</v>
      </c>
      <c r="F1245" s="2" t="s">
        <v>23</v>
      </c>
      <c r="G1245" s="2" t="s">
        <v>23</v>
      </c>
      <c r="H1245" s="2" t="s">
        <v>23</v>
      </c>
      <c r="I1245" s="2" t="s">
        <v>23</v>
      </c>
      <c r="J1245" s="2">
        <v>1</v>
      </c>
      <c r="K1245" s="2" t="s">
        <v>24</v>
      </c>
      <c r="L1245" s="2">
        <v>25177</v>
      </c>
      <c r="M1245" s="2" t="s">
        <v>32</v>
      </c>
      <c r="N1245" s="2">
        <v>72</v>
      </c>
      <c r="O1245" s="2">
        <v>247532.4</v>
      </c>
      <c r="P1245" s="2">
        <v>3437.95</v>
      </c>
    </row>
    <row r="1246" spans="1:16" outlineLevel="1" x14ac:dyDescent="0.2">
      <c r="A1246" s="5"/>
      <c r="D1246" s="3" t="s">
        <v>703</v>
      </c>
      <c r="N1246" s="2">
        <f>SUBTOTAL(9,N1243:N1245)</f>
        <v>156</v>
      </c>
      <c r="O1246" s="2">
        <f>SUBTOTAL(9,O1243:O1245)</f>
        <v>681003.4</v>
      </c>
    </row>
    <row r="1247" spans="1:16" outlineLevel="2" x14ac:dyDescent="0.2">
      <c r="A1247" s="5">
        <v>46092</v>
      </c>
      <c r="B1247" s="2">
        <v>157000</v>
      </c>
      <c r="C1247" s="2">
        <v>2</v>
      </c>
      <c r="D1247" s="2" t="s">
        <v>119</v>
      </c>
      <c r="E1247" s="2" t="s">
        <v>120</v>
      </c>
      <c r="F1247" s="2" t="s">
        <v>195</v>
      </c>
      <c r="G1247" s="2" t="s">
        <v>22</v>
      </c>
      <c r="H1247" s="2" t="s">
        <v>23</v>
      </c>
      <c r="I1247" s="2" t="s">
        <v>124</v>
      </c>
      <c r="J1247" s="2">
        <v>1</v>
      </c>
      <c r="K1247" s="2" t="s">
        <v>24</v>
      </c>
      <c r="L1247" s="2">
        <v>2120</v>
      </c>
      <c r="M1247" s="2" t="s">
        <v>196</v>
      </c>
      <c r="N1247" s="2">
        <v>15</v>
      </c>
      <c r="O1247" s="2">
        <v>415610.55</v>
      </c>
      <c r="P1247" s="2">
        <v>27707.37</v>
      </c>
    </row>
    <row r="1248" spans="1:16" outlineLevel="1" x14ac:dyDescent="0.2">
      <c r="A1248" s="5"/>
      <c r="D1248" s="3" t="s">
        <v>708</v>
      </c>
      <c r="N1248" s="2">
        <f>SUBTOTAL(9,N1247:N1247)</f>
        <v>15</v>
      </c>
      <c r="O1248" s="2">
        <f>SUBTOTAL(9,O1247:O1247)</f>
        <v>415610.55</v>
      </c>
    </row>
    <row r="1249" spans="1:16" outlineLevel="2" x14ac:dyDescent="0.2">
      <c r="A1249" s="5">
        <v>46066</v>
      </c>
      <c r="B1249" s="2">
        <v>157001</v>
      </c>
      <c r="C1249" s="2">
        <v>1</v>
      </c>
      <c r="D1249" s="2" t="s">
        <v>178</v>
      </c>
      <c r="E1249" s="2" t="s">
        <v>23</v>
      </c>
      <c r="F1249" s="2" t="s">
        <v>108</v>
      </c>
      <c r="G1249" s="2" t="s">
        <v>22</v>
      </c>
      <c r="H1249" s="2" t="s">
        <v>23</v>
      </c>
      <c r="I1249" s="2" t="s">
        <v>100</v>
      </c>
      <c r="J1249" s="2">
        <v>1</v>
      </c>
      <c r="K1249" s="2" t="s">
        <v>24</v>
      </c>
      <c r="L1249" s="2">
        <v>1037</v>
      </c>
      <c r="M1249" s="2" t="s">
        <v>181</v>
      </c>
      <c r="N1249" s="2">
        <v>165</v>
      </c>
      <c r="O1249" s="2">
        <v>4431700.38</v>
      </c>
      <c r="P1249" s="2">
        <v>26858.79</v>
      </c>
    </row>
    <row r="1250" spans="1:16" outlineLevel="2" x14ac:dyDescent="0.2">
      <c r="A1250" s="5">
        <v>46080</v>
      </c>
      <c r="B1250" s="2">
        <v>157001</v>
      </c>
      <c r="C1250" s="2">
        <v>2</v>
      </c>
      <c r="D1250" s="2" t="s">
        <v>178</v>
      </c>
      <c r="E1250" s="2" t="s">
        <v>179</v>
      </c>
      <c r="F1250" s="2" t="s">
        <v>108</v>
      </c>
      <c r="G1250" s="2" t="s">
        <v>22</v>
      </c>
      <c r="H1250" s="2" t="s">
        <v>23</v>
      </c>
      <c r="I1250" s="2" t="s">
        <v>23</v>
      </c>
      <c r="J1250" s="2">
        <v>1</v>
      </c>
      <c r="K1250" s="2" t="s">
        <v>24</v>
      </c>
      <c r="L1250" s="2">
        <v>1037</v>
      </c>
      <c r="M1250" s="2" t="s">
        <v>181</v>
      </c>
      <c r="N1250" s="2">
        <v>60</v>
      </c>
      <c r="O1250" s="2">
        <v>1480421.37</v>
      </c>
      <c r="P1250" s="2">
        <v>24673.69</v>
      </c>
    </row>
    <row r="1251" spans="1:16" outlineLevel="2" x14ac:dyDescent="0.2">
      <c r="A1251" s="5">
        <v>46066</v>
      </c>
      <c r="B1251" s="2">
        <v>157001</v>
      </c>
      <c r="C1251" s="2">
        <v>4</v>
      </c>
      <c r="D1251" s="2" t="s">
        <v>178</v>
      </c>
      <c r="E1251" s="2" t="s">
        <v>23</v>
      </c>
      <c r="F1251" s="2" t="s">
        <v>108</v>
      </c>
      <c r="G1251" s="2" t="s">
        <v>22</v>
      </c>
      <c r="H1251" s="2" t="s">
        <v>23</v>
      </c>
      <c r="I1251" s="2" t="s">
        <v>109</v>
      </c>
      <c r="J1251" s="2">
        <v>1</v>
      </c>
      <c r="K1251" s="2" t="s">
        <v>24</v>
      </c>
      <c r="L1251" s="2">
        <v>1037</v>
      </c>
      <c r="M1251" s="2" t="s">
        <v>181</v>
      </c>
      <c r="N1251" s="2">
        <v>214</v>
      </c>
      <c r="O1251" s="2">
        <v>6365838.3300000001</v>
      </c>
      <c r="P1251" s="2">
        <v>29746.91</v>
      </c>
    </row>
    <row r="1252" spans="1:16" outlineLevel="2" x14ac:dyDescent="0.2">
      <c r="A1252" s="5">
        <v>46066</v>
      </c>
      <c r="B1252" s="2">
        <v>157001</v>
      </c>
      <c r="C1252" s="2">
        <v>5</v>
      </c>
      <c r="D1252" s="2" t="s">
        <v>178</v>
      </c>
      <c r="E1252" s="2" t="s">
        <v>179</v>
      </c>
      <c r="F1252" s="2" t="s">
        <v>108</v>
      </c>
      <c r="G1252" s="2" t="s">
        <v>22</v>
      </c>
      <c r="H1252" s="2" t="s">
        <v>23</v>
      </c>
      <c r="I1252" s="2" t="s">
        <v>152</v>
      </c>
      <c r="J1252" s="2">
        <v>1</v>
      </c>
      <c r="K1252" s="2" t="s">
        <v>24</v>
      </c>
      <c r="L1252" s="2">
        <v>1037</v>
      </c>
      <c r="M1252" s="2" t="s">
        <v>181</v>
      </c>
      <c r="N1252" s="2">
        <v>408</v>
      </c>
      <c r="O1252" s="2">
        <v>14305908.34</v>
      </c>
      <c r="P1252" s="2">
        <v>35063.5</v>
      </c>
    </row>
    <row r="1253" spans="1:16" outlineLevel="1" x14ac:dyDescent="0.2">
      <c r="A1253" s="5"/>
      <c r="D1253" s="3" t="s">
        <v>730</v>
      </c>
      <c r="N1253" s="2">
        <f>SUBTOTAL(9,N1249:N1252)</f>
        <v>847</v>
      </c>
      <c r="O1253" s="2">
        <f>SUBTOTAL(9,O1249:O1252)</f>
        <v>26583868.420000002</v>
      </c>
    </row>
    <row r="1254" spans="1:16" outlineLevel="2" x14ac:dyDescent="0.2">
      <c r="A1254" s="5">
        <v>46070</v>
      </c>
      <c r="B1254" s="2">
        <v>157002</v>
      </c>
      <c r="C1254" s="2">
        <v>1</v>
      </c>
      <c r="D1254" s="2" t="s">
        <v>75</v>
      </c>
      <c r="E1254" s="2" t="s">
        <v>99</v>
      </c>
      <c r="F1254" s="2" t="s">
        <v>108</v>
      </c>
      <c r="G1254" s="2" t="s">
        <v>22</v>
      </c>
      <c r="H1254" s="2" t="s">
        <v>23</v>
      </c>
      <c r="I1254" s="2" t="s">
        <v>100</v>
      </c>
      <c r="J1254" s="2">
        <v>1</v>
      </c>
      <c r="K1254" s="2" t="s">
        <v>24</v>
      </c>
      <c r="L1254" s="2">
        <v>2024</v>
      </c>
      <c r="M1254" s="2" t="s">
        <v>76</v>
      </c>
      <c r="N1254" s="2">
        <v>160</v>
      </c>
      <c r="O1254" s="2">
        <v>4424294.87</v>
      </c>
      <c r="P1254" s="2">
        <v>27651.84</v>
      </c>
    </row>
    <row r="1255" spans="1:16" outlineLevel="2" x14ac:dyDescent="0.2">
      <c r="A1255" s="5">
        <v>46070</v>
      </c>
      <c r="B1255" s="2">
        <v>157002</v>
      </c>
      <c r="C1255" s="2">
        <v>2</v>
      </c>
      <c r="D1255" s="2" t="s">
        <v>75</v>
      </c>
      <c r="E1255" s="2" t="s">
        <v>99</v>
      </c>
      <c r="F1255" s="2" t="s">
        <v>108</v>
      </c>
      <c r="G1255" s="2" t="s">
        <v>22</v>
      </c>
      <c r="H1255" s="2" t="s">
        <v>23</v>
      </c>
      <c r="I1255" s="2" t="s">
        <v>109</v>
      </c>
      <c r="J1255" s="2">
        <v>1</v>
      </c>
      <c r="K1255" s="2" t="s">
        <v>24</v>
      </c>
      <c r="L1255" s="2">
        <v>2024</v>
      </c>
      <c r="M1255" s="2" t="s">
        <v>76</v>
      </c>
      <c r="N1255" s="2">
        <v>320</v>
      </c>
      <c r="O1255" s="2">
        <v>9366496.3200000003</v>
      </c>
      <c r="P1255" s="2">
        <v>29270.3</v>
      </c>
    </row>
    <row r="1256" spans="1:16" outlineLevel="2" x14ac:dyDescent="0.2">
      <c r="A1256" s="5">
        <v>46070</v>
      </c>
      <c r="B1256" s="2">
        <v>157002</v>
      </c>
      <c r="C1256" s="2">
        <v>3</v>
      </c>
      <c r="D1256" s="2" t="s">
        <v>75</v>
      </c>
      <c r="E1256" s="2" t="s">
        <v>99</v>
      </c>
      <c r="F1256" s="2" t="s">
        <v>108</v>
      </c>
      <c r="G1256" s="2" t="s">
        <v>22</v>
      </c>
      <c r="H1256" s="2" t="s">
        <v>23</v>
      </c>
      <c r="I1256" s="2" t="s">
        <v>36</v>
      </c>
      <c r="J1256" s="2">
        <v>1</v>
      </c>
      <c r="K1256" s="2" t="s">
        <v>24</v>
      </c>
      <c r="L1256" s="2">
        <v>2024</v>
      </c>
      <c r="M1256" s="2" t="s">
        <v>76</v>
      </c>
      <c r="N1256" s="2">
        <v>160</v>
      </c>
      <c r="O1256" s="2">
        <v>4885259.95</v>
      </c>
      <c r="P1256" s="2">
        <v>30532.87</v>
      </c>
    </row>
    <row r="1257" spans="1:16" outlineLevel="1" x14ac:dyDescent="0.2">
      <c r="A1257" s="5"/>
      <c r="D1257" s="3" t="s">
        <v>729</v>
      </c>
      <c r="N1257" s="2">
        <f>SUBTOTAL(9,N1254:N1256)</f>
        <v>640</v>
      </c>
      <c r="O1257" s="2">
        <f>SUBTOTAL(9,O1254:O1256)</f>
        <v>18676051.140000001</v>
      </c>
    </row>
    <row r="1258" spans="1:16" outlineLevel="2" x14ac:dyDescent="0.2">
      <c r="A1258" s="5">
        <v>46070</v>
      </c>
      <c r="B1258" s="2">
        <v>157004</v>
      </c>
      <c r="C1258" s="2">
        <v>1</v>
      </c>
      <c r="D1258" s="2" t="s">
        <v>38</v>
      </c>
      <c r="E1258" s="2" t="s">
        <v>39</v>
      </c>
      <c r="F1258" s="2" t="s">
        <v>290</v>
      </c>
      <c r="G1258" s="2" t="s">
        <v>349</v>
      </c>
      <c r="H1258" s="2" t="s">
        <v>23</v>
      </c>
      <c r="I1258" s="2" t="s">
        <v>23</v>
      </c>
      <c r="J1258" s="2">
        <v>1</v>
      </c>
      <c r="K1258" s="2" t="s">
        <v>24</v>
      </c>
      <c r="L1258" s="2">
        <v>2551</v>
      </c>
      <c r="M1258" s="2" t="s">
        <v>292</v>
      </c>
      <c r="N1258" s="2">
        <v>784</v>
      </c>
      <c r="O1258" s="2">
        <v>24991140.129999999</v>
      </c>
      <c r="P1258" s="2">
        <v>31876.45</v>
      </c>
    </row>
    <row r="1259" spans="1:16" outlineLevel="1" x14ac:dyDescent="0.2">
      <c r="A1259" s="5"/>
      <c r="D1259" s="3" t="s">
        <v>721</v>
      </c>
      <c r="N1259" s="2">
        <f>SUBTOTAL(9,N1258:N1258)</f>
        <v>784</v>
      </c>
      <c r="O1259" s="2">
        <f>SUBTOTAL(9,O1258:O1258)</f>
        <v>24991140.129999999</v>
      </c>
    </row>
    <row r="1260" spans="1:16" outlineLevel="2" x14ac:dyDescent="0.2">
      <c r="A1260" s="5">
        <v>46085</v>
      </c>
      <c r="B1260" s="2">
        <v>157005</v>
      </c>
      <c r="C1260" s="2">
        <v>2</v>
      </c>
      <c r="D1260" s="2" t="s">
        <v>102</v>
      </c>
      <c r="E1260" s="2" t="s">
        <v>23</v>
      </c>
      <c r="F1260" s="2" t="s">
        <v>40</v>
      </c>
      <c r="G1260" s="2" t="s">
        <v>22</v>
      </c>
      <c r="H1260" s="2" t="s">
        <v>23</v>
      </c>
      <c r="I1260" s="2" t="s">
        <v>23</v>
      </c>
      <c r="J1260" s="2">
        <v>1</v>
      </c>
      <c r="K1260" s="2" t="s">
        <v>24</v>
      </c>
      <c r="L1260" s="2">
        <v>25120</v>
      </c>
      <c r="M1260" s="2" t="s">
        <v>103</v>
      </c>
      <c r="N1260" s="2">
        <v>28</v>
      </c>
      <c r="O1260" s="2">
        <v>905554.29</v>
      </c>
      <c r="P1260" s="2">
        <v>32341.22</v>
      </c>
    </row>
    <row r="1261" spans="1:16" outlineLevel="1" x14ac:dyDescent="0.2">
      <c r="A1261" s="5"/>
      <c r="D1261" s="3" t="s">
        <v>707</v>
      </c>
      <c r="N1261" s="2">
        <f>SUBTOTAL(9,N1260:N1260)</f>
        <v>28</v>
      </c>
      <c r="O1261" s="2">
        <f>SUBTOTAL(9,O1260:O1260)</f>
        <v>905554.29</v>
      </c>
    </row>
    <row r="1262" spans="1:16" outlineLevel="2" x14ac:dyDescent="0.2">
      <c r="A1262" s="5">
        <v>46066</v>
      </c>
      <c r="B1262" s="2">
        <v>157006</v>
      </c>
      <c r="C1262" s="2">
        <v>1</v>
      </c>
      <c r="D1262" s="2" t="s">
        <v>81</v>
      </c>
      <c r="E1262" s="2" t="s">
        <v>23</v>
      </c>
      <c r="F1262" s="2" t="s">
        <v>40</v>
      </c>
      <c r="G1262" s="2" t="s">
        <v>22</v>
      </c>
      <c r="H1262" s="2" t="s">
        <v>23</v>
      </c>
      <c r="I1262" s="2" t="s">
        <v>23</v>
      </c>
      <c r="J1262" s="2">
        <v>1</v>
      </c>
      <c r="K1262" s="2" t="s">
        <v>24</v>
      </c>
      <c r="L1262" s="2">
        <v>2521</v>
      </c>
      <c r="M1262" s="2" t="s">
        <v>82</v>
      </c>
      <c r="N1262" s="2">
        <v>96</v>
      </c>
      <c r="O1262" s="2">
        <v>3439328.96</v>
      </c>
      <c r="P1262" s="2">
        <v>35826.339999999997</v>
      </c>
    </row>
    <row r="1263" spans="1:16" outlineLevel="1" x14ac:dyDescent="0.2">
      <c r="A1263" s="5"/>
      <c r="D1263" s="3" t="s">
        <v>693</v>
      </c>
      <c r="N1263" s="2">
        <f>SUBTOTAL(9,N1262:N1262)</f>
        <v>96</v>
      </c>
      <c r="O1263" s="2">
        <f>SUBTOTAL(9,O1262:O1262)</f>
        <v>3439328.96</v>
      </c>
    </row>
    <row r="1264" spans="1:16" outlineLevel="2" x14ac:dyDescent="0.2">
      <c r="A1264" s="5">
        <v>46071</v>
      </c>
      <c r="B1264" s="2">
        <v>157006</v>
      </c>
      <c r="C1264" s="2">
        <v>2</v>
      </c>
      <c r="D1264" s="2" t="s">
        <v>131</v>
      </c>
      <c r="E1264" s="2" t="s">
        <v>132</v>
      </c>
      <c r="F1264" s="2" t="s">
        <v>40</v>
      </c>
      <c r="G1264" s="2" t="s">
        <v>22</v>
      </c>
      <c r="H1264" s="2" t="s">
        <v>23</v>
      </c>
      <c r="I1264" s="2" t="s">
        <v>23</v>
      </c>
      <c r="J1264" s="2">
        <v>1</v>
      </c>
      <c r="K1264" s="2" t="s">
        <v>24</v>
      </c>
      <c r="L1264" s="2">
        <v>2521</v>
      </c>
      <c r="M1264" s="2" t="s">
        <v>82</v>
      </c>
      <c r="N1264" s="2">
        <v>448</v>
      </c>
      <c r="O1264" s="2">
        <v>10715654.07</v>
      </c>
      <c r="P1264" s="2">
        <v>23918.87</v>
      </c>
    </row>
    <row r="1265" spans="1:16" outlineLevel="1" x14ac:dyDescent="0.2">
      <c r="A1265" s="5"/>
      <c r="D1265" s="3" t="s">
        <v>713</v>
      </c>
      <c r="N1265" s="2">
        <f>SUBTOTAL(9,N1264:N1264)</f>
        <v>448</v>
      </c>
      <c r="O1265" s="2">
        <f>SUBTOTAL(9,O1264:O1264)</f>
        <v>10715654.07</v>
      </c>
    </row>
    <row r="1266" spans="1:16" outlineLevel="2" x14ac:dyDescent="0.2">
      <c r="A1266" s="5">
        <v>46066</v>
      </c>
      <c r="B1266" s="2">
        <v>157007</v>
      </c>
      <c r="C1266" s="2">
        <v>1</v>
      </c>
      <c r="D1266" s="2" t="s">
        <v>160</v>
      </c>
      <c r="E1266" s="2" t="s">
        <v>222</v>
      </c>
      <c r="F1266" s="2" t="s">
        <v>40</v>
      </c>
      <c r="G1266" s="2" t="s">
        <v>22</v>
      </c>
      <c r="H1266" s="2" t="s">
        <v>23</v>
      </c>
      <c r="I1266" s="2" t="s">
        <v>23</v>
      </c>
      <c r="J1266" s="2">
        <v>1</v>
      </c>
      <c r="K1266" s="2" t="s">
        <v>24</v>
      </c>
      <c r="L1266" s="2">
        <v>25202</v>
      </c>
      <c r="M1266" s="2" t="s">
        <v>307</v>
      </c>
      <c r="N1266" s="2">
        <v>50</v>
      </c>
      <c r="O1266" s="2">
        <v>1479645.59</v>
      </c>
      <c r="P1266" s="2">
        <v>29592.91</v>
      </c>
    </row>
    <row r="1267" spans="1:16" outlineLevel="1" x14ac:dyDescent="0.2">
      <c r="A1267" s="5"/>
      <c r="D1267" s="3" t="s">
        <v>709</v>
      </c>
      <c r="N1267" s="2">
        <f>SUBTOTAL(9,N1266:N1266)</f>
        <v>50</v>
      </c>
      <c r="O1267" s="2">
        <f>SUBTOTAL(9,O1266:O1266)</f>
        <v>1479645.59</v>
      </c>
    </row>
    <row r="1268" spans="1:16" outlineLevel="2" x14ac:dyDescent="0.2">
      <c r="A1268" s="5">
        <v>46092</v>
      </c>
      <c r="B1268" s="2">
        <v>157040</v>
      </c>
      <c r="C1268" s="2">
        <v>5</v>
      </c>
      <c r="D1268" s="2" t="s">
        <v>83</v>
      </c>
      <c r="E1268" s="2" t="s">
        <v>317</v>
      </c>
      <c r="F1268" s="2" t="s">
        <v>31</v>
      </c>
      <c r="G1268" s="2" t="s">
        <v>55</v>
      </c>
      <c r="H1268" s="2" t="s">
        <v>23</v>
      </c>
      <c r="I1268" s="2" t="s">
        <v>23</v>
      </c>
      <c r="J1268" s="2">
        <v>1</v>
      </c>
      <c r="K1268" s="2" t="s">
        <v>24</v>
      </c>
      <c r="L1268" s="2">
        <v>226</v>
      </c>
      <c r="M1268" s="2" t="s">
        <v>59</v>
      </c>
      <c r="N1268" s="2">
        <v>12</v>
      </c>
      <c r="O1268" s="2">
        <v>18852.96</v>
      </c>
      <c r="P1268" s="2">
        <v>1571.08</v>
      </c>
    </row>
    <row r="1269" spans="1:16" outlineLevel="1" x14ac:dyDescent="0.2">
      <c r="A1269" s="5"/>
      <c r="D1269" s="3" t="s">
        <v>701</v>
      </c>
      <c r="N1269" s="2">
        <f>SUBTOTAL(9,N1268:N1268)</f>
        <v>12</v>
      </c>
      <c r="O1269" s="2">
        <f>SUBTOTAL(9,O1268:O1268)</f>
        <v>18852.96</v>
      </c>
    </row>
    <row r="1270" spans="1:16" outlineLevel="2" x14ac:dyDescent="0.2">
      <c r="A1270" s="5">
        <v>46070</v>
      </c>
      <c r="B1270" s="2">
        <v>157050</v>
      </c>
      <c r="C1270" s="2">
        <v>1</v>
      </c>
      <c r="D1270" s="2" t="s">
        <v>140</v>
      </c>
      <c r="E1270" s="2" t="s">
        <v>23</v>
      </c>
      <c r="F1270" s="2" t="s">
        <v>55</v>
      </c>
      <c r="G1270" s="2" t="s">
        <v>23</v>
      </c>
      <c r="H1270" s="2" t="s">
        <v>23</v>
      </c>
      <c r="I1270" s="2" t="s">
        <v>23</v>
      </c>
      <c r="J1270" s="2">
        <v>1</v>
      </c>
      <c r="K1270" s="2" t="s">
        <v>24</v>
      </c>
      <c r="L1270" s="2">
        <v>1833</v>
      </c>
      <c r="M1270" s="2" t="s">
        <v>142</v>
      </c>
      <c r="N1270" s="2">
        <v>8</v>
      </c>
      <c r="O1270" s="2">
        <v>122714.39</v>
      </c>
      <c r="P1270" s="2">
        <v>15339.3</v>
      </c>
    </row>
    <row r="1271" spans="1:16" outlineLevel="1" x14ac:dyDescent="0.2">
      <c r="A1271" s="5"/>
      <c r="D1271" s="3" t="s">
        <v>696</v>
      </c>
      <c r="N1271" s="2">
        <f>SUBTOTAL(9,N1270:N1270)</f>
        <v>8</v>
      </c>
      <c r="O1271" s="2">
        <f>SUBTOTAL(9,O1270:O1270)</f>
        <v>122714.39</v>
      </c>
    </row>
    <row r="1272" spans="1:16" outlineLevel="2" x14ac:dyDescent="0.2">
      <c r="A1272" s="5">
        <v>46087</v>
      </c>
      <c r="B1272" s="2">
        <v>157051</v>
      </c>
      <c r="C1272" s="2">
        <v>302</v>
      </c>
      <c r="D1272" s="2" t="s">
        <v>45</v>
      </c>
      <c r="E1272" s="2" t="s">
        <v>46</v>
      </c>
      <c r="F1272" s="2" t="s">
        <v>55</v>
      </c>
      <c r="G1272" s="2" t="s">
        <v>23</v>
      </c>
      <c r="H1272" s="2" t="s">
        <v>23</v>
      </c>
      <c r="I1272" s="2" t="s">
        <v>23</v>
      </c>
      <c r="J1272" s="2">
        <v>2</v>
      </c>
      <c r="K1272" s="2" t="s">
        <v>48</v>
      </c>
      <c r="L1272" s="2">
        <v>600</v>
      </c>
      <c r="M1272" s="2" t="s">
        <v>112</v>
      </c>
      <c r="N1272" s="2">
        <v>2</v>
      </c>
      <c r="O1272" s="2">
        <v>10609.66</v>
      </c>
      <c r="P1272" s="2">
        <v>5304.83</v>
      </c>
    </row>
    <row r="1273" spans="1:16" outlineLevel="1" x14ac:dyDescent="0.2">
      <c r="A1273" s="5"/>
      <c r="D1273" s="3" t="s">
        <v>733</v>
      </c>
      <c r="N1273" s="2">
        <f>SUBTOTAL(9,N1272:N1272)</f>
        <v>2</v>
      </c>
      <c r="O1273" s="2">
        <f>SUBTOTAL(9,O1272:O1272)</f>
        <v>10609.66</v>
      </c>
    </row>
    <row r="1274" spans="1:16" outlineLevel="2" x14ac:dyDescent="0.2">
      <c r="A1274" s="5">
        <v>46073</v>
      </c>
      <c r="B1274" s="2">
        <v>157052</v>
      </c>
      <c r="C1274" s="2">
        <v>2</v>
      </c>
      <c r="D1274" s="2" t="s">
        <v>229</v>
      </c>
      <c r="E1274" s="2" t="s">
        <v>55</v>
      </c>
      <c r="F1274" s="2" t="s">
        <v>55</v>
      </c>
      <c r="G1274" s="2" t="s">
        <v>23</v>
      </c>
      <c r="H1274" s="2" t="s">
        <v>23</v>
      </c>
      <c r="I1274" s="2" t="s">
        <v>23</v>
      </c>
      <c r="J1274" s="2">
        <v>2</v>
      </c>
      <c r="K1274" s="2" t="s">
        <v>48</v>
      </c>
      <c r="L1274" s="2">
        <v>2089</v>
      </c>
      <c r="M1274" s="2" t="s">
        <v>87</v>
      </c>
      <c r="N1274" s="2">
        <v>5</v>
      </c>
      <c r="O1274" s="2">
        <v>90931.45</v>
      </c>
      <c r="P1274" s="2">
        <v>18186.29</v>
      </c>
    </row>
    <row r="1275" spans="1:16" outlineLevel="1" x14ac:dyDescent="0.2">
      <c r="A1275" s="5"/>
      <c r="D1275" s="3" t="s">
        <v>737</v>
      </c>
      <c r="N1275" s="2">
        <f>SUBTOTAL(9,N1274:N1274)</f>
        <v>5</v>
      </c>
      <c r="O1275" s="2">
        <f>SUBTOTAL(9,O1274:O1274)</f>
        <v>90931.45</v>
      </c>
    </row>
    <row r="1276" spans="1:16" outlineLevel="2" x14ac:dyDescent="0.2">
      <c r="A1276" s="5">
        <v>46070</v>
      </c>
      <c r="B1276" s="2">
        <v>157057</v>
      </c>
      <c r="C1276" s="2">
        <v>1</v>
      </c>
      <c r="D1276" s="2" t="s">
        <v>140</v>
      </c>
      <c r="E1276" s="2" t="s">
        <v>141</v>
      </c>
      <c r="F1276" s="2" t="s">
        <v>108</v>
      </c>
      <c r="G1276" s="2" t="s">
        <v>22</v>
      </c>
      <c r="H1276" s="2" t="s">
        <v>23</v>
      </c>
      <c r="I1276" s="2" t="s">
        <v>23</v>
      </c>
      <c r="J1276" s="2">
        <v>1</v>
      </c>
      <c r="K1276" s="2" t="s">
        <v>24</v>
      </c>
      <c r="L1276" s="2">
        <v>1833</v>
      </c>
      <c r="M1276" s="2" t="s">
        <v>142</v>
      </c>
      <c r="N1276" s="2">
        <v>16</v>
      </c>
      <c r="O1276" s="2">
        <v>499324.29</v>
      </c>
      <c r="P1276" s="2">
        <v>31207.77</v>
      </c>
    </row>
    <row r="1277" spans="1:16" outlineLevel="1" x14ac:dyDescent="0.2">
      <c r="A1277" s="5"/>
      <c r="D1277" s="3" t="s">
        <v>696</v>
      </c>
      <c r="N1277" s="2">
        <f>SUBTOTAL(9,N1276:N1276)</f>
        <v>16</v>
      </c>
      <c r="O1277" s="2">
        <f>SUBTOTAL(9,O1276:O1276)</f>
        <v>499324.29</v>
      </c>
    </row>
    <row r="1278" spans="1:16" outlineLevel="2" x14ac:dyDescent="0.2">
      <c r="A1278" s="5">
        <v>46073</v>
      </c>
      <c r="B1278" s="2">
        <v>157058</v>
      </c>
      <c r="C1278" s="2">
        <v>1</v>
      </c>
      <c r="D1278" s="2" t="s">
        <v>45</v>
      </c>
      <c r="E1278" s="2" t="s">
        <v>125</v>
      </c>
      <c r="F1278" s="2" t="s">
        <v>55</v>
      </c>
      <c r="G1278" s="2" t="s">
        <v>55</v>
      </c>
      <c r="H1278" s="2" t="s">
        <v>23</v>
      </c>
      <c r="I1278" s="2" t="s">
        <v>23</v>
      </c>
      <c r="J1278" s="2">
        <v>2</v>
      </c>
      <c r="K1278" s="2" t="s">
        <v>48</v>
      </c>
      <c r="L1278" s="2">
        <v>626</v>
      </c>
      <c r="M1278" s="2" t="s">
        <v>49</v>
      </c>
      <c r="N1278" s="2">
        <v>33</v>
      </c>
      <c r="O1278" s="2">
        <v>82649.16</v>
      </c>
      <c r="P1278" s="2">
        <v>2504.52</v>
      </c>
    </row>
    <row r="1279" spans="1:16" outlineLevel="1" x14ac:dyDescent="0.2">
      <c r="A1279" s="5"/>
      <c r="D1279" s="3" t="s">
        <v>733</v>
      </c>
      <c r="N1279" s="2">
        <f>SUBTOTAL(9,N1278:N1278)</f>
        <v>33</v>
      </c>
      <c r="O1279" s="2">
        <f>SUBTOTAL(9,O1278:O1278)</f>
        <v>82649.16</v>
      </c>
    </row>
    <row r="1280" spans="1:16" outlineLevel="2" x14ac:dyDescent="0.2">
      <c r="A1280" s="5">
        <v>46070</v>
      </c>
      <c r="B1280" s="2">
        <v>157059</v>
      </c>
      <c r="C1280" s="2">
        <v>1</v>
      </c>
      <c r="D1280" s="2" t="s">
        <v>207</v>
      </c>
      <c r="E1280" s="2" t="s">
        <v>23</v>
      </c>
      <c r="F1280" s="2" t="s">
        <v>47</v>
      </c>
      <c r="G1280" s="2" t="s">
        <v>22</v>
      </c>
      <c r="H1280" s="2" t="s">
        <v>208</v>
      </c>
      <c r="I1280" s="2" t="s">
        <v>23</v>
      </c>
      <c r="J1280" s="2">
        <v>41</v>
      </c>
      <c r="K1280" s="2" t="s">
        <v>129</v>
      </c>
      <c r="L1280" s="2">
        <v>25213</v>
      </c>
      <c r="M1280" s="2" t="s">
        <v>130</v>
      </c>
      <c r="N1280" s="2">
        <v>75</v>
      </c>
      <c r="O1280" s="2">
        <v>257846.25</v>
      </c>
      <c r="P1280" s="2">
        <v>3437.95</v>
      </c>
    </row>
    <row r="1281" spans="1:16" outlineLevel="1" x14ac:dyDescent="0.2">
      <c r="A1281" s="5"/>
      <c r="D1281" s="3" t="s">
        <v>699</v>
      </c>
      <c r="N1281" s="2">
        <f>SUBTOTAL(9,N1280:N1280)</f>
        <v>75</v>
      </c>
      <c r="O1281" s="2">
        <f>SUBTOTAL(9,O1280:O1280)</f>
        <v>257846.25</v>
      </c>
    </row>
    <row r="1282" spans="1:16" outlineLevel="2" x14ac:dyDescent="0.2">
      <c r="A1282" s="5">
        <v>46070</v>
      </c>
      <c r="B1282" s="2">
        <v>157059</v>
      </c>
      <c r="C1282" s="2">
        <v>2</v>
      </c>
      <c r="D1282" s="2" t="s">
        <v>128</v>
      </c>
      <c r="E1282" s="2" t="s">
        <v>23</v>
      </c>
      <c r="F1282" s="2" t="s">
        <v>47</v>
      </c>
      <c r="G1282" s="2" t="s">
        <v>22</v>
      </c>
      <c r="H1282" s="2" t="s">
        <v>23</v>
      </c>
      <c r="I1282" s="2" t="s">
        <v>23</v>
      </c>
      <c r="J1282" s="2">
        <v>41</v>
      </c>
      <c r="K1282" s="2" t="s">
        <v>129</v>
      </c>
      <c r="L1282" s="2">
        <v>25213</v>
      </c>
      <c r="M1282" s="2" t="s">
        <v>130</v>
      </c>
      <c r="N1282" s="2">
        <v>50</v>
      </c>
      <c r="O1282" s="2">
        <v>171897.5</v>
      </c>
      <c r="P1282" s="2">
        <v>3437.95</v>
      </c>
    </row>
    <row r="1283" spans="1:16" outlineLevel="1" x14ac:dyDescent="0.2">
      <c r="A1283" s="5"/>
      <c r="D1283" s="3" t="s">
        <v>732</v>
      </c>
      <c r="N1283" s="2">
        <f>SUBTOTAL(9,N1282:N1282)</f>
        <v>50</v>
      </c>
      <c r="O1283" s="2">
        <f>SUBTOTAL(9,O1282:O1282)</f>
        <v>171897.5</v>
      </c>
    </row>
    <row r="1284" spans="1:16" outlineLevel="2" x14ac:dyDescent="0.2">
      <c r="A1284" s="5">
        <v>46070</v>
      </c>
      <c r="B1284" s="2">
        <v>157059</v>
      </c>
      <c r="C1284" s="2">
        <v>3</v>
      </c>
      <c r="D1284" s="2" t="s">
        <v>207</v>
      </c>
      <c r="E1284" s="2" t="s">
        <v>23</v>
      </c>
      <c r="F1284" s="2" t="s">
        <v>47</v>
      </c>
      <c r="G1284" s="2" t="s">
        <v>22</v>
      </c>
      <c r="H1284" s="2" t="s">
        <v>209</v>
      </c>
      <c r="I1284" s="2" t="s">
        <v>23</v>
      </c>
      <c r="J1284" s="2">
        <v>41</v>
      </c>
      <c r="K1284" s="2" t="s">
        <v>129</v>
      </c>
      <c r="L1284" s="2">
        <v>25213</v>
      </c>
      <c r="M1284" s="2" t="s">
        <v>130</v>
      </c>
      <c r="N1284" s="2">
        <v>50</v>
      </c>
      <c r="O1284" s="2">
        <v>146415.03</v>
      </c>
      <c r="P1284" s="2">
        <v>2928.3</v>
      </c>
    </row>
    <row r="1285" spans="1:16" outlineLevel="2" x14ac:dyDescent="0.2">
      <c r="A1285" s="5">
        <v>46070</v>
      </c>
      <c r="B1285" s="2">
        <v>157059</v>
      </c>
      <c r="C1285" s="2">
        <v>4</v>
      </c>
      <c r="D1285" s="2" t="s">
        <v>207</v>
      </c>
      <c r="E1285" s="2" t="s">
        <v>23</v>
      </c>
      <c r="F1285" s="2" t="s">
        <v>47</v>
      </c>
      <c r="G1285" s="2" t="s">
        <v>22</v>
      </c>
      <c r="H1285" s="2" t="s">
        <v>23</v>
      </c>
      <c r="I1285" s="2" t="s">
        <v>23</v>
      </c>
      <c r="J1285" s="2">
        <v>1</v>
      </c>
      <c r="K1285" s="2" t="s">
        <v>24</v>
      </c>
      <c r="L1285" s="2">
        <v>25213</v>
      </c>
      <c r="M1285" s="2" t="s">
        <v>130</v>
      </c>
      <c r="N1285" s="2">
        <v>5</v>
      </c>
      <c r="O1285" s="2">
        <v>363495.64</v>
      </c>
      <c r="P1285" s="2">
        <v>72699.13</v>
      </c>
    </row>
    <row r="1286" spans="1:16" outlineLevel="1" x14ac:dyDescent="0.2">
      <c r="A1286" s="5"/>
      <c r="D1286" s="3" t="s">
        <v>699</v>
      </c>
      <c r="N1286" s="2">
        <f>SUBTOTAL(9,N1284:N1285)</f>
        <v>55</v>
      </c>
      <c r="O1286" s="2">
        <f>SUBTOTAL(9,O1284:O1285)</f>
        <v>509910.67000000004</v>
      </c>
    </row>
    <row r="1287" spans="1:16" outlineLevel="2" x14ac:dyDescent="0.2">
      <c r="A1287" s="5">
        <v>46070</v>
      </c>
      <c r="B1287" s="2">
        <v>157059</v>
      </c>
      <c r="C1287" s="2">
        <v>5</v>
      </c>
      <c r="D1287" s="2" t="s">
        <v>128</v>
      </c>
      <c r="E1287" s="2" t="s">
        <v>23</v>
      </c>
      <c r="F1287" s="2" t="s">
        <v>47</v>
      </c>
      <c r="G1287" s="2" t="s">
        <v>22</v>
      </c>
      <c r="H1287" s="2" t="s">
        <v>23</v>
      </c>
      <c r="I1287" s="2" t="s">
        <v>23</v>
      </c>
      <c r="J1287" s="2">
        <v>1</v>
      </c>
      <c r="K1287" s="2" t="s">
        <v>24</v>
      </c>
      <c r="L1287" s="2">
        <v>25213</v>
      </c>
      <c r="M1287" s="2" t="s">
        <v>130</v>
      </c>
      <c r="N1287" s="2">
        <v>2</v>
      </c>
      <c r="O1287" s="2">
        <v>167427.4</v>
      </c>
      <c r="P1287" s="2">
        <v>83713.7</v>
      </c>
    </row>
    <row r="1288" spans="1:16" outlineLevel="1" x14ac:dyDescent="0.2">
      <c r="A1288" s="5"/>
      <c r="D1288" s="3" t="s">
        <v>732</v>
      </c>
      <c r="N1288" s="2">
        <f>SUBTOTAL(9,N1287:N1287)</f>
        <v>2</v>
      </c>
      <c r="O1288" s="2">
        <f>SUBTOTAL(9,O1287:O1287)</f>
        <v>167427.4</v>
      </c>
    </row>
    <row r="1289" spans="1:16" outlineLevel="2" x14ac:dyDescent="0.2">
      <c r="A1289" s="5">
        <v>46070</v>
      </c>
      <c r="B1289" s="2">
        <v>157059</v>
      </c>
      <c r="C1289" s="2">
        <v>6</v>
      </c>
      <c r="D1289" s="2" t="s">
        <v>207</v>
      </c>
      <c r="E1289" s="2" t="s">
        <v>23</v>
      </c>
      <c r="F1289" s="2" t="s">
        <v>47</v>
      </c>
      <c r="G1289" s="2" t="s">
        <v>210</v>
      </c>
      <c r="H1289" s="2" t="s">
        <v>23</v>
      </c>
      <c r="I1289" s="2" t="s">
        <v>23</v>
      </c>
      <c r="J1289" s="2">
        <v>1</v>
      </c>
      <c r="K1289" s="2" t="s">
        <v>24</v>
      </c>
      <c r="L1289" s="2">
        <v>25213</v>
      </c>
      <c r="M1289" s="2" t="s">
        <v>130</v>
      </c>
      <c r="N1289" s="2">
        <v>2</v>
      </c>
      <c r="O1289" s="2">
        <v>142224.56</v>
      </c>
      <c r="P1289" s="2">
        <v>71112.28</v>
      </c>
    </row>
    <row r="1290" spans="1:16" outlineLevel="1" x14ac:dyDescent="0.2">
      <c r="A1290" s="5"/>
      <c r="D1290" s="3" t="s">
        <v>699</v>
      </c>
      <c r="N1290" s="2">
        <f>SUBTOTAL(9,N1289:N1289)</f>
        <v>2</v>
      </c>
      <c r="O1290" s="2">
        <f>SUBTOTAL(9,O1289:O1289)</f>
        <v>142224.56</v>
      </c>
    </row>
    <row r="1291" spans="1:16" outlineLevel="2" x14ac:dyDescent="0.2">
      <c r="A1291" s="5">
        <v>46070</v>
      </c>
      <c r="B1291" s="2">
        <v>157060</v>
      </c>
      <c r="C1291" s="2">
        <v>1</v>
      </c>
      <c r="D1291" s="2" t="s">
        <v>57</v>
      </c>
      <c r="E1291" s="2" t="s">
        <v>308</v>
      </c>
      <c r="F1291" s="2" t="s">
        <v>31</v>
      </c>
      <c r="G1291" s="2" t="s">
        <v>22</v>
      </c>
      <c r="H1291" s="2" t="s">
        <v>23</v>
      </c>
      <c r="I1291" s="2" t="s">
        <v>309</v>
      </c>
      <c r="J1291" s="2">
        <v>1</v>
      </c>
      <c r="K1291" s="2" t="s">
        <v>24</v>
      </c>
      <c r="L1291" s="2">
        <v>226</v>
      </c>
      <c r="M1291" s="2" t="s">
        <v>59</v>
      </c>
      <c r="N1291" s="2">
        <v>42</v>
      </c>
      <c r="O1291" s="2">
        <v>1880590.57</v>
      </c>
      <c r="P1291" s="2">
        <v>44775.97</v>
      </c>
    </row>
    <row r="1292" spans="1:16" outlineLevel="2" x14ac:dyDescent="0.2">
      <c r="A1292" s="5">
        <v>46070</v>
      </c>
      <c r="B1292" s="2">
        <v>157060</v>
      </c>
      <c r="C1292" s="2">
        <v>2</v>
      </c>
      <c r="D1292" s="2" t="s">
        <v>57</v>
      </c>
      <c r="E1292" s="2" t="s">
        <v>308</v>
      </c>
      <c r="F1292" s="2" t="s">
        <v>31</v>
      </c>
      <c r="G1292" s="2" t="s">
        <v>22</v>
      </c>
      <c r="H1292" s="2" t="s">
        <v>23</v>
      </c>
      <c r="I1292" s="2" t="s">
        <v>345</v>
      </c>
      <c r="J1292" s="2">
        <v>1</v>
      </c>
      <c r="K1292" s="2" t="s">
        <v>24</v>
      </c>
      <c r="L1292" s="2">
        <v>226</v>
      </c>
      <c r="M1292" s="2" t="s">
        <v>59</v>
      </c>
      <c r="N1292" s="2">
        <v>42</v>
      </c>
      <c r="O1292" s="2">
        <v>1715371.78</v>
      </c>
      <c r="P1292" s="2">
        <v>40842.19</v>
      </c>
    </row>
    <row r="1293" spans="1:16" outlineLevel="1" x14ac:dyDescent="0.2">
      <c r="A1293" s="5"/>
      <c r="D1293" s="3" t="s">
        <v>716</v>
      </c>
      <c r="N1293" s="2">
        <f>SUBTOTAL(9,N1291:N1292)</f>
        <v>84</v>
      </c>
      <c r="O1293" s="2">
        <f>SUBTOTAL(9,O1291:O1292)</f>
        <v>3595962.35</v>
      </c>
    </row>
    <row r="1294" spans="1:16" outlineLevel="2" x14ac:dyDescent="0.2">
      <c r="A1294" s="5">
        <v>46070</v>
      </c>
      <c r="B1294" s="2">
        <v>157060</v>
      </c>
      <c r="C1294" s="2">
        <v>3</v>
      </c>
      <c r="D1294" s="2" t="s">
        <v>60</v>
      </c>
      <c r="E1294" s="2" t="s">
        <v>350</v>
      </c>
      <c r="F1294" s="2" t="s">
        <v>31</v>
      </c>
      <c r="G1294" s="2" t="s">
        <v>22</v>
      </c>
      <c r="H1294" s="2" t="s">
        <v>23</v>
      </c>
      <c r="I1294" s="2" t="s">
        <v>23</v>
      </c>
      <c r="J1294" s="2">
        <v>78</v>
      </c>
      <c r="K1294" s="2" t="s">
        <v>212</v>
      </c>
      <c r="L1294" s="2">
        <v>226</v>
      </c>
      <c r="M1294" s="2" t="s">
        <v>59</v>
      </c>
      <c r="N1294" s="2">
        <v>91</v>
      </c>
      <c r="O1294" s="2">
        <v>1236320.51</v>
      </c>
      <c r="P1294" s="2">
        <v>13585.94</v>
      </c>
    </row>
    <row r="1295" spans="1:16" outlineLevel="1" x14ac:dyDescent="0.2">
      <c r="A1295" s="5"/>
      <c r="D1295" s="3" t="s">
        <v>728</v>
      </c>
      <c r="N1295" s="2">
        <f>SUBTOTAL(9,N1294:N1294)</f>
        <v>91</v>
      </c>
      <c r="O1295" s="2">
        <f>SUBTOTAL(9,O1294:O1294)</f>
        <v>1236320.51</v>
      </c>
    </row>
    <row r="1296" spans="1:16" outlineLevel="2" x14ac:dyDescent="0.2">
      <c r="A1296" s="5">
        <v>46070</v>
      </c>
      <c r="B1296" s="2">
        <v>157061</v>
      </c>
      <c r="C1296" s="2">
        <v>1</v>
      </c>
      <c r="D1296" s="2" t="s">
        <v>226</v>
      </c>
      <c r="E1296" s="2" t="s">
        <v>227</v>
      </c>
      <c r="F1296" s="2" t="s">
        <v>47</v>
      </c>
      <c r="G1296" s="2" t="s">
        <v>22</v>
      </c>
      <c r="H1296" s="2" t="s">
        <v>23</v>
      </c>
      <c r="I1296" s="2" t="s">
        <v>23</v>
      </c>
      <c r="J1296" s="2">
        <v>41</v>
      </c>
      <c r="K1296" s="2" t="s">
        <v>129</v>
      </c>
      <c r="L1296" s="2">
        <v>1964</v>
      </c>
      <c r="M1296" s="2" t="s">
        <v>49</v>
      </c>
      <c r="N1296" s="2">
        <v>63</v>
      </c>
      <c r="O1296" s="2">
        <v>1296580.2</v>
      </c>
      <c r="P1296" s="2">
        <v>20580.64</v>
      </c>
    </row>
    <row r="1297" spans="1:16" outlineLevel="1" x14ac:dyDescent="0.2">
      <c r="A1297" s="5"/>
      <c r="D1297" s="3" t="s">
        <v>736</v>
      </c>
      <c r="N1297" s="2">
        <f>SUBTOTAL(9,N1296:N1296)</f>
        <v>63</v>
      </c>
      <c r="O1297" s="2">
        <f>SUBTOTAL(9,O1296:O1296)</f>
        <v>1296580.2</v>
      </c>
    </row>
    <row r="1298" spans="1:16" outlineLevel="2" x14ac:dyDescent="0.2">
      <c r="A1298" s="5">
        <v>46070</v>
      </c>
      <c r="B1298" s="2">
        <v>157061</v>
      </c>
      <c r="C1298" s="2">
        <v>2</v>
      </c>
      <c r="D1298" s="2" t="s">
        <v>45</v>
      </c>
      <c r="E1298" s="2" t="s">
        <v>227</v>
      </c>
      <c r="F1298" s="2" t="s">
        <v>47</v>
      </c>
      <c r="G1298" s="2" t="s">
        <v>22</v>
      </c>
      <c r="H1298" s="2" t="s">
        <v>23</v>
      </c>
      <c r="I1298" s="2" t="s">
        <v>23</v>
      </c>
      <c r="J1298" s="2">
        <v>41</v>
      </c>
      <c r="K1298" s="2" t="s">
        <v>129</v>
      </c>
      <c r="L1298" s="2">
        <v>1964</v>
      </c>
      <c r="M1298" s="2" t="s">
        <v>49</v>
      </c>
      <c r="N1298" s="2">
        <v>57</v>
      </c>
      <c r="O1298" s="2">
        <v>741091.54</v>
      </c>
      <c r="P1298" s="2">
        <v>13001.61</v>
      </c>
    </row>
    <row r="1299" spans="1:16" outlineLevel="2" x14ac:dyDescent="0.2">
      <c r="A1299" s="5">
        <v>46070</v>
      </c>
      <c r="B1299" s="2">
        <v>157061</v>
      </c>
      <c r="C1299" s="2">
        <v>3</v>
      </c>
      <c r="D1299" s="2" t="s">
        <v>45</v>
      </c>
      <c r="E1299" s="2" t="s">
        <v>125</v>
      </c>
      <c r="F1299" s="2" t="s">
        <v>47</v>
      </c>
      <c r="G1299" s="2" t="s">
        <v>22</v>
      </c>
      <c r="H1299" s="2" t="s">
        <v>23</v>
      </c>
      <c r="I1299" s="2" t="s">
        <v>23</v>
      </c>
      <c r="J1299" s="2">
        <v>41</v>
      </c>
      <c r="K1299" s="2" t="s">
        <v>129</v>
      </c>
      <c r="L1299" s="2">
        <v>1964</v>
      </c>
      <c r="M1299" s="2" t="s">
        <v>49</v>
      </c>
      <c r="N1299" s="2">
        <v>35</v>
      </c>
      <c r="O1299" s="2">
        <v>348087.52</v>
      </c>
      <c r="P1299" s="2">
        <v>9945.36</v>
      </c>
    </row>
    <row r="1300" spans="1:16" outlineLevel="1" x14ac:dyDescent="0.2">
      <c r="A1300" s="5"/>
      <c r="D1300" s="3" t="s">
        <v>733</v>
      </c>
      <c r="N1300" s="2">
        <f>SUBTOTAL(9,N1298:N1299)</f>
        <v>92</v>
      </c>
      <c r="O1300" s="2">
        <f>SUBTOTAL(9,O1298:O1299)</f>
        <v>1089179.06</v>
      </c>
    </row>
    <row r="1301" spans="1:16" outlineLevel="2" x14ac:dyDescent="0.2">
      <c r="A1301" s="5">
        <v>46072</v>
      </c>
      <c r="B1301" s="2">
        <v>157070</v>
      </c>
      <c r="C1301" s="2">
        <v>1</v>
      </c>
      <c r="D1301" s="2" t="s">
        <v>205</v>
      </c>
      <c r="E1301" s="2" t="s">
        <v>23</v>
      </c>
      <c r="F1301" s="2" t="s">
        <v>23</v>
      </c>
      <c r="G1301" s="2" t="s">
        <v>22</v>
      </c>
      <c r="H1301" s="2" t="s">
        <v>23</v>
      </c>
      <c r="I1301" s="2" t="s">
        <v>23</v>
      </c>
      <c r="J1301" s="2">
        <v>1</v>
      </c>
      <c r="K1301" s="2" t="s">
        <v>24</v>
      </c>
      <c r="L1301" s="2">
        <v>25054</v>
      </c>
      <c r="M1301" s="2" t="s">
        <v>351</v>
      </c>
      <c r="N1301" s="2">
        <v>10</v>
      </c>
      <c r="O1301" s="2">
        <v>192130.68</v>
      </c>
      <c r="P1301" s="2">
        <v>19213.07</v>
      </c>
    </row>
    <row r="1302" spans="1:16" outlineLevel="2" x14ac:dyDescent="0.2">
      <c r="A1302" s="5">
        <v>46072</v>
      </c>
      <c r="B1302" s="2">
        <v>157070</v>
      </c>
      <c r="C1302" s="2">
        <v>501</v>
      </c>
      <c r="D1302" s="2" t="s">
        <v>205</v>
      </c>
      <c r="E1302" s="2" t="s">
        <v>23</v>
      </c>
      <c r="F1302" s="2" t="s">
        <v>23</v>
      </c>
      <c r="G1302" s="2" t="s">
        <v>22</v>
      </c>
      <c r="H1302" s="2" t="s">
        <v>23</v>
      </c>
      <c r="I1302" s="2" t="s">
        <v>23</v>
      </c>
      <c r="J1302" s="2">
        <v>1</v>
      </c>
      <c r="K1302" s="2" t="s">
        <v>24</v>
      </c>
      <c r="L1302" s="2">
        <v>25054</v>
      </c>
      <c r="M1302" s="2" t="s">
        <v>351</v>
      </c>
      <c r="N1302" s="2">
        <v>19</v>
      </c>
      <c r="O1302" s="2">
        <v>302414.56</v>
      </c>
      <c r="P1302" s="2">
        <v>15916.56</v>
      </c>
    </row>
    <row r="1303" spans="1:16" outlineLevel="1" x14ac:dyDescent="0.2">
      <c r="A1303" s="5"/>
      <c r="D1303" s="3" t="s">
        <v>717</v>
      </c>
      <c r="N1303" s="2">
        <f>SUBTOTAL(9,N1301:N1302)</f>
        <v>29</v>
      </c>
      <c r="O1303" s="2">
        <f>SUBTOTAL(9,O1301:O1302)</f>
        <v>494545.24</v>
      </c>
    </row>
    <row r="1304" spans="1:16" outlineLevel="2" x14ac:dyDescent="0.2">
      <c r="A1304" s="5">
        <v>46089</v>
      </c>
      <c r="B1304" s="2">
        <v>157076</v>
      </c>
      <c r="C1304" s="2">
        <v>2</v>
      </c>
      <c r="D1304" s="2" t="s">
        <v>29</v>
      </c>
      <c r="E1304" s="2" t="s">
        <v>55</v>
      </c>
      <c r="F1304" s="2" t="s">
        <v>23</v>
      </c>
      <c r="G1304" s="2" t="s">
        <v>23</v>
      </c>
      <c r="H1304" s="2" t="s">
        <v>23</v>
      </c>
      <c r="I1304" s="2" t="s">
        <v>23</v>
      </c>
      <c r="J1304" s="2">
        <v>1</v>
      </c>
      <c r="K1304" s="2" t="s">
        <v>24</v>
      </c>
      <c r="L1304" s="2">
        <v>25177</v>
      </c>
      <c r="M1304" s="2" t="s">
        <v>32</v>
      </c>
      <c r="N1304" s="2">
        <v>91</v>
      </c>
      <c r="O1304" s="2">
        <v>312853.45</v>
      </c>
      <c r="P1304" s="2">
        <v>3437.95</v>
      </c>
    </row>
    <row r="1305" spans="1:16" outlineLevel="1" x14ac:dyDescent="0.2">
      <c r="A1305" s="5"/>
      <c r="D1305" s="3" t="s">
        <v>703</v>
      </c>
      <c r="N1305" s="2">
        <f>SUBTOTAL(9,N1304:N1304)</f>
        <v>91</v>
      </c>
      <c r="O1305" s="2">
        <f>SUBTOTAL(9,O1304:O1304)</f>
        <v>312853.45</v>
      </c>
    </row>
    <row r="1306" spans="1:16" outlineLevel="2" x14ac:dyDescent="0.2">
      <c r="A1306" s="5">
        <v>46077</v>
      </c>
      <c r="B1306" s="2">
        <v>157088</v>
      </c>
      <c r="C1306" s="2">
        <v>1</v>
      </c>
      <c r="D1306" s="2" t="s">
        <v>131</v>
      </c>
      <c r="E1306" s="2" t="s">
        <v>132</v>
      </c>
      <c r="F1306" s="2" t="s">
        <v>40</v>
      </c>
      <c r="G1306" s="2" t="s">
        <v>291</v>
      </c>
      <c r="H1306" s="2" t="s">
        <v>23</v>
      </c>
      <c r="I1306" s="2" t="s">
        <v>23</v>
      </c>
      <c r="J1306" s="2">
        <v>1</v>
      </c>
      <c r="K1306" s="2" t="s">
        <v>24</v>
      </c>
      <c r="L1306" s="2">
        <v>2521</v>
      </c>
      <c r="M1306" s="2" t="s">
        <v>82</v>
      </c>
      <c r="N1306" s="2">
        <v>183</v>
      </c>
      <c r="O1306" s="2">
        <v>2420414.94</v>
      </c>
      <c r="P1306" s="2">
        <v>13226.31</v>
      </c>
    </row>
    <row r="1307" spans="1:16" outlineLevel="1" x14ac:dyDescent="0.2">
      <c r="A1307" s="5"/>
      <c r="D1307" s="3" t="s">
        <v>713</v>
      </c>
      <c r="N1307" s="2">
        <f>SUBTOTAL(9,N1306:N1306)</f>
        <v>183</v>
      </c>
      <c r="O1307" s="2">
        <f>SUBTOTAL(9,O1306:O1306)</f>
        <v>2420414.94</v>
      </c>
    </row>
    <row r="1308" spans="1:16" outlineLevel="2" x14ac:dyDescent="0.2">
      <c r="A1308" s="5">
        <v>46070</v>
      </c>
      <c r="B1308" s="2">
        <v>157089</v>
      </c>
      <c r="C1308" s="2">
        <v>1</v>
      </c>
      <c r="D1308" s="2" t="s">
        <v>160</v>
      </c>
      <c r="E1308" s="2" t="s">
        <v>222</v>
      </c>
      <c r="F1308" s="2" t="s">
        <v>40</v>
      </c>
      <c r="G1308" s="2" t="s">
        <v>22</v>
      </c>
      <c r="H1308" s="2" t="s">
        <v>23</v>
      </c>
      <c r="I1308" s="2" t="s">
        <v>23</v>
      </c>
      <c r="J1308" s="2">
        <v>1</v>
      </c>
      <c r="K1308" s="2" t="s">
        <v>24</v>
      </c>
      <c r="L1308" s="2">
        <v>25202</v>
      </c>
      <c r="M1308" s="2" t="s">
        <v>307</v>
      </c>
      <c r="N1308" s="2">
        <v>98</v>
      </c>
      <c r="O1308" s="2">
        <v>1672670.68</v>
      </c>
      <c r="P1308" s="2">
        <v>17068.07</v>
      </c>
    </row>
    <row r="1309" spans="1:16" outlineLevel="1" x14ac:dyDescent="0.2">
      <c r="A1309" s="5"/>
      <c r="D1309" s="3" t="s">
        <v>709</v>
      </c>
      <c r="N1309" s="2">
        <f>SUBTOTAL(9,N1308:N1308)</f>
        <v>98</v>
      </c>
      <c r="O1309" s="2">
        <f>SUBTOTAL(9,O1308:O1308)</f>
        <v>1672670.68</v>
      </c>
    </row>
    <row r="1310" spans="1:16" outlineLevel="2" x14ac:dyDescent="0.2">
      <c r="A1310" s="5">
        <v>46070</v>
      </c>
      <c r="B1310" s="2">
        <v>157089</v>
      </c>
      <c r="C1310" s="2">
        <v>200</v>
      </c>
      <c r="D1310" s="2" t="s">
        <v>352</v>
      </c>
      <c r="E1310" s="2" t="s">
        <v>222</v>
      </c>
      <c r="F1310" s="2" t="s">
        <v>40</v>
      </c>
      <c r="G1310" s="2" t="s">
        <v>22</v>
      </c>
      <c r="H1310" s="2" t="s">
        <v>23</v>
      </c>
      <c r="I1310" s="2" t="s">
        <v>23</v>
      </c>
      <c r="J1310" s="2">
        <v>5</v>
      </c>
      <c r="K1310" s="2" t="s">
        <v>27</v>
      </c>
      <c r="L1310" s="2">
        <v>25202</v>
      </c>
      <c r="M1310" s="2" t="s">
        <v>307</v>
      </c>
      <c r="N1310" s="2">
        <v>25</v>
      </c>
      <c r="O1310" s="2">
        <v>207295.91</v>
      </c>
      <c r="P1310" s="2">
        <v>8291.84</v>
      </c>
    </row>
    <row r="1311" spans="1:16" outlineLevel="1" x14ac:dyDescent="0.2">
      <c r="A1311" s="5"/>
      <c r="D1311" s="3" t="s">
        <v>756</v>
      </c>
      <c r="N1311" s="2">
        <f>SUBTOTAL(9,N1310:N1310)</f>
        <v>25</v>
      </c>
      <c r="O1311" s="2">
        <f>SUBTOTAL(9,O1310:O1310)</f>
        <v>207295.91</v>
      </c>
    </row>
    <row r="1312" spans="1:16" outlineLevel="2" x14ac:dyDescent="0.2">
      <c r="A1312" s="5">
        <v>46070</v>
      </c>
      <c r="B1312" s="2">
        <v>157090</v>
      </c>
      <c r="C1312" s="2">
        <v>2</v>
      </c>
      <c r="D1312" s="2" t="s">
        <v>38</v>
      </c>
      <c r="E1312" s="2" t="s">
        <v>39</v>
      </c>
      <c r="F1312" s="2" t="s">
        <v>63</v>
      </c>
      <c r="G1312" s="2" t="s">
        <v>22</v>
      </c>
      <c r="H1312" s="2" t="s">
        <v>23</v>
      </c>
      <c r="I1312" s="2" t="s">
        <v>116</v>
      </c>
      <c r="J1312" s="2">
        <v>1</v>
      </c>
      <c r="K1312" s="2" t="s">
        <v>24</v>
      </c>
      <c r="L1312" s="2">
        <v>1846</v>
      </c>
      <c r="M1312" s="2" t="s">
        <v>134</v>
      </c>
      <c r="N1312" s="2">
        <v>310</v>
      </c>
      <c r="O1312" s="2">
        <v>19665470.809999999</v>
      </c>
      <c r="P1312" s="2">
        <v>63437</v>
      </c>
    </row>
    <row r="1313" spans="1:16" outlineLevel="2" x14ac:dyDescent="0.2">
      <c r="A1313" s="5">
        <v>46070</v>
      </c>
      <c r="B1313" s="2">
        <v>157090</v>
      </c>
      <c r="C1313" s="2">
        <v>3</v>
      </c>
      <c r="D1313" s="2" t="s">
        <v>38</v>
      </c>
      <c r="E1313" s="2" t="s">
        <v>39</v>
      </c>
      <c r="F1313" s="2" t="s">
        <v>63</v>
      </c>
      <c r="G1313" s="2" t="s">
        <v>22</v>
      </c>
      <c r="H1313" s="2" t="s">
        <v>23</v>
      </c>
      <c r="I1313" s="2" t="s">
        <v>135</v>
      </c>
      <c r="J1313" s="2">
        <v>1</v>
      </c>
      <c r="K1313" s="2" t="s">
        <v>24</v>
      </c>
      <c r="L1313" s="2">
        <v>1846</v>
      </c>
      <c r="M1313" s="2" t="s">
        <v>134</v>
      </c>
      <c r="N1313" s="2">
        <v>264</v>
      </c>
      <c r="O1313" s="2">
        <v>16949715.440000001</v>
      </c>
      <c r="P1313" s="2">
        <v>64203.47</v>
      </c>
    </row>
    <row r="1314" spans="1:16" outlineLevel="2" x14ac:dyDescent="0.2">
      <c r="A1314" s="5">
        <v>46073</v>
      </c>
      <c r="B1314" s="2">
        <v>157090</v>
      </c>
      <c r="C1314" s="2">
        <v>4</v>
      </c>
      <c r="D1314" s="2" t="s">
        <v>38</v>
      </c>
      <c r="E1314" s="2" t="s">
        <v>39</v>
      </c>
      <c r="F1314" s="2" t="s">
        <v>63</v>
      </c>
      <c r="G1314" s="2" t="s">
        <v>22</v>
      </c>
      <c r="H1314" s="2" t="s">
        <v>23</v>
      </c>
      <c r="I1314" s="2" t="s">
        <v>133</v>
      </c>
      <c r="J1314" s="2">
        <v>1</v>
      </c>
      <c r="K1314" s="2" t="s">
        <v>24</v>
      </c>
      <c r="L1314" s="2">
        <v>1846</v>
      </c>
      <c r="M1314" s="2" t="s">
        <v>134</v>
      </c>
      <c r="N1314" s="2">
        <v>440</v>
      </c>
      <c r="O1314" s="2">
        <v>22305052.41</v>
      </c>
      <c r="P1314" s="2">
        <v>50693.3</v>
      </c>
    </row>
    <row r="1315" spans="1:16" outlineLevel="2" x14ac:dyDescent="0.2">
      <c r="A1315" s="5">
        <v>46070</v>
      </c>
      <c r="B1315" s="2">
        <v>157090</v>
      </c>
      <c r="C1315" s="2">
        <v>5</v>
      </c>
      <c r="D1315" s="2" t="s">
        <v>38</v>
      </c>
      <c r="E1315" s="2" t="s">
        <v>39</v>
      </c>
      <c r="F1315" s="2" t="s">
        <v>63</v>
      </c>
      <c r="G1315" s="2" t="s">
        <v>22</v>
      </c>
      <c r="H1315" s="2" t="s">
        <v>23</v>
      </c>
      <c r="I1315" s="2" t="s">
        <v>23</v>
      </c>
      <c r="J1315" s="2">
        <v>124</v>
      </c>
      <c r="K1315" s="2" t="s">
        <v>155</v>
      </c>
      <c r="L1315" s="2">
        <v>1846</v>
      </c>
      <c r="M1315" s="2" t="s">
        <v>134</v>
      </c>
      <c r="N1315" s="2">
        <v>110</v>
      </c>
      <c r="O1315" s="2">
        <v>8163544.1600000001</v>
      </c>
      <c r="P1315" s="2">
        <v>74214.039999999994</v>
      </c>
    </row>
    <row r="1316" spans="1:16" outlineLevel="1" x14ac:dyDescent="0.2">
      <c r="A1316" s="5"/>
      <c r="D1316" s="3" t="s">
        <v>721</v>
      </c>
      <c r="N1316" s="2">
        <f>SUBTOTAL(9,N1312:N1315)</f>
        <v>1124</v>
      </c>
      <c r="O1316" s="2">
        <f>SUBTOTAL(9,O1312:O1315)</f>
        <v>67083782.819999993</v>
      </c>
    </row>
    <row r="1317" spans="1:16" outlineLevel="2" x14ac:dyDescent="0.2">
      <c r="A1317" s="5">
        <v>46160</v>
      </c>
      <c r="B1317" s="2">
        <v>157097</v>
      </c>
      <c r="C1317" s="2">
        <v>300</v>
      </c>
      <c r="D1317" s="2" t="s">
        <v>197</v>
      </c>
      <c r="E1317" s="2" t="s">
        <v>284</v>
      </c>
      <c r="F1317" s="2" t="s">
        <v>245</v>
      </c>
      <c r="G1317" s="2" t="s">
        <v>22</v>
      </c>
      <c r="H1317" s="2" t="s">
        <v>23</v>
      </c>
      <c r="I1317" s="2" t="s">
        <v>23</v>
      </c>
      <c r="J1317" s="2">
        <v>2</v>
      </c>
      <c r="K1317" s="2" t="s">
        <v>48</v>
      </c>
      <c r="L1317" s="2">
        <v>155</v>
      </c>
      <c r="M1317" s="2" t="s">
        <v>328</v>
      </c>
      <c r="N1317" s="2">
        <v>72</v>
      </c>
      <c r="O1317" s="2">
        <v>678005.67</v>
      </c>
      <c r="P1317" s="2">
        <v>9416.75</v>
      </c>
    </row>
    <row r="1318" spans="1:16" outlineLevel="1" x14ac:dyDescent="0.2">
      <c r="A1318" s="5"/>
      <c r="D1318" s="3" t="s">
        <v>734</v>
      </c>
      <c r="N1318" s="2">
        <f>SUBTOTAL(9,N1317:N1317)</f>
        <v>72</v>
      </c>
      <c r="O1318" s="2">
        <f>SUBTOTAL(9,O1317:O1317)</f>
        <v>678005.67</v>
      </c>
    </row>
    <row r="1319" spans="1:16" outlineLevel="2" x14ac:dyDescent="0.2">
      <c r="A1319" s="5">
        <v>46070</v>
      </c>
      <c r="B1319" s="2">
        <v>157098</v>
      </c>
      <c r="C1319" s="2">
        <v>1</v>
      </c>
      <c r="D1319" s="2" t="s">
        <v>353</v>
      </c>
      <c r="E1319" s="2" t="s">
        <v>244</v>
      </c>
      <c r="F1319" s="2" t="s">
        <v>23</v>
      </c>
      <c r="G1319" s="2" t="s">
        <v>55</v>
      </c>
      <c r="H1319" s="2" t="s">
        <v>23</v>
      </c>
      <c r="I1319" s="2" t="s">
        <v>23</v>
      </c>
      <c r="J1319" s="2">
        <v>2</v>
      </c>
      <c r="K1319" s="2" t="s">
        <v>48</v>
      </c>
      <c r="L1319" s="2">
        <v>182</v>
      </c>
      <c r="M1319" s="2" t="s">
        <v>263</v>
      </c>
      <c r="N1319" s="2">
        <v>409</v>
      </c>
      <c r="O1319" s="2">
        <v>12352564.109999999</v>
      </c>
      <c r="P1319" s="2">
        <v>30201.87</v>
      </c>
    </row>
    <row r="1320" spans="1:16" outlineLevel="1" x14ac:dyDescent="0.2">
      <c r="A1320" s="5"/>
      <c r="D1320" s="3" t="s">
        <v>757</v>
      </c>
      <c r="N1320" s="2">
        <f>SUBTOTAL(9,N1319:N1319)</f>
        <v>409</v>
      </c>
      <c r="O1320" s="2">
        <f>SUBTOTAL(9,O1319:O1319)</f>
        <v>12352564.109999999</v>
      </c>
    </row>
    <row r="1321" spans="1:16" outlineLevel="2" x14ac:dyDescent="0.2">
      <c r="A1321" s="5">
        <v>46073</v>
      </c>
      <c r="B1321" s="2">
        <v>157104</v>
      </c>
      <c r="C1321" s="2">
        <v>306</v>
      </c>
      <c r="D1321" s="2" t="s">
        <v>54</v>
      </c>
      <c r="E1321" s="2" t="s">
        <v>151</v>
      </c>
      <c r="F1321" s="2" t="s">
        <v>55</v>
      </c>
      <c r="G1321" s="2" t="s">
        <v>55</v>
      </c>
      <c r="H1321" s="2" t="s">
        <v>23</v>
      </c>
      <c r="I1321" s="2" t="s">
        <v>23</v>
      </c>
      <c r="J1321" s="2">
        <v>2</v>
      </c>
      <c r="K1321" s="2" t="s">
        <v>48</v>
      </c>
      <c r="L1321" s="2">
        <v>25095</v>
      </c>
      <c r="M1321" s="2" t="s">
        <v>216</v>
      </c>
      <c r="N1321" s="2">
        <v>3</v>
      </c>
      <c r="O1321" s="2">
        <v>13114.17</v>
      </c>
      <c r="P1321" s="2">
        <v>4371.3900000000003</v>
      </c>
    </row>
    <row r="1322" spans="1:16" outlineLevel="1" x14ac:dyDescent="0.2">
      <c r="A1322" s="5"/>
      <c r="D1322" s="3" t="s">
        <v>719</v>
      </c>
      <c r="N1322" s="2">
        <f>SUBTOTAL(9,N1321:N1321)</f>
        <v>3</v>
      </c>
      <c r="O1322" s="2">
        <f>SUBTOTAL(9,O1321:O1321)</f>
        <v>13114.17</v>
      </c>
    </row>
    <row r="1323" spans="1:16" outlineLevel="2" x14ac:dyDescent="0.2">
      <c r="A1323" s="5">
        <v>46070</v>
      </c>
      <c r="B1323" s="2">
        <v>157105</v>
      </c>
      <c r="C1323" s="2">
        <v>1</v>
      </c>
      <c r="D1323" s="2" t="s">
        <v>33</v>
      </c>
      <c r="E1323" s="2" t="s">
        <v>23</v>
      </c>
      <c r="F1323" s="2" t="s">
        <v>35</v>
      </c>
      <c r="G1323" s="2" t="s">
        <v>22</v>
      </c>
      <c r="H1323" s="2" t="s">
        <v>23</v>
      </c>
      <c r="I1323" s="2" t="s">
        <v>109</v>
      </c>
      <c r="J1323" s="2">
        <v>1</v>
      </c>
      <c r="K1323" s="2" t="s">
        <v>24</v>
      </c>
      <c r="L1323" s="2">
        <v>2520</v>
      </c>
      <c r="M1323" s="2" t="s">
        <v>37</v>
      </c>
      <c r="N1323" s="2">
        <v>168</v>
      </c>
      <c r="O1323" s="2">
        <v>3694921.66</v>
      </c>
      <c r="P1323" s="2">
        <v>21993.58</v>
      </c>
    </row>
    <row r="1324" spans="1:16" outlineLevel="2" x14ac:dyDescent="0.2">
      <c r="A1324" s="5">
        <v>46070</v>
      </c>
      <c r="B1324" s="2">
        <v>157105</v>
      </c>
      <c r="C1324" s="2">
        <v>2</v>
      </c>
      <c r="D1324" s="2" t="s">
        <v>33</v>
      </c>
      <c r="E1324" s="2" t="s">
        <v>23</v>
      </c>
      <c r="F1324" s="2" t="s">
        <v>35</v>
      </c>
      <c r="G1324" s="2" t="s">
        <v>22</v>
      </c>
      <c r="H1324" s="2" t="s">
        <v>23</v>
      </c>
      <c r="I1324" s="2" t="s">
        <v>101</v>
      </c>
      <c r="J1324" s="2">
        <v>1</v>
      </c>
      <c r="K1324" s="2" t="s">
        <v>24</v>
      </c>
      <c r="L1324" s="2">
        <v>2520</v>
      </c>
      <c r="M1324" s="2" t="s">
        <v>37</v>
      </c>
      <c r="N1324" s="2">
        <v>690</v>
      </c>
      <c r="O1324" s="2">
        <v>13982173.939999999</v>
      </c>
      <c r="P1324" s="2">
        <v>20264.02</v>
      </c>
    </row>
    <row r="1325" spans="1:16" outlineLevel="2" x14ac:dyDescent="0.2">
      <c r="A1325" s="5">
        <v>46078</v>
      </c>
      <c r="B1325" s="2">
        <v>157105</v>
      </c>
      <c r="C1325" s="2">
        <v>3</v>
      </c>
      <c r="D1325" s="2" t="s">
        <v>33</v>
      </c>
      <c r="E1325" s="2" t="s">
        <v>354</v>
      </c>
      <c r="F1325" s="2" t="s">
        <v>35</v>
      </c>
      <c r="G1325" s="2" t="s">
        <v>22</v>
      </c>
      <c r="H1325" s="2" t="s">
        <v>23</v>
      </c>
      <c r="I1325" s="2" t="s">
        <v>154</v>
      </c>
      <c r="J1325" s="2">
        <v>1</v>
      </c>
      <c r="K1325" s="2" t="s">
        <v>24</v>
      </c>
      <c r="L1325" s="2">
        <v>2520</v>
      </c>
      <c r="M1325" s="2" t="s">
        <v>37</v>
      </c>
      <c r="N1325" s="2">
        <v>278</v>
      </c>
      <c r="O1325" s="2">
        <v>3953616.11</v>
      </c>
      <c r="P1325" s="2">
        <v>14221.64</v>
      </c>
    </row>
    <row r="1326" spans="1:16" outlineLevel="2" x14ac:dyDescent="0.2">
      <c r="A1326" s="5">
        <v>46070</v>
      </c>
      <c r="B1326" s="2">
        <v>157105</v>
      </c>
      <c r="C1326" s="2">
        <v>4</v>
      </c>
      <c r="D1326" s="2" t="s">
        <v>33</v>
      </c>
      <c r="E1326" s="2" t="s">
        <v>23</v>
      </c>
      <c r="F1326" s="2" t="s">
        <v>35</v>
      </c>
      <c r="G1326" s="2" t="s">
        <v>22</v>
      </c>
      <c r="H1326" s="2" t="s">
        <v>23</v>
      </c>
      <c r="I1326" s="2" t="s">
        <v>355</v>
      </c>
      <c r="J1326" s="2">
        <v>1</v>
      </c>
      <c r="K1326" s="2" t="s">
        <v>24</v>
      </c>
      <c r="L1326" s="2">
        <v>2520</v>
      </c>
      <c r="M1326" s="2" t="s">
        <v>37</v>
      </c>
      <c r="N1326" s="2">
        <v>778</v>
      </c>
      <c r="O1326" s="2">
        <v>16750308.4</v>
      </c>
      <c r="P1326" s="2">
        <v>21529.96</v>
      </c>
    </row>
    <row r="1327" spans="1:16" outlineLevel="1" x14ac:dyDescent="0.2">
      <c r="A1327" s="5"/>
      <c r="D1327" s="3" t="s">
        <v>705</v>
      </c>
      <c r="N1327" s="2">
        <f>SUBTOTAL(9,N1323:N1326)</f>
        <v>1914</v>
      </c>
      <c r="O1327" s="2">
        <f>SUBTOTAL(9,O1323:O1326)</f>
        <v>38381020.109999999</v>
      </c>
    </row>
    <row r="1328" spans="1:16" outlineLevel="2" x14ac:dyDescent="0.2">
      <c r="A1328" s="5">
        <v>46150</v>
      </c>
      <c r="B1328" s="2">
        <v>157112</v>
      </c>
      <c r="C1328" s="2">
        <v>1</v>
      </c>
      <c r="D1328" s="2" t="s">
        <v>57</v>
      </c>
      <c r="E1328" s="2" t="s">
        <v>259</v>
      </c>
      <c r="F1328" s="2" t="s">
        <v>55</v>
      </c>
      <c r="G1328" s="2" t="s">
        <v>23</v>
      </c>
      <c r="H1328" s="2" t="s">
        <v>23</v>
      </c>
      <c r="I1328" s="2" t="s">
        <v>23</v>
      </c>
      <c r="J1328" s="2">
        <v>1</v>
      </c>
      <c r="K1328" s="2" t="s">
        <v>24</v>
      </c>
      <c r="L1328" s="2">
        <v>986</v>
      </c>
      <c r="M1328" s="2" t="s">
        <v>260</v>
      </c>
      <c r="N1328" s="2">
        <v>2</v>
      </c>
      <c r="O1328" s="2">
        <v>74071.12</v>
      </c>
      <c r="P1328" s="2">
        <v>37035.56</v>
      </c>
    </row>
    <row r="1329" spans="1:16" outlineLevel="1" x14ac:dyDescent="0.2">
      <c r="A1329" s="5"/>
      <c r="D1329" s="3" t="s">
        <v>716</v>
      </c>
      <c r="N1329" s="2">
        <f>SUBTOTAL(9,N1328:N1328)</f>
        <v>2</v>
      </c>
      <c r="O1329" s="2">
        <f>SUBTOTAL(9,O1328:O1328)</f>
        <v>74071.12</v>
      </c>
    </row>
    <row r="1330" spans="1:16" outlineLevel="2" x14ac:dyDescent="0.2">
      <c r="A1330" s="5">
        <v>46071</v>
      </c>
      <c r="B1330" s="2">
        <v>157113</v>
      </c>
      <c r="C1330" s="2">
        <v>1</v>
      </c>
      <c r="D1330" s="2" t="s">
        <v>140</v>
      </c>
      <c r="E1330" s="2" t="s">
        <v>342</v>
      </c>
      <c r="F1330" s="2" t="s">
        <v>108</v>
      </c>
      <c r="G1330" s="2" t="s">
        <v>22</v>
      </c>
      <c r="H1330" s="2" t="s">
        <v>23</v>
      </c>
      <c r="I1330" s="2" t="s">
        <v>23</v>
      </c>
      <c r="J1330" s="2">
        <v>1</v>
      </c>
      <c r="K1330" s="2" t="s">
        <v>24</v>
      </c>
      <c r="L1330" s="2">
        <v>1833</v>
      </c>
      <c r="M1330" s="2" t="s">
        <v>142</v>
      </c>
      <c r="N1330" s="2">
        <v>15</v>
      </c>
      <c r="O1330" s="2">
        <v>453881.59</v>
      </c>
      <c r="P1330" s="2">
        <v>30258.77</v>
      </c>
    </row>
    <row r="1331" spans="1:16" outlineLevel="2" x14ac:dyDescent="0.2">
      <c r="A1331" s="5">
        <v>46071</v>
      </c>
      <c r="B1331" s="2">
        <v>157113</v>
      </c>
      <c r="C1331" s="2">
        <v>2</v>
      </c>
      <c r="D1331" s="2" t="s">
        <v>140</v>
      </c>
      <c r="E1331" s="2" t="s">
        <v>248</v>
      </c>
      <c r="F1331" s="2" t="s">
        <v>55</v>
      </c>
      <c r="G1331" s="2" t="s">
        <v>22</v>
      </c>
      <c r="H1331" s="2" t="s">
        <v>23</v>
      </c>
      <c r="I1331" s="2" t="s">
        <v>23</v>
      </c>
      <c r="J1331" s="2">
        <v>1</v>
      </c>
      <c r="K1331" s="2" t="s">
        <v>24</v>
      </c>
      <c r="L1331" s="2">
        <v>1833</v>
      </c>
      <c r="M1331" s="2" t="s">
        <v>142</v>
      </c>
      <c r="N1331" s="2">
        <v>5</v>
      </c>
      <c r="O1331" s="2">
        <v>92798.35</v>
      </c>
      <c r="P1331" s="2">
        <v>18559.669999999998</v>
      </c>
    </row>
    <row r="1332" spans="1:16" outlineLevel="1" x14ac:dyDescent="0.2">
      <c r="A1332" s="5"/>
      <c r="D1332" s="3" t="s">
        <v>696</v>
      </c>
      <c r="N1332" s="2">
        <f>SUBTOTAL(9,N1330:N1331)</f>
        <v>20</v>
      </c>
      <c r="O1332" s="2">
        <f>SUBTOTAL(9,O1330:O1331)</f>
        <v>546679.94000000006</v>
      </c>
    </row>
    <row r="1333" spans="1:16" outlineLevel="2" x14ac:dyDescent="0.2">
      <c r="A1333" s="5">
        <v>46071</v>
      </c>
      <c r="B1333" s="2">
        <v>157114</v>
      </c>
      <c r="C1333" s="2">
        <v>1</v>
      </c>
      <c r="D1333" s="2" t="s">
        <v>45</v>
      </c>
      <c r="E1333" s="2" t="s">
        <v>227</v>
      </c>
      <c r="F1333" s="2" t="s">
        <v>47</v>
      </c>
      <c r="G1333" s="2" t="s">
        <v>22</v>
      </c>
      <c r="H1333" s="2" t="s">
        <v>23</v>
      </c>
      <c r="I1333" s="2" t="s">
        <v>23</v>
      </c>
      <c r="J1333" s="2">
        <v>41</v>
      </c>
      <c r="K1333" s="2" t="s">
        <v>129</v>
      </c>
      <c r="L1333" s="2">
        <v>1964</v>
      </c>
      <c r="M1333" s="2" t="s">
        <v>49</v>
      </c>
      <c r="N1333" s="2">
        <v>50</v>
      </c>
      <c r="O1333" s="2">
        <v>695556.84</v>
      </c>
      <c r="P1333" s="2">
        <v>13911.14</v>
      </c>
    </row>
    <row r="1334" spans="1:16" outlineLevel="1" x14ac:dyDescent="0.2">
      <c r="A1334" s="5"/>
      <c r="D1334" s="3" t="s">
        <v>733</v>
      </c>
      <c r="N1334" s="2">
        <f>SUBTOTAL(9,N1333:N1333)</f>
        <v>50</v>
      </c>
      <c r="O1334" s="2">
        <f>SUBTOTAL(9,O1333:O1333)</f>
        <v>695556.84</v>
      </c>
    </row>
    <row r="1335" spans="1:16" outlineLevel="2" x14ac:dyDescent="0.2">
      <c r="A1335" s="5">
        <v>46071</v>
      </c>
      <c r="B1335" s="2">
        <v>157114</v>
      </c>
      <c r="C1335" s="2">
        <v>2</v>
      </c>
      <c r="D1335" s="2" t="s">
        <v>226</v>
      </c>
      <c r="E1335" s="2" t="s">
        <v>227</v>
      </c>
      <c r="F1335" s="2" t="s">
        <v>47</v>
      </c>
      <c r="G1335" s="2" t="s">
        <v>22</v>
      </c>
      <c r="H1335" s="2" t="s">
        <v>23</v>
      </c>
      <c r="I1335" s="2" t="s">
        <v>23</v>
      </c>
      <c r="J1335" s="2">
        <v>41</v>
      </c>
      <c r="K1335" s="2" t="s">
        <v>129</v>
      </c>
      <c r="L1335" s="2">
        <v>1964</v>
      </c>
      <c r="M1335" s="2" t="s">
        <v>49</v>
      </c>
      <c r="N1335" s="2">
        <v>50</v>
      </c>
      <c r="O1335" s="2">
        <v>970921.45</v>
      </c>
      <c r="P1335" s="2">
        <v>19418.43</v>
      </c>
    </row>
    <row r="1336" spans="1:16" outlineLevel="2" x14ac:dyDescent="0.2">
      <c r="A1336" s="5">
        <v>46071</v>
      </c>
      <c r="B1336" s="2">
        <v>157114</v>
      </c>
      <c r="C1336" s="2">
        <v>3</v>
      </c>
      <c r="D1336" s="2" t="s">
        <v>226</v>
      </c>
      <c r="E1336" s="2" t="s">
        <v>151</v>
      </c>
      <c r="F1336" s="2" t="s">
        <v>47</v>
      </c>
      <c r="G1336" s="2" t="s">
        <v>22</v>
      </c>
      <c r="H1336" s="2" t="s">
        <v>23</v>
      </c>
      <c r="I1336" s="2" t="s">
        <v>23</v>
      </c>
      <c r="J1336" s="2">
        <v>41</v>
      </c>
      <c r="K1336" s="2" t="s">
        <v>129</v>
      </c>
      <c r="L1336" s="2">
        <v>1964</v>
      </c>
      <c r="M1336" s="2" t="s">
        <v>49</v>
      </c>
      <c r="N1336" s="2">
        <v>15</v>
      </c>
      <c r="O1336" s="2">
        <v>146142.43</v>
      </c>
      <c r="P1336" s="2">
        <v>9742.83</v>
      </c>
    </row>
    <row r="1337" spans="1:16" outlineLevel="2" x14ac:dyDescent="0.2">
      <c r="A1337" s="5">
        <v>46071</v>
      </c>
      <c r="B1337" s="2">
        <v>157114</v>
      </c>
      <c r="C1337" s="2">
        <v>4</v>
      </c>
      <c r="D1337" s="2" t="s">
        <v>226</v>
      </c>
      <c r="E1337" s="2" t="s">
        <v>67</v>
      </c>
      <c r="F1337" s="2" t="s">
        <v>47</v>
      </c>
      <c r="G1337" s="2" t="s">
        <v>22</v>
      </c>
      <c r="H1337" s="2" t="s">
        <v>23</v>
      </c>
      <c r="I1337" s="2" t="s">
        <v>23</v>
      </c>
      <c r="J1337" s="2">
        <v>41</v>
      </c>
      <c r="K1337" s="2" t="s">
        <v>129</v>
      </c>
      <c r="L1337" s="2">
        <v>1964</v>
      </c>
      <c r="M1337" s="2" t="s">
        <v>49</v>
      </c>
      <c r="N1337" s="2">
        <v>16</v>
      </c>
      <c r="O1337" s="2">
        <v>168886.76</v>
      </c>
      <c r="P1337" s="2">
        <v>10555.42</v>
      </c>
    </row>
    <row r="1338" spans="1:16" outlineLevel="1" x14ac:dyDescent="0.2">
      <c r="A1338" s="5"/>
      <c r="D1338" s="3" t="s">
        <v>736</v>
      </c>
      <c r="N1338" s="2">
        <f>SUBTOTAL(9,N1335:N1337)</f>
        <v>81</v>
      </c>
      <c r="O1338" s="2">
        <f>SUBTOTAL(9,O1335:O1337)</f>
        <v>1285950.6399999999</v>
      </c>
    </row>
    <row r="1339" spans="1:16" outlineLevel="2" x14ac:dyDescent="0.2">
      <c r="A1339" s="5">
        <v>46071</v>
      </c>
      <c r="B1339" s="2">
        <v>157114</v>
      </c>
      <c r="C1339" s="2">
        <v>5</v>
      </c>
      <c r="D1339" s="2" t="s">
        <v>45</v>
      </c>
      <c r="E1339" s="2" t="s">
        <v>228</v>
      </c>
      <c r="F1339" s="2" t="s">
        <v>47</v>
      </c>
      <c r="G1339" s="2" t="s">
        <v>22</v>
      </c>
      <c r="H1339" s="2" t="s">
        <v>23</v>
      </c>
      <c r="I1339" s="2" t="s">
        <v>23</v>
      </c>
      <c r="J1339" s="2">
        <v>41</v>
      </c>
      <c r="K1339" s="2" t="s">
        <v>129</v>
      </c>
      <c r="L1339" s="2">
        <v>1964</v>
      </c>
      <c r="M1339" s="2" t="s">
        <v>49</v>
      </c>
      <c r="N1339" s="2">
        <v>15</v>
      </c>
      <c r="O1339" s="2">
        <v>210253.9</v>
      </c>
      <c r="P1339" s="2">
        <v>14016.93</v>
      </c>
    </row>
    <row r="1340" spans="1:16" outlineLevel="2" x14ac:dyDescent="0.2">
      <c r="A1340" s="5">
        <v>46087</v>
      </c>
      <c r="B1340" s="2">
        <v>157115</v>
      </c>
      <c r="C1340" s="2">
        <v>305</v>
      </c>
      <c r="D1340" s="2" t="s">
        <v>45</v>
      </c>
      <c r="E1340" s="2" t="s">
        <v>46</v>
      </c>
      <c r="F1340" s="2" t="s">
        <v>55</v>
      </c>
      <c r="G1340" s="2" t="s">
        <v>23</v>
      </c>
      <c r="H1340" s="2" t="s">
        <v>23</v>
      </c>
      <c r="I1340" s="2" t="s">
        <v>23</v>
      </c>
      <c r="J1340" s="2">
        <v>2</v>
      </c>
      <c r="K1340" s="2" t="s">
        <v>48</v>
      </c>
      <c r="L1340" s="2">
        <v>626</v>
      </c>
      <c r="M1340" s="2" t="s">
        <v>49</v>
      </c>
      <c r="N1340" s="2">
        <v>5</v>
      </c>
      <c r="O1340" s="2">
        <v>21856.95</v>
      </c>
      <c r="P1340" s="2">
        <v>4371.3900000000003</v>
      </c>
    </row>
    <row r="1341" spans="1:16" outlineLevel="1" x14ac:dyDescent="0.2">
      <c r="A1341" s="5"/>
      <c r="D1341" s="3" t="s">
        <v>733</v>
      </c>
      <c r="N1341" s="2">
        <f>SUBTOTAL(9,N1339:N1340)</f>
        <v>20</v>
      </c>
      <c r="O1341" s="2">
        <f>SUBTOTAL(9,O1339:O1340)</f>
        <v>232110.85</v>
      </c>
    </row>
    <row r="1342" spans="1:16" outlineLevel="2" x14ac:dyDescent="0.2">
      <c r="A1342" s="5">
        <v>46072</v>
      </c>
      <c r="B1342" s="2">
        <v>157125</v>
      </c>
      <c r="C1342" s="2">
        <v>1</v>
      </c>
      <c r="D1342" s="2" t="s">
        <v>143</v>
      </c>
      <c r="E1342" s="2" t="s">
        <v>23</v>
      </c>
      <c r="F1342" s="2" t="s">
        <v>144</v>
      </c>
      <c r="G1342" s="2" t="s">
        <v>22</v>
      </c>
      <c r="H1342" s="2" t="s">
        <v>23</v>
      </c>
      <c r="I1342" s="2" t="s">
        <v>23</v>
      </c>
      <c r="J1342" s="2">
        <v>1</v>
      </c>
      <c r="K1342" s="2" t="s">
        <v>24</v>
      </c>
      <c r="L1342" s="2">
        <v>2101</v>
      </c>
      <c r="M1342" s="2" t="s">
        <v>145</v>
      </c>
      <c r="N1342" s="2">
        <v>126</v>
      </c>
      <c r="O1342" s="2">
        <v>1485167.58</v>
      </c>
      <c r="P1342" s="2">
        <v>11787.04</v>
      </c>
    </row>
    <row r="1343" spans="1:16" outlineLevel="1" x14ac:dyDescent="0.2">
      <c r="A1343" s="5"/>
      <c r="D1343" s="3" t="s">
        <v>706</v>
      </c>
      <c r="N1343" s="2">
        <f>SUBTOTAL(9,N1342:N1342)</f>
        <v>126</v>
      </c>
      <c r="O1343" s="2">
        <f>SUBTOTAL(9,O1342:O1342)</f>
        <v>1485167.58</v>
      </c>
    </row>
    <row r="1344" spans="1:16" outlineLevel="2" x14ac:dyDescent="0.2">
      <c r="A1344" s="5">
        <v>46073</v>
      </c>
      <c r="B1344" s="2">
        <v>157127</v>
      </c>
      <c r="C1344" s="2">
        <v>1</v>
      </c>
      <c r="D1344" s="2" t="s">
        <v>207</v>
      </c>
      <c r="E1344" s="2" t="s">
        <v>23</v>
      </c>
      <c r="F1344" s="2" t="s">
        <v>47</v>
      </c>
      <c r="G1344" s="2" t="s">
        <v>22</v>
      </c>
      <c r="H1344" s="2" t="s">
        <v>208</v>
      </c>
      <c r="I1344" s="2" t="s">
        <v>23</v>
      </c>
      <c r="J1344" s="2">
        <v>41</v>
      </c>
      <c r="K1344" s="2" t="s">
        <v>129</v>
      </c>
      <c r="L1344" s="2">
        <v>25213</v>
      </c>
      <c r="M1344" s="2" t="s">
        <v>130</v>
      </c>
      <c r="N1344" s="2">
        <v>50</v>
      </c>
      <c r="O1344" s="2">
        <v>181232</v>
      </c>
      <c r="P1344" s="2">
        <v>3624.64</v>
      </c>
    </row>
    <row r="1345" spans="1:16" outlineLevel="1" x14ac:dyDescent="0.2">
      <c r="A1345" s="5"/>
      <c r="D1345" s="3" t="s">
        <v>699</v>
      </c>
      <c r="N1345" s="2">
        <f>SUBTOTAL(9,N1344:N1344)</f>
        <v>50</v>
      </c>
      <c r="O1345" s="2">
        <f>SUBTOTAL(9,O1344:O1344)</f>
        <v>181232</v>
      </c>
    </row>
    <row r="1346" spans="1:16" outlineLevel="2" x14ac:dyDescent="0.2">
      <c r="A1346" s="5">
        <v>46073</v>
      </c>
      <c r="B1346" s="2">
        <v>157127</v>
      </c>
      <c r="C1346" s="2">
        <v>2</v>
      </c>
      <c r="D1346" s="2" t="s">
        <v>128</v>
      </c>
      <c r="E1346" s="2" t="s">
        <v>23</v>
      </c>
      <c r="F1346" s="2" t="s">
        <v>47</v>
      </c>
      <c r="G1346" s="2" t="s">
        <v>22</v>
      </c>
      <c r="H1346" s="2" t="s">
        <v>23</v>
      </c>
      <c r="I1346" s="2" t="s">
        <v>23</v>
      </c>
      <c r="J1346" s="2">
        <v>41</v>
      </c>
      <c r="K1346" s="2" t="s">
        <v>129</v>
      </c>
      <c r="L1346" s="2">
        <v>25213</v>
      </c>
      <c r="M1346" s="2" t="s">
        <v>130</v>
      </c>
      <c r="N1346" s="2">
        <v>50</v>
      </c>
      <c r="O1346" s="2">
        <v>181792.08</v>
      </c>
      <c r="P1346" s="2">
        <v>3635.84</v>
      </c>
    </row>
    <row r="1347" spans="1:16" outlineLevel="1" x14ac:dyDescent="0.2">
      <c r="A1347" s="5"/>
      <c r="D1347" s="3" t="s">
        <v>732</v>
      </c>
      <c r="N1347" s="2">
        <f>SUBTOTAL(9,N1346:N1346)</f>
        <v>50</v>
      </c>
      <c r="O1347" s="2">
        <f>SUBTOTAL(9,O1346:O1346)</f>
        <v>181792.08</v>
      </c>
    </row>
    <row r="1348" spans="1:16" outlineLevel="2" x14ac:dyDescent="0.2">
      <c r="A1348" s="5">
        <v>46073</v>
      </c>
      <c r="B1348" s="2">
        <v>157127</v>
      </c>
      <c r="C1348" s="2">
        <v>3</v>
      </c>
      <c r="D1348" s="2" t="s">
        <v>207</v>
      </c>
      <c r="E1348" s="2" t="s">
        <v>23</v>
      </c>
      <c r="F1348" s="2" t="s">
        <v>47</v>
      </c>
      <c r="G1348" s="2" t="s">
        <v>22</v>
      </c>
      <c r="H1348" s="2" t="s">
        <v>209</v>
      </c>
      <c r="I1348" s="2" t="s">
        <v>23</v>
      </c>
      <c r="J1348" s="2">
        <v>1</v>
      </c>
      <c r="K1348" s="2" t="s">
        <v>24</v>
      </c>
      <c r="L1348" s="2">
        <v>25213</v>
      </c>
      <c r="M1348" s="2" t="s">
        <v>130</v>
      </c>
      <c r="N1348" s="2">
        <v>25</v>
      </c>
      <c r="O1348" s="2">
        <v>81281.75</v>
      </c>
      <c r="P1348" s="2">
        <v>3251.27</v>
      </c>
    </row>
    <row r="1349" spans="1:16" outlineLevel="2" x14ac:dyDescent="0.2">
      <c r="A1349" s="5">
        <v>46073</v>
      </c>
      <c r="B1349" s="2">
        <v>157127</v>
      </c>
      <c r="C1349" s="2">
        <v>4</v>
      </c>
      <c r="D1349" s="2" t="s">
        <v>207</v>
      </c>
      <c r="E1349" s="2" t="s">
        <v>23</v>
      </c>
      <c r="F1349" s="2" t="s">
        <v>47</v>
      </c>
      <c r="G1349" s="2" t="s">
        <v>22</v>
      </c>
      <c r="H1349" s="2" t="s">
        <v>23</v>
      </c>
      <c r="I1349" s="2" t="s">
        <v>23</v>
      </c>
      <c r="J1349" s="2">
        <v>1</v>
      </c>
      <c r="K1349" s="2" t="s">
        <v>24</v>
      </c>
      <c r="L1349" s="2">
        <v>25213</v>
      </c>
      <c r="M1349" s="2" t="s">
        <v>130</v>
      </c>
      <c r="N1349" s="2">
        <v>4</v>
      </c>
      <c r="O1349" s="2">
        <v>297517.28000000003</v>
      </c>
      <c r="P1349" s="2">
        <v>74379.320000000007</v>
      </c>
    </row>
    <row r="1350" spans="1:16" outlineLevel="1" x14ac:dyDescent="0.2">
      <c r="A1350" s="5"/>
      <c r="D1350" s="3" t="s">
        <v>699</v>
      </c>
      <c r="N1350" s="2">
        <f>SUBTOTAL(9,N1348:N1349)</f>
        <v>29</v>
      </c>
      <c r="O1350" s="2">
        <f>SUBTOTAL(9,O1348:O1349)</f>
        <v>378799.03</v>
      </c>
    </row>
    <row r="1351" spans="1:16" outlineLevel="2" x14ac:dyDescent="0.2">
      <c r="A1351" s="5">
        <v>46073</v>
      </c>
      <c r="B1351" s="2">
        <v>157127</v>
      </c>
      <c r="C1351" s="2">
        <v>5</v>
      </c>
      <c r="D1351" s="2" t="s">
        <v>128</v>
      </c>
      <c r="E1351" s="2" t="s">
        <v>23</v>
      </c>
      <c r="F1351" s="2" t="s">
        <v>47</v>
      </c>
      <c r="G1351" s="2" t="s">
        <v>22</v>
      </c>
      <c r="H1351" s="2" t="s">
        <v>23</v>
      </c>
      <c r="I1351" s="2" t="s">
        <v>23</v>
      </c>
      <c r="J1351" s="2">
        <v>1</v>
      </c>
      <c r="K1351" s="2" t="s">
        <v>24</v>
      </c>
      <c r="L1351" s="2">
        <v>25213</v>
      </c>
      <c r="M1351" s="2" t="s">
        <v>130</v>
      </c>
      <c r="N1351" s="2">
        <v>4</v>
      </c>
      <c r="O1351" s="2">
        <v>346056.08</v>
      </c>
      <c r="P1351" s="2">
        <v>86514.02</v>
      </c>
    </row>
    <row r="1352" spans="1:16" outlineLevel="1" x14ac:dyDescent="0.2">
      <c r="A1352" s="5"/>
      <c r="D1352" s="3" t="s">
        <v>732</v>
      </c>
      <c r="N1352" s="2">
        <f>SUBTOTAL(9,N1351:N1351)</f>
        <v>4</v>
      </c>
      <c r="O1352" s="2">
        <f>SUBTOTAL(9,O1351:O1351)</f>
        <v>346056.08</v>
      </c>
    </row>
    <row r="1353" spans="1:16" outlineLevel="2" x14ac:dyDescent="0.2">
      <c r="A1353" s="5">
        <v>46073</v>
      </c>
      <c r="B1353" s="2">
        <v>157127</v>
      </c>
      <c r="C1353" s="2">
        <v>6</v>
      </c>
      <c r="D1353" s="2" t="s">
        <v>207</v>
      </c>
      <c r="E1353" s="2" t="s">
        <v>23</v>
      </c>
      <c r="F1353" s="2" t="s">
        <v>47</v>
      </c>
      <c r="G1353" s="2" t="s">
        <v>210</v>
      </c>
      <c r="H1353" s="2" t="s">
        <v>23</v>
      </c>
      <c r="I1353" s="2" t="s">
        <v>23</v>
      </c>
      <c r="J1353" s="2">
        <v>1</v>
      </c>
      <c r="K1353" s="2" t="s">
        <v>24</v>
      </c>
      <c r="L1353" s="2">
        <v>25213</v>
      </c>
      <c r="M1353" s="2" t="s">
        <v>130</v>
      </c>
      <c r="N1353" s="2">
        <v>2</v>
      </c>
      <c r="O1353" s="2">
        <v>130089.86</v>
      </c>
      <c r="P1353" s="2">
        <v>65044.93</v>
      </c>
    </row>
    <row r="1354" spans="1:16" outlineLevel="1" x14ac:dyDescent="0.2">
      <c r="A1354" s="5"/>
      <c r="D1354" s="3" t="s">
        <v>699</v>
      </c>
      <c r="N1354" s="2">
        <f>SUBTOTAL(9,N1353:N1353)</f>
        <v>2</v>
      </c>
      <c r="O1354" s="2">
        <f>SUBTOTAL(9,O1353:O1353)</f>
        <v>130089.86</v>
      </c>
    </row>
    <row r="1355" spans="1:16" outlineLevel="2" x14ac:dyDescent="0.2">
      <c r="A1355" s="5">
        <v>46073</v>
      </c>
      <c r="B1355" s="2">
        <v>157129</v>
      </c>
      <c r="C1355" s="2">
        <v>1</v>
      </c>
      <c r="D1355" s="2" t="s">
        <v>107</v>
      </c>
      <c r="E1355" s="2" t="s">
        <v>254</v>
      </c>
      <c r="F1355" s="2" t="s">
        <v>31</v>
      </c>
      <c r="G1355" s="2" t="s">
        <v>22</v>
      </c>
      <c r="H1355" s="2" t="s">
        <v>23</v>
      </c>
      <c r="I1355" s="2" t="s">
        <v>23</v>
      </c>
      <c r="J1355" s="2">
        <v>11</v>
      </c>
      <c r="K1355" s="2" t="s">
        <v>257</v>
      </c>
      <c r="L1355" s="2">
        <v>226</v>
      </c>
      <c r="M1355" s="2" t="s">
        <v>59</v>
      </c>
      <c r="N1355" s="2">
        <v>61</v>
      </c>
      <c r="O1355" s="2">
        <v>1378106.14</v>
      </c>
      <c r="P1355" s="2">
        <v>22591.9</v>
      </c>
    </row>
    <row r="1356" spans="1:16" outlineLevel="1" x14ac:dyDescent="0.2">
      <c r="A1356" s="5"/>
      <c r="D1356" s="3" t="s">
        <v>726</v>
      </c>
      <c r="N1356" s="2">
        <f>SUBTOTAL(9,N1355:N1355)</f>
        <v>61</v>
      </c>
      <c r="O1356" s="2">
        <f>SUBTOTAL(9,O1355:O1355)</f>
        <v>1378106.14</v>
      </c>
    </row>
    <row r="1357" spans="1:16" outlineLevel="2" x14ac:dyDescent="0.2">
      <c r="A1357" s="5">
        <v>46073</v>
      </c>
      <c r="B1357" s="2">
        <v>157130</v>
      </c>
      <c r="C1357" s="2">
        <v>1</v>
      </c>
      <c r="D1357" s="2" t="s">
        <v>45</v>
      </c>
      <c r="E1357" s="2" t="s">
        <v>125</v>
      </c>
      <c r="F1357" s="2" t="s">
        <v>47</v>
      </c>
      <c r="G1357" s="2" t="s">
        <v>22</v>
      </c>
      <c r="H1357" s="2" t="s">
        <v>23</v>
      </c>
      <c r="I1357" s="2" t="s">
        <v>23</v>
      </c>
      <c r="J1357" s="2">
        <v>41</v>
      </c>
      <c r="K1357" s="2" t="s">
        <v>129</v>
      </c>
      <c r="L1357" s="2">
        <v>1964</v>
      </c>
      <c r="M1357" s="2" t="s">
        <v>49</v>
      </c>
      <c r="N1357" s="2">
        <v>39</v>
      </c>
      <c r="O1357" s="2">
        <v>304899.55</v>
      </c>
      <c r="P1357" s="2">
        <v>7817.94</v>
      </c>
    </row>
    <row r="1358" spans="1:16" outlineLevel="2" x14ac:dyDescent="0.2">
      <c r="A1358" s="5">
        <v>46073</v>
      </c>
      <c r="B1358" s="2">
        <v>157130</v>
      </c>
      <c r="C1358" s="2">
        <v>2</v>
      </c>
      <c r="D1358" s="2" t="s">
        <v>45</v>
      </c>
      <c r="E1358" s="2" t="s">
        <v>228</v>
      </c>
      <c r="F1358" s="2" t="s">
        <v>47</v>
      </c>
      <c r="G1358" s="2" t="s">
        <v>22</v>
      </c>
      <c r="H1358" s="2" t="s">
        <v>23</v>
      </c>
      <c r="I1358" s="2" t="s">
        <v>23</v>
      </c>
      <c r="J1358" s="2">
        <v>41</v>
      </c>
      <c r="K1358" s="2" t="s">
        <v>129</v>
      </c>
      <c r="L1358" s="2">
        <v>1964</v>
      </c>
      <c r="M1358" s="2" t="s">
        <v>49</v>
      </c>
      <c r="N1358" s="2">
        <v>14</v>
      </c>
      <c r="O1358" s="2">
        <v>197481.56</v>
      </c>
      <c r="P1358" s="2">
        <v>14105.83</v>
      </c>
    </row>
    <row r="1359" spans="1:16" outlineLevel="1" x14ac:dyDescent="0.2">
      <c r="A1359" s="5"/>
      <c r="D1359" s="3" t="s">
        <v>733</v>
      </c>
      <c r="N1359" s="2">
        <f>SUBTOTAL(9,N1357:N1358)</f>
        <v>53</v>
      </c>
      <c r="O1359" s="2">
        <f>SUBTOTAL(9,O1357:O1358)</f>
        <v>502381.11</v>
      </c>
    </row>
    <row r="1360" spans="1:16" outlineLevel="2" x14ac:dyDescent="0.2">
      <c r="A1360" s="5">
        <v>46073</v>
      </c>
      <c r="B1360" s="2">
        <v>157130</v>
      </c>
      <c r="C1360" s="2">
        <v>3</v>
      </c>
      <c r="D1360" s="2" t="s">
        <v>226</v>
      </c>
      <c r="E1360" s="2" t="s">
        <v>227</v>
      </c>
      <c r="F1360" s="2" t="s">
        <v>47</v>
      </c>
      <c r="G1360" s="2" t="s">
        <v>22</v>
      </c>
      <c r="H1360" s="2" t="s">
        <v>23</v>
      </c>
      <c r="I1360" s="2" t="s">
        <v>23</v>
      </c>
      <c r="J1360" s="2">
        <v>41</v>
      </c>
      <c r="K1360" s="2" t="s">
        <v>129</v>
      </c>
      <c r="L1360" s="2">
        <v>1964</v>
      </c>
      <c r="M1360" s="2" t="s">
        <v>49</v>
      </c>
      <c r="N1360" s="2">
        <v>32</v>
      </c>
      <c r="O1360" s="2">
        <v>645808.6</v>
      </c>
      <c r="P1360" s="2">
        <v>20181.52</v>
      </c>
    </row>
    <row r="1361" spans="1:16" outlineLevel="1" x14ac:dyDescent="0.2">
      <c r="A1361" s="5"/>
      <c r="D1361" s="3" t="s">
        <v>736</v>
      </c>
      <c r="N1361" s="2">
        <f>SUBTOTAL(9,N1360:N1360)</f>
        <v>32</v>
      </c>
      <c r="O1361" s="2">
        <f>SUBTOTAL(9,O1360:O1360)</f>
        <v>645808.6</v>
      </c>
    </row>
    <row r="1362" spans="1:16" outlineLevel="2" x14ac:dyDescent="0.2">
      <c r="A1362" s="5">
        <v>46073</v>
      </c>
      <c r="B1362" s="2">
        <v>157130</v>
      </c>
      <c r="C1362" s="2">
        <v>4</v>
      </c>
      <c r="D1362" s="2" t="s">
        <v>45</v>
      </c>
      <c r="E1362" s="2" t="s">
        <v>227</v>
      </c>
      <c r="F1362" s="2" t="s">
        <v>47</v>
      </c>
      <c r="G1362" s="2" t="s">
        <v>22</v>
      </c>
      <c r="H1362" s="2" t="s">
        <v>23</v>
      </c>
      <c r="I1362" s="2" t="s">
        <v>23</v>
      </c>
      <c r="J1362" s="2">
        <v>41</v>
      </c>
      <c r="K1362" s="2" t="s">
        <v>129</v>
      </c>
      <c r="L1362" s="2">
        <v>1964</v>
      </c>
      <c r="M1362" s="2" t="s">
        <v>49</v>
      </c>
      <c r="N1362" s="2">
        <v>24</v>
      </c>
      <c r="O1362" s="2">
        <v>338273.12</v>
      </c>
      <c r="P1362" s="2">
        <v>14094.71</v>
      </c>
    </row>
    <row r="1363" spans="1:16" outlineLevel="1" x14ac:dyDescent="0.2">
      <c r="A1363" s="5"/>
      <c r="D1363" s="3" t="s">
        <v>733</v>
      </c>
      <c r="N1363" s="2">
        <f>SUBTOTAL(9,N1362:N1362)</f>
        <v>24</v>
      </c>
      <c r="O1363" s="2">
        <f>SUBTOTAL(9,O1362:O1362)</f>
        <v>338273.12</v>
      </c>
    </row>
    <row r="1364" spans="1:16" outlineLevel="2" x14ac:dyDescent="0.2">
      <c r="A1364" s="5">
        <v>46073</v>
      </c>
      <c r="B1364" s="2">
        <v>157131</v>
      </c>
      <c r="C1364" s="2">
        <v>1</v>
      </c>
      <c r="D1364" s="2" t="s">
        <v>26</v>
      </c>
      <c r="E1364" s="2" t="s">
        <v>51</v>
      </c>
      <c r="F1364" s="2" t="s">
        <v>52</v>
      </c>
      <c r="G1364" s="2" t="s">
        <v>22</v>
      </c>
      <c r="H1364" s="2" t="s">
        <v>23</v>
      </c>
      <c r="I1364" s="2" t="s">
        <v>23</v>
      </c>
      <c r="J1364" s="2">
        <v>5</v>
      </c>
      <c r="K1364" s="2" t="s">
        <v>27</v>
      </c>
      <c r="L1364" s="2">
        <v>3048</v>
      </c>
      <c r="M1364" s="2" t="s">
        <v>53</v>
      </c>
      <c r="N1364" s="2">
        <v>100</v>
      </c>
      <c r="O1364" s="2">
        <v>887352.65</v>
      </c>
      <c r="P1364" s="2">
        <v>8873.5300000000007</v>
      </c>
    </row>
    <row r="1365" spans="1:16" outlineLevel="2" x14ac:dyDescent="0.2">
      <c r="A1365" s="5">
        <v>46073</v>
      </c>
      <c r="B1365" s="2">
        <v>157131</v>
      </c>
      <c r="C1365" s="2">
        <v>3</v>
      </c>
      <c r="D1365" s="2" t="s">
        <v>26</v>
      </c>
      <c r="E1365" s="2" t="s">
        <v>51</v>
      </c>
      <c r="F1365" s="2" t="s">
        <v>52</v>
      </c>
      <c r="G1365" s="2" t="s">
        <v>22</v>
      </c>
      <c r="H1365" s="2" t="s">
        <v>23</v>
      </c>
      <c r="I1365" s="2" t="s">
        <v>23</v>
      </c>
      <c r="J1365" s="2">
        <v>5</v>
      </c>
      <c r="K1365" s="2" t="s">
        <v>27</v>
      </c>
      <c r="L1365" s="2">
        <v>3048</v>
      </c>
      <c r="M1365" s="2" t="s">
        <v>53</v>
      </c>
      <c r="N1365" s="2">
        <v>105</v>
      </c>
      <c r="O1365" s="2">
        <v>502867.7</v>
      </c>
      <c r="P1365" s="2">
        <v>4789.22</v>
      </c>
    </row>
    <row r="1366" spans="1:16" outlineLevel="1" x14ac:dyDescent="0.2">
      <c r="A1366" s="5"/>
      <c r="D1366" s="3" t="s">
        <v>711</v>
      </c>
      <c r="N1366" s="2">
        <f>SUBTOTAL(9,N1364:N1365)</f>
        <v>205</v>
      </c>
      <c r="O1366" s="2">
        <f>SUBTOTAL(9,O1364:O1365)</f>
        <v>1390220.35</v>
      </c>
    </row>
    <row r="1367" spans="1:16" outlineLevel="2" x14ac:dyDescent="0.2">
      <c r="A1367" s="5">
        <v>46073</v>
      </c>
      <c r="B1367" s="2">
        <v>157147</v>
      </c>
      <c r="C1367" s="2">
        <v>1</v>
      </c>
      <c r="D1367" s="2" t="s">
        <v>197</v>
      </c>
      <c r="E1367" s="2" t="s">
        <v>88</v>
      </c>
      <c r="F1367" s="2" t="s">
        <v>199</v>
      </c>
      <c r="G1367" s="2" t="s">
        <v>22</v>
      </c>
      <c r="H1367" s="2" t="s">
        <v>23</v>
      </c>
      <c r="I1367" s="2" t="s">
        <v>23</v>
      </c>
      <c r="J1367" s="2">
        <v>2</v>
      </c>
      <c r="K1367" s="2" t="s">
        <v>48</v>
      </c>
      <c r="L1367" s="2">
        <v>600</v>
      </c>
      <c r="M1367" s="2" t="s">
        <v>112</v>
      </c>
      <c r="N1367" s="2">
        <v>1</v>
      </c>
      <c r="O1367" s="2">
        <v>12772.34</v>
      </c>
      <c r="P1367" s="2">
        <v>12772.34</v>
      </c>
    </row>
    <row r="1368" spans="1:16" outlineLevel="1" x14ac:dyDescent="0.2">
      <c r="A1368" s="5"/>
      <c r="D1368" s="3" t="s">
        <v>734</v>
      </c>
      <c r="N1368" s="2">
        <f>SUBTOTAL(9,N1367:N1367)</f>
        <v>1</v>
      </c>
      <c r="O1368" s="2">
        <f>SUBTOTAL(9,O1367:O1367)</f>
        <v>12772.34</v>
      </c>
    </row>
    <row r="1369" spans="1:16" outlineLevel="2" x14ac:dyDescent="0.2">
      <c r="A1369" s="5">
        <v>46078</v>
      </c>
      <c r="B1369" s="2">
        <v>157152</v>
      </c>
      <c r="C1369" s="2">
        <v>315</v>
      </c>
      <c r="D1369" s="2" t="s">
        <v>54</v>
      </c>
      <c r="E1369" s="2" t="s">
        <v>20</v>
      </c>
      <c r="F1369" s="2" t="s">
        <v>55</v>
      </c>
      <c r="G1369" s="2" t="s">
        <v>23</v>
      </c>
      <c r="H1369" s="2" t="s">
        <v>23</v>
      </c>
      <c r="I1369" s="2" t="s">
        <v>23</v>
      </c>
      <c r="J1369" s="2">
        <v>2</v>
      </c>
      <c r="K1369" s="2" t="s">
        <v>48</v>
      </c>
      <c r="L1369" s="2">
        <v>25095</v>
      </c>
      <c r="M1369" s="2" t="s">
        <v>216</v>
      </c>
      <c r="N1369" s="2">
        <v>29</v>
      </c>
      <c r="O1369" s="2">
        <v>111835.27</v>
      </c>
      <c r="P1369" s="2">
        <v>3856.39</v>
      </c>
    </row>
    <row r="1370" spans="1:16" outlineLevel="1" x14ac:dyDescent="0.2">
      <c r="A1370" s="5"/>
      <c r="D1370" s="3" t="s">
        <v>719</v>
      </c>
      <c r="N1370" s="2">
        <f>SUBTOTAL(9,N1369:N1369)</f>
        <v>29</v>
      </c>
      <c r="O1370" s="2">
        <f>SUBTOTAL(9,O1369:O1369)</f>
        <v>111835.27</v>
      </c>
    </row>
    <row r="1371" spans="1:16" outlineLevel="2" x14ac:dyDescent="0.2">
      <c r="A1371" s="5">
        <v>46076</v>
      </c>
      <c r="B1371" s="2">
        <v>157157</v>
      </c>
      <c r="C1371" s="2">
        <v>1</v>
      </c>
      <c r="D1371" s="2" t="s">
        <v>38</v>
      </c>
      <c r="E1371" s="2" t="s">
        <v>39</v>
      </c>
      <c r="F1371" s="2" t="s">
        <v>63</v>
      </c>
      <c r="G1371" s="2" t="s">
        <v>22</v>
      </c>
      <c r="H1371" s="2" t="s">
        <v>23</v>
      </c>
      <c r="I1371" s="2" t="s">
        <v>243</v>
      </c>
      <c r="J1371" s="2">
        <v>1</v>
      </c>
      <c r="K1371" s="2" t="s">
        <v>24</v>
      </c>
      <c r="L1371" s="2">
        <v>1846</v>
      </c>
      <c r="M1371" s="2" t="s">
        <v>134</v>
      </c>
      <c r="N1371" s="2">
        <v>175</v>
      </c>
      <c r="O1371" s="2">
        <v>11265794.82</v>
      </c>
      <c r="P1371" s="2">
        <v>64375.97</v>
      </c>
    </row>
    <row r="1372" spans="1:16" outlineLevel="2" x14ac:dyDescent="0.2">
      <c r="A1372" s="5">
        <v>46073</v>
      </c>
      <c r="B1372" s="2">
        <v>157157</v>
      </c>
      <c r="C1372" s="2">
        <v>2</v>
      </c>
      <c r="D1372" s="2" t="s">
        <v>38</v>
      </c>
      <c r="E1372" s="2" t="s">
        <v>39</v>
      </c>
      <c r="F1372" s="2" t="s">
        <v>63</v>
      </c>
      <c r="G1372" s="2" t="s">
        <v>22</v>
      </c>
      <c r="H1372" s="2" t="s">
        <v>23</v>
      </c>
      <c r="I1372" s="2" t="s">
        <v>116</v>
      </c>
      <c r="J1372" s="2">
        <v>1</v>
      </c>
      <c r="K1372" s="2" t="s">
        <v>24</v>
      </c>
      <c r="L1372" s="2">
        <v>1846</v>
      </c>
      <c r="M1372" s="2" t="s">
        <v>134</v>
      </c>
      <c r="N1372" s="2">
        <v>198</v>
      </c>
      <c r="O1372" s="2">
        <v>13296346.49</v>
      </c>
      <c r="P1372" s="2">
        <v>67153.27</v>
      </c>
    </row>
    <row r="1373" spans="1:16" outlineLevel="2" x14ac:dyDescent="0.2">
      <c r="A1373" s="5">
        <v>46073</v>
      </c>
      <c r="B1373" s="2">
        <v>157157</v>
      </c>
      <c r="C1373" s="2">
        <v>3</v>
      </c>
      <c r="D1373" s="2" t="s">
        <v>38</v>
      </c>
      <c r="E1373" s="2" t="s">
        <v>39</v>
      </c>
      <c r="F1373" s="2" t="s">
        <v>63</v>
      </c>
      <c r="G1373" s="2" t="s">
        <v>22</v>
      </c>
      <c r="H1373" s="2" t="s">
        <v>23</v>
      </c>
      <c r="I1373" s="2" t="s">
        <v>135</v>
      </c>
      <c r="J1373" s="2">
        <v>1</v>
      </c>
      <c r="K1373" s="2" t="s">
        <v>24</v>
      </c>
      <c r="L1373" s="2">
        <v>1846</v>
      </c>
      <c r="M1373" s="2" t="s">
        <v>134</v>
      </c>
      <c r="N1373" s="2">
        <v>88</v>
      </c>
      <c r="O1373" s="2">
        <v>5540999.6699999999</v>
      </c>
      <c r="P1373" s="2">
        <v>62965.91</v>
      </c>
    </row>
    <row r="1374" spans="1:16" outlineLevel="1" x14ac:dyDescent="0.2">
      <c r="A1374" s="5"/>
      <c r="D1374" s="3" t="s">
        <v>721</v>
      </c>
      <c r="N1374" s="2">
        <f>SUBTOTAL(9,N1371:N1373)</f>
        <v>461</v>
      </c>
      <c r="O1374" s="2">
        <f>SUBTOTAL(9,O1371:O1373)</f>
        <v>30103140.980000004</v>
      </c>
    </row>
    <row r="1375" spans="1:16" outlineLevel="2" x14ac:dyDescent="0.2">
      <c r="A1375" s="5">
        <v>46078</v>
      </c>
      <c r="B1375" s="2">
        <v>157158</v>
      </c>
      <c r="C1375" s="2">
        <v>1</v>
      </c>
      <c r="D1375" s="2" t="s">
        <v>75</v>
      </c>
      <c r="E1375" s="2" t="s">
        <v>99</v>
      </c>
      <c r="F1375" s="2" t="s">
        <v>108</v>
      </c>
      <c r="G1375" s="2" t="s">
        <v>22</v>
      </c>
      <c r="H1375" s="2" t="s">
        <v>23</v>
      </c>
      <c r="I1375" s="2" t="s">
        <v>100</v>
      </c>
      <c r="J1375" s="2">
        <v>1</v>
      </c>
      <c r="K1375" s="2" t="s">
        <v>24</v>
      </c>
      <c r="L1375" s="2">
        <v>2024</v>
      </c>
      <c r="M1375" s="2" t="s">
        <v>76</v>
      </c>
      <c r="N1375" s="2">
        <v>80</v>
      </c>
      <c r="O1375" s="2">
        <v>2244592.7999999998</v>
      </c>
      <c r="P1375" s="2">
        <v>28057.41</v>
      </c>
    </row>
    <row r="1376" spans="1:16" outlineLevel="2" x14ac:dyDescent="0.2">
      <c r="A1376" s="5">
        <v>46078</v>
      </c>
      <c r="B1376" s="2">
        <v>157158</v>
      </c>
      <c r="C1376" s="2">
        <v>2</v>
      </c>
      <c r="D1376" s="2" t="s">
        <v>75</v>
      </c>
      <c r="E1376" s="2" t="s">
        <v>99</v>
      </c>
      <c r="F1376" s="2" t="s">
        <v>108</v>
      </c>
      <c r="G1376" s="2" t="s">
        <v>22</v>
      </c>
      <c r="H1376" s="2" t="s">
        <v>23</v>
      </c>
      <c r="I1376" s="2" t="s">
        <v>109</v>
      </c>
      <c r="J1376" s="2">
        <v>1</v>
      </c>
      <c r="K1376" s="2" t="s">
        <v>24</v>
      </c>
      <c r="L1376" s="2">
        <v>2024</v>
      </c>
      <c r="M1376" s="2" t="s">
        <v>76</v>
      </c>
      <c r="N1376" s="2">
        <v>160</v>
      </c>
      <c r="O1376" s="2">
        <v>4719178.6100000003</v>
      </c>
      <c r="P1376" s="2">
        <v>29494.87</v>
      </c>
    </row>
    <row r="1377" spans="1:16" outlineLevel="2" x14ac:dyDescent="0.2">
      <c r="A1377" s="5">
        <v>46076</v>
      </c>
      <c r="B1377" s="2">
        <v>157158</v>
      </c>
      <c r="C1377" s="2">
        <v>3</v>
      </c>
      <c r="D1377" s="2" t="s">
        <v>75</v>
      </c>
      <c r="E1377" s="2" t="s">
        <v>99</v>
      </c>
      <c r="F1377" s="2" t="s">
        <v>108</v>
      </c>
      <c r="G1377" s="2" t="s">
        <v>22</v>
      </c>
      <c r="H1377" s="2" t="s">
        <v>23</v>
      </c>
      <c r="I1377" s="2" t="s">
        <v>101</v>
      </c>
      <c r="J1377" s="2">
        <v>1</v>
      </c>
      <c r="K1377" s="2" t="s">
        <v>24</v>
      </c>
      <c r="L1377" s="2">
        <v>2024</v>
      </c>
      <c r="M1377" s="2" t="s">
        <v>76</v>
      </c>
      <c r="N1377" s="2">
        <v>80</v>
      </c>
      <c r="O1377" s="2">
        <v>2411678.48</v>
      </c>
      <c r="P1377" s="2">
        <v>30145.98</v>
      </c>
    </row>
    <row r="1378" spans="1:16" outlineLevel="1" x14ac:dyDescent="0.2">
      <c r="A1378" s="5"/>
      <c r="D1378" s="3" t="s">
        <v>729</v>
      </c>
      <c r="N1378" s="2">
        <f>SUBTOTAL(9,N1375:N1377)</f>
        <v>320</v>
      </c>
      <c r="O1378" s="2">
        <f>SUBTOTAL(9,O1375:O1377)</f>
        <v>9375449.8900000006</v>
      </c>
    </row>
    <row r="1379" spans="1:16" outlineLevel="2" x14ac:dyDescent="0.2">
      <c r="A1379" s="5">
        <v>46076</v>
      </c>
      <c r="B1379" s="2">
        <v>157160</v>
      </c>
      <c r="C1379" s="2">
        <v>1</v>
      </c>
      <c r="D1379" s="2" t="s">
        <v>197</v>
      </c>
      <c r="E1379" s="2" t="s">
        <v>198</v>
      </c>
      <c r="F1379" s="2" t="s">
        <v>199</v>
      </c>
      <c r="G1379" s="2" t="s">
        <v>22</v>
      </c>
      <c r="H1379" s="2" t="s">
        <v>23</v>
      </c>
      <c r="I1379" s="2" t="s">
        <v>23</v>
      </c>
      <c r="J1379" s="2">
        <v>2</v>
      </c>
      <c r="K1379" s="2" t="s">
        <v>48</v>
      </c>
      <c r="L1379" s="2">
        <v>182</v>
      </c>
      <c r="M1379" s="2" t="s">
        <v>263</v>
      </c>
      <c r="N1379" s="2">
        <v>169</v>
      </c>
      <c r="O1379" s="2">
        <v>4297035.8899999997</v>
      </c>
      <c r="P1379" s="2">
        <v>25426.25</v>
      </c>
    </row>
    <row r="1380" spans="1:16" outlineLevel="2" x14ac:dyDescent="0.2">
      <c r="A1380" s="5">
        <v>46073</v>
      </c>
      <c r="B1380" s="2">
        <v>157161</v>
      </c>
      <c r="C1380" s="2">
        <v>1</v>
      </c>
      <c r="D1380" s="2" t="s">
        <v>197</v>
      </c>
      <c r="E1380" s="2" t="s">
        <v>198</v>
      </c>
      <c r="F1380" s="2" t="s">
        <v>199</v>
      </c>
      <c r="G1380" s="2" t="s">
        <v>22</v>
      </c>
      <c r="H1380" s="2" t="s">
        <v>23</v>
      </c>
      <c r="I1380" s="2" t="s">
        <v>23</v>
      </c>
      <c r="J1380" s="2">
        <v>2</v>
      </c>
      <c r="K1380" s="2" t="s">
        <v>48</v>
      </c>
      <c r="L1380" s="2">
        <v>182</v>
      </c>
      <c r="M1380" s="2" t="s">
        <v>263</v>
      </c>
      <c r="N1380" s="2">
        <v>2</v>
      </c>
      <c r="O1380" s="2">
        <v>63815.69</v>
      </c>
      <c r="P1380" s="2">
        <v>31907.85</v>
      </c>
    </row>
    <row r="1381" spans="1:16" outlineLevel="2" x14ac:dyDescent="0.2">
      <c r="A1381" s="5">
        <v>46073</v>
      </c>
      <c r="B1381" s="2">
        <v>157162</v>
      </c>
      <c r="C1381" s="2">
        <v>1</v>
      </c>
      <c r="D1381" s="2" t="s">
        <v>197</v>
      </c>
      <c r="E1381" s="2" t="s">
        <v>198</v>
      </c>
      <c r="F1381" s="2" t="s">
        <v>199</v>
      </c>
      <c r="G1381" s="2" t="s">
        <v>22</v>
      </c>
      <c r="H1381" s="2" t="s">
        <v>23</v>
      </c>
      <c r="I1381" s="2" t="s">
        <v>23</v>
      </c>
      <c r="J1381" s="2">
        <v>2</v>
      </c>
      <c r="K1381" s="2" t="s">
        <v>48</v>
      </c>
      <c r="L1381" s="2">
        <v>182</v>
      </c>
      <c r="M1381" s="2" t="s">
        <v>263</v>
      </c>
      <c r="N1381" s="2">
        <v>102</v>
      </c>
      <c r="O1381" s="2">
        <v>2154075.64</v>
      </c>
      <c r="P1381" s="2">
        <v>21118.39</v>
      </c>
    </row>
    <row r="1382" spans="1:16" outlineLevel="1" x14ac:dyDescent="0.2">
      <c r="A1382" s="5"/>
      <c r="D1382" s="3" t="s">
        <v>734</v>
      </c>
      <c r="N1382" s="2">
        <f>SUBTOTAL(9,N1379:N1381)</f>
        <v>273</v>
      </c>
      <c r="O1382" s="2">
        <f>SUBTOTAL(9,O1379:O1381)</f>
        <v>6514927.2200000007</v>
      </c>
    </row>
    <row r="1383" spans="1:16" outlineLevel="2" x14ac:dyDescent="0.2">
      <c r="A1383" s="5">
        <v>46075</v>
      </c>
      <c r="B1383" s="2">
        <v>157169</v>
      </c>
      <c r="C1383" s="2">
        <v>1</v>
      </c>
      <c r="D1383" s="2" t="s">
        <v>229</v>
      </c>
      <c r="E1383" s="2" t="s">
        <v>230</v>
      </c>
      <c r="F1383" s="2" t="s">
        <v>40</v>
      </c>
      <c r="G1383" s="2" t="s">
        <v>22</v>
      </c>
      <c r="H1383" s="2" t="s">
        <v>23</v>
      </c>
      <c r="I1383" s="2" t="s">
        <v>109</v>
      </c>
      <c r="J1383" s="2">
        <v>1</v>
      </c>
      <c r="K1383" s="2" t="s">
        <v>24</v>
      </c>
      <c r="L1383" s="2">
        <v>331</v>
      </c>
      <c r="M1383" s="2" t="s">
        <v>356</v>
      </c>
      <c r="N1383" s="2">
        <v>220</v>
      </c>
      <c r="O1383" s="2">
        <v>1754845.71</v>
      </c>
      <c r="P1383" s="2">
        <v>7976.57</v>
      </c>
    </row>
    <row r="1384" spans="1:16" outlineLevel="2" x14ac:dyDescent="0.2">
      <c r="A1384" s="5">
        <v>46075</v>
      </c>
      <c r="B1384" s="2">
        <v>157169</v>
      </c>
      <c r="C1384" s="2">
        <v>2</v>
      </c>
      <c r="D1384" s="2" t="s">
        <v>229</v>
      </c>
      <c r="E1384" s="2" t="s">
        <v>230</v>
      </c>
      <c r="F1384" s="2" t="s">
        <v>40</v>
      </c>
      <c r="G1384" s="2" t="s">
        <v>22</v>
      </c>
      <c r="H1384" s="2" t="s">
        <v>23</v>
      </c>
      <c r="I1384" s="2" t="s">
        <v>101</v>
      </c>
      <c r="J1384" s="2">
        <v>1</v>
      </c>
      <c r="K1384" s="2" t="s">
        <v>24</v>
      </c>
      <c r="L1384" s="2">
        <v>331</v>
      </c>
      <c r="M1384" s="2" t="s">
        <v>356</v>
      </c>
      <c r="N1384" s="2">
        <v>211</v>
      </c>
      <c r="O1384" s="2">
        <v>2095922.69</v>
      </c>
      <c r="P1384" s="2">
        <v>9933.2800000000007</v>
      </c>
    </row>
    <row r="1385" spans="1:16" outlineLevel="2" x14ac:dyDescent="0.2">
      <c r="A1385" s="5">
        <v>46076</v>
      </c>
      <c r="B1385" s="2">
        <v>157169</v>
      </c>
      <c r="C1385" s="2">
        <v>3</v>
      </c>
      <c r="D1385" s="2" t="s">
        <v>229</v>
      </c>
      <c r="E1385" s="2" t="s">
        <v>230</v>
      </c>
      <c r="F1385" s="2" t="s">
        <v>40</v>
      </c>
      <c r="G1385" s="2" t="s">
        <v>22</v>
      </c>
      <c r="H1385" s="2" t="s">
        <v>23</v>
      </c>
      <c r="I1385" s="2" t="s">
        <v>152</v>
      </c>
      <c r="J1385" s="2">
        <v>1</v>
      </c>
      <c r="K1385" s="2" t="s">
        <v>24</v>
      </c>
      <c r="L1385" s="2">
        <v>331</v>
      </c>
      <c r="M1385" s="2" t="s">
        <v>356</v>
      </c>
      <c r="N1385" s="2">
        <v>432</v>
      </c>
      <c r="O1385" s="2">
        <v>5257379.9400000004</v>
      </c>
      <c r="P1385" s="2">
        <v>12169.86</v>
      </c>
    </row>
    <row r="1386" spans="1:16" outlineLevel="2" x14ac:dyDescent="0.2">
      <c r="A1386" s="5">
        <v>46092</v>
      </c>
      <c r="B1386" s="2">
        <v>157170</v>
      </c>
      <c r="C1386" s="2">
        <v>5</v>
      </c>
      <c r="D1386" s="2" t="s">
        <v>229</v>
      </c>
      <c r="E1386" s="2" t="s">
        <v>230</v>
      </c>
      <c r="F1386" s="2" t="s">
        <v>40</v>
      </c>
      <c r="G1386" s="2" t="s">
        <v>22</v>
      </c>
      <c r="H1386" s="2" t="s">
        <v>23</v>
      </c>
      <c r="I1386" s="2" t="s">
        <v>109</v>
      </c>
      <c r="J1386" s="2">
        <v>1</v>
      </c>
      <c r="K1386" s="2" t="s">
        <v>24</v>
      </c>
      <c r="L1386" s="2">
        <v>331</v>
      </c>
      <c r="M1386" s="2" t="s">
        <v>356</v>
      </c>
      <c r="N1386" s="2">
        <v>1</v>
      </c>
      <c r="O1386" s="2">
        <v>40775.51</v>
      </c>
      <c r="P1386" s="2">
        <v>40775.51</v>
      </c>
    </row>
    <row r="1387" spans="1:16" outlineLevel="1" x14ac:dyDescent="0.2">
      <c r="A1387" s="5"/>
      <c r="D1387" s="3" t="s">
        <v>737</v>
      </c>
      <c r="N1387" s="2">
        <f>SUBTOTAL(9,N1383:N1386)</f>
        <v>864</v>
      </c>
      <c r="O1387" s="2">
        <f>SUBTOTAL(9,O1383:O1386)</f>
        <v>9148923.8499999996</v>
      </c>
    </row>
    <row r="1388" spans="1:16" outlineLevel="2" x14ac:dyDescent="0.2">
      <c r="A1388" s="5">
        <v>46092</v>
      </c>
      <c r="B1388" s="2">
        <v>157170</v>
      </c>
      <c r="C1388" s="2">
        <v>6</v>
      </c>
      <c r="D1388" s="2" t="s">
        <v>357</v>
      </c>
      <c r="E1388" s="2" t="s">
        <v>230</v>
      </c>
      <c r="F1388" s="2" t="s">
        <v>40</v>
      </c>
      <c r="G1388" s="2" t="s">
        <v>22</v>
      </c>
      <c r="H1388" s="2" t="s">
        <v>23</v>
      </c>
      <c r="I1388" s="2" t="s">
        <v>23</v>
      </c>
      <c r="J1388" s="2">
        <v>1</v>
      </c>
      <c r="K1388" s="2" t="s">
        <v>24</v>
      </c>
      <c r="L1388" s="2">
        <v>331</v>
      </c>
      <c r="M1388" s="2" t="s">
        <v>356</v>
      </c>
      <c r="N1388" s="2">
        <v>221</v>
      </c>
      <c r="O1388" s="2">
        <v>9257615.0700000003</v>
      </c>
      <c r="P1388" s="2">
        <v>41889.660000000003</v>
      </c>
    </row>
    <row r="1389" spans="1:16" outlineLevel="1" x14ac:dyDescent="0.2">
      <c r="A1389" s="5"/>
      <c r="D1389" s="3" t="s">
        <v>758</v>
      </c>
      <c r="N1389" s="2">
        <f>SUBTOTAL(9,N1388:N1388)</f>
        <v>221</v>
      </c>
      <c r="O1389" s="2">
        <f>SUBTOTAL(9,O1388:O1388)</f>
        <v>9257615.0700000003</v>
      </c>
    </row>
    <row r="1390" spans="1:16" outlineLevel="2" x14ac:dyDescent="0.2">
      <c r="A1390" s="5">
        <v>46127</v>
      </c>
      <c r="B1390" s="2">
        <v>157173</v>
      </c>
      <c r="C1390" s="2">
        <v>301</v>
      </c>
      <c r="D1390" s="2" t="s">
        <v>26</v>
      </c>
      <c r="E1390" s="2" t="s">
        <v>51</v>
      </c>
      <c r="F1390" s="2" t="s">
        <v>52</v>
      </c>
      <c r="G1390" s="2" t="s">
        <v>22</v>
      </c>
      <c r="H1390" s="2" t="s">
        <v>23</v>
      </c>
      <c r="I1390" s="2" t="s">
        <v>23</v>
      </c>
      <c r="J1390" s="2">
        <v>5</v>
      </c>
      <c r="K1390" s="2" t="s">
        <v>27</v>
      </c>
      <c r="L1390" s="2">
        <v>3048</v>
      </c>
      <c r="M1390" s="2" t="s">
        <v>53</v>
      </c>
      <c r="N1390" s="2">
        <v>106</v>
      </c>
      <c r="O1390" s="2">
        <v>519649.98</v>
      </c>
      <c r="P1390" s="2">
        <v>4902.3599999999997</v>
      </c>
    </row>
    <row r="1391" spans="1:16" outlineLevel="1" x14ac:dyDescent="0.2">
      <c r="A1391" s="5"/>
      <c r="D1391" s="3" t="s">
        <v>711</v>
      </c>
      <c r="N1391" s="2">
        <f>SUBTOTAL(9,N1390:N1390)</f>
        <v>106</v>
      </c>
      <c r="O1391" s="2">
        <f>SUBTOTAL(9,O1390:O1390)</f>
        <v>519649.98</v>
      </c>
    </row>
    <row r="1392" spans="1:16" outlineLevel="2" x14ac:dyDescent="0.2">
      <c r="A1392" s="5">
        <v>46085</v>
      </c>
      <c r="B1392" s="2">
        <v>157175</v>
      </c>
      <c r="C1392" s="2">
        <v>312</v>
      </c>
      <c r="D1392" s="2" t="s">
        <v>45</v>
      </c>
      <c r="E1392" s="2" t="s">
        <v>228</v>
      </c>
      <c r="F1392" s="2" t="s">
        <v>55</v>
      </c>
      <c r="G1392" s="2" t="s">
        <v>23</v>
      </c>
      <c r="H1392" s="2" t="s">
        <v>23</v>
      </c>
      <c r="I1392" s="2" t="s">
        <v>23</v>
      </c>
      <c r="J1392" s="2">
        <v>2</v>
      </c>
      <c r="K1392" s="2" t="s">
        <v>48</v>
      </c>
      <c r="L1392" s="2">
        <v>1964</v>
      </c>
      <c r="M1392" s="2" t="s">
        <v>49</v>
      </c>
      <c r="N1392" s="2">
        <v>8</v>
      </c>
      <c r="O1392" s="2">
        <v>70441.84</v>
      </c>
      <c r="P1392" s="2">
        <v>8805.23</v>
      </c>
    </row>
    <row r="1393" spans="1:16" outlineLevel="1" x14ac:dyDescent="0.2">
      <c r="A1393" s="5"/>
      <c r="D1393" s="3" t="s">
        <v>733</v>
      </c>
      <c r="N1393" s="2">
        <f>SUBTOTAL(9,N1392:N1392)</f>
        <v>8</v>
      </c>
      <c r="O1393" s="2">
        <f>SUBTOTAL(9,O1392:O1392)</f>
        <v>70441.84</v>
      </c>
    </row>
    <row r="1394" spans="1:16" outlineLevel="2" x14ac:dyDescent="0.2">
      <c r="A1394" s="5">
        <v>46125</v>
      </c>
      <c r="B1394" s="2">
        <v>157183</v>
      </c>
      <c r="C1394" s="2">
        <v>300</v>
      </c>
      <c r="D1394" s="2" t="s">
        <v>54</v>
      </c>
      <c r="E1394" s="2" t="s">
        <v>30</v>
      </c>
      <c r="F1394" s="2" t="s">
        <v>55</v>
      </c>
      <c r="G1394" s="2" t="s">
        <v>23</v>
      </c>
      <c r="H1394" s="2" t="s">
        <v>23</v>
      </c>
      <c r="I1394" s="2" t="s">
        <v>23</v>
      </c>
      <c r="J1394" s="2">
        <v>1</v>
      </c>
      <c r="K1394" s="2" t="s">
        <v>24</v>
      </c>
      <c r="L1394" s="2">
        <v>1557</v>
      </c>
      <c r="M1394" s="2" t="s">
        <v>98</v>
      </c>
      <c r="N1394" s="2">
        <v>11</v>
      </c>
      <c r="O1394" s="2">
        <v>57043</v>
      </c>
      <c r="P1394" s="2">
        <v>5185.7299999999996</v>
      </c>
    </row>
    <row r="1395" spans="1:16" outlineLevel="1" x14ac:dyDescent="0.2">
      <c r="A1395" s="5"/>
      <c r="D1395" s="3" t="s">
        <v>719</v>
      </c>
      <c r="N1395" s="2">
        <f>SUBTOTAL(9,N1394:N1394)</f>
        <v>11</v>
      </c>
      <c r="O1395" s="2">
        <f>SUBTOTAL(9,O1394:O1394)</f>
        <v>57043</v>
      </c>
    </row>
    <row r="1396" spans="1:16" outlineLevel="2" x14ac:dyDescent="0.2">
      <c r="A1396" s="5">
        <v>46076</v>
      </c>
      <c r="B1396" s="2">
        <v>157185</v>
      </c>
      <c r="C1396" s="2">
        <v>1</v>
      </c>
      <c r="D1396" s="2" t="s">
        <v>45</v>
      </c>
      <c r="E1396" s="2" t="s">
        <v>125</v>
      </c>
      <c r="F1396" s="2" t="s">
        <v>47</v>
      </c>
      <c r="G1396" s="2" t="s">
        <v>22</v>
      </c>
      <c r="H1396" s="2" t="s">
        <v>23</v>
      </c>
      <c r="I1396" s="2" t="s">
        <v>23</v>
      </c>
      <c r="J1396" s="2">
        <v>41</v>
      </c>
      <c r="K1396" s="2" t="s">
        <v>129</v>
      </c>
      <c r="L1396" s="2">
        <v>1964</v>
      </c>
      <c r="M1396" s="2" t="s">
        <v>49</v>
      </c>
      <c r="N1396" s="2">
        <v>35</v>
      </c>
      <c r="O1396" s="2">
        <v>246342.65</v>
      </c>
      <c r="P1396" s="2">
        <v>7038.36</v>
      </c>
    </row>
    <row r="1397" spans="1:16" outlineLevel="2" x14ac:dyDescent="0.2">
      <c r="A1397" s="5">
        <v>46076</v>
      </c>
      <c r="B1397" s="2">
        <v>157185</v>
      </c>
      <c r="C1397" s="2">
        <v>2</v>
      </c>
      <c r="D1397" s="2" t="s">
        <v>45</v>
      </c>
      <c r="E1397" s="2" t="s">
        <v>228</v>
      </c>
      <c r="F1397" s="2" t="s">
        <v>47</v>
      </c>
      <c r="G1397" s="2" t="s">
        <v>22</v>
      </c>
      <c r="H1397" s="2" t="s">
        <v>23</v>
      </c>
      <c r="I1397" s="2" t="s">
        <v>23</v>
      </c>
      <c r="J1397" s="2">
        <v>41</v>
      </c>
      <c r="K1397" s="2" t="s">
        <v>129</v>
      </c>
      <c r="L1397" s="2">
        <v>1964</v>
      </c>
      <c r="M1397" s="2" t="s">
        <v>49</v>
      </c>
      <c r="N1397" s="2">
        <v>32</v>
      </c>
      <c r="O1397" s="2">
        <v>474055.67999999999</v>
      </c>
      <c r="P1397" s="2">
        <v>14814.24</v>
      </c>
    </row>
    <row r="1398" spans="1:16" outlineLevel="1" x14ac:dyDescent="0.2">
      <c r="A1398" s="5"/>
      <c r="D1398" s="3" t="s">
        <v>733</v>
      </c>
      <c r="N1398" s="2">
        <f>SUBTOTAL(9,N1396:N1397)</f>
        <v>67</v>
      </c>
      <c r="O1398" s="2">
        <f>SUBTOTAL(9,O1396:O1397)</f>
        <v>720398.33</v>
      </c>
    </row>
    <row r="1399" spans="1:16" outlineLevel="2" x14ac:dyDescent="0.2">
      <c r="A1399" s="5">
        <v>46076</v>
      </c>
      <c r="B1399" s="2">
        <v>157185</v>
      </c>
      <c r="C1399" s="2">
        <v>3</v>
      </c>
      <c r="D1399" s="2" t="s">
        <v>226</v>
      </c>
      <c r="E1399" s="2" t="s">
        <v>227</v>
      </c>
      <c r="F1399" s="2" t="s">
        <v>47</v>
      </c>
      <c r="G1399" s="2" t="s">
        <v>22</v>
      </c>
      <c r="H1399" s="2" t="s">
        <v>23</v>
      </c>
      <c r="I1399" s="2" t="s">
        <v>23</v>
      </c>
      <c r="J1399" s="2">
        <v>41</v>
      </c>
      <c r="K1399" s="2" t="s">
        <v>129</v>
      </c>
      <c r="L1399" s="2">
        <v>1964</v>
      </c>
      <c r="M1399" s="2" t="s">
        <v>49</v>
      </c>
      <c r="N1399" s="2">
        <v>64</v>
      </c>
      <c r="O1399" s="2">
        <v>1371893.13</v>
      </c>
      <c r="P1399" s="2">
        <v>21435.83</v>
      </c>
    </row>
    <row r="1400" spans="1:16" outlineLevel="1" x14ac:dyDescent="0.2">
      <c r="A1400" s="5"/>
      <c r="D1400" s="3" t="s">
        <v>736</v>
      </c>
      <c r="N1400" s="2">
        <f>SUBTOTAL(9,N1399:N1399)</f>
        <v>64</v>
      </c>
      <c r="O1400" s="2">
        <f>SUBTOTAL(9,O1399:O1399)</f>
        <v>1371893.13</v>
      </c>
    </row>
    <row r="1401" spans="1:16" outlineLevel="2" x14ac:dyDescent="0.2">
      <c r="A1401" s="5">
        <v>46076</v>
      </c>
      <c r="B1401" s="2">
        <v>157185</v>
      </c>
      <c r="C1401" s="2">
        <v>4</v>
      </c>
      <c r="D1401" s="2" t="s">
        <v>45</v>
      </c>
      <c r="E1401" s="2" t="s">
        <v>227</v>
      </c>
      <c r="F1401" s="2" t="s">
        <v>47</v>
      </c>
      <c r="G1401" s="2" t="s">
        <v>22</v>
      </c>
      <c r="H1401" s="2" t="s">
        <v>23</v>
      </c>
      <c r="I1401" s="2" t="s">
        <v>23</v>
      </c>
      <c r="J1401" s="2">
        <v>41</v>
      </c>
      <c r="K1401" s="2" t="s">
        <v>129</v>
      </c>
      <c r="L1401" s="2">
        <v>1964</v>
      </c>
      <c r="M1401" s="2" t="s">
        <v>49</v>
      </c>
      <c r="N1401" s="2">
        <v>181</v>
      </c>
      <c r="O1401" s="2">
        <v>2398603.5499999998</v>
      </c>
      <c r="P1401" s="2">
        <v>13251.95</v>
      </c>
    </row>
    <row r="1402" spans="1:16" outlineLevel="1" x14ac:dyDescent="0.2">
      <c r="A1402" s="5"/>
      <c r="D1402" s="3" t="s">
        <v>733</v>
      </c>
      <c r="N1402" s="2">
        <f>SUBTOTAL(9,N1401:N1401)</f>
        <v>181</v>
      </c>
      <c r="O1402" s="2">
        <f>SUBTOTAL(9,O1401:O1401)</f>
        <v>2398603.5499999998</v>
      </c>
    </row>
    <row r="1403" spans="1:16" outlineLevel="2" x14ac:dyDescent="0.2">
      <c r="A1403" s="5">
        <v>46076</v>
      </c>
      <c r="B1403" s="2">
        <v>157185</v>
      </c>
      <c r="C1403" s="2">
        <v>5</v>
      </c>
      <c r="D1403" s="2" t="s">
        <v>297</v>
      </c>
      <c r="E1403" s="2" t="s">
        <v>305</v>
      </c>
      <c r="F1403" s="2" t="s">
        <v>47</v>
      </c>
      <c r="G1403" s="2" t="s">
        <v>22</v>
      </c>
      <c r="H1403" s="2" t="s">
        <v>23</v>
      </c>
      <c r="I1403" s="2" t="s">
        <v>23</v>
      </c>
      <c r="J1403" s="2">
        <v>1</v>
      </c>
      <c r="K1403" s="2" t="s">
        <v>24</v>
      </c>
      <c r="L1403" s="2">
        <v>1964</v>
      </c>
      <c r="M1403" s="2" t="s">
        <v>49</v>
      </c>
      <c r="N1403" s="2">
        <v>5</v>
      </c>
      <c r="O1403" s="2">
        <v>67595.460000000006</v>
      </c>
      <c r="P1403" s="2">
        <v>13519.09</v>
      </c>
    </row>
    <row r="1404" spans="1:16" outlineLevel="1" x14ac:dyDescent="0.2">
      <c r="A1404" s="5"/>
      <c r="D1404" s="3" t="s">
        <v>741</v>
      </c>
      <c r="N1404" s="2">
        <f>SUBTOTAL(9,N1403:N1403)</f>
        <v>5</v>
      </c>
      <c r="O1404" s="2">
        <f>SUBTOTAL(9,O1403:O1403)</f>
        <v>67595.460000000006</v>
      </c>
    </row>
    <row r="1405" spans="1:16" outlineLevel="2" x14ac:dyDescent="0.2">
      <c r="A1405" s="5">
        <v>46076</v>
      </c>
      <c r="B1405" s="2">
        <v>157185</v>
      </c>
      <c r="C1405" s="2">
        <v>6</v>
      </c>
      <c r="D1405" s="2" t="s">
        <v>299</v>
      </c>
      <c r="E1405" s="2" t="s">
        <v>305</v>
      </c>
      <c r="F1405" s="2" t="s">
        <v>47</v>
      </c>
      <c r="G1405" s="2" t="s">
        <v>22</v>
      </c>
      <c r="H1405" s="2" t="s">
        <v>23</v>
      </c>
      <c r="I1405" s="2" t="s">
        <v>23</v>
      </c>
      <c r="J1405" s="2">
        <v>94</v>
      </c>
      <c r="K1405" s="2" t="s">
        <v>147</v>
      </c>
      <c r="L1405" s="2">
        <v>1964</v>
      </c>
      <c r="M1405" s="2" t="s">
        <v>49</v>
      </c>
      <c r="N1405" s="2">
        <v>5</v>
      </c>
      <c r="O1405" s="2">
        <v>68528.899999999994</v>
      </c>
      <c r="P1405" s="2">
        <v>13705.78</v>
      </c>
    </row>
    <row r="1406" spans="1:16" outlineLevel="1" x14ac:dyDescent="0.2">
      <c r="A1406" s="5"/>
      <c r="D1406" s="3" t="s">
        <v>742</v>
      </c>
      <c r="N1406" s="2">
        <f>SUBTOTAL(9,N1405:N1405)</f>
        <v>5</v>
      </c>
      <c r="O1406" s="2">
        <f>SUBTOTAL(9,O1405:O1405)</f>
        <v>68528.899999999994</v>
      </c>
    </row>
    <row r="1407" spans="1:16" outlineLevel="2" x14ac:dyDescent="0.2">
      <c r="A1407" s="5">
        <v>46076</v>
      </c>
      <c r="B1407" s="2">
        <v>157185</v>
      </c>
      <c r="C1407" s="2">
        <v>7</v>
      </c>
      <c r="D1407" s="2" t="s">
        <v>300</v>
      </c>
      <c r="E1407" s="2" t="s">
        <v>305</v>
      </c>
      <c r="F1407" s="2" t="s">
        <v>47</v>
      </c>
      <c r="G1407" s="2" t="s">
        <v>22</v>
      </c>
      <c r="H1407" s="2" t="s">
        <v>23</v>
      </c>
      <c r="I1407" s="2" t="s">
        <v>23</v>
      </c>
      <c r="J1407" s="2">
        <v>94</v>
      </c>
      <c r="K1407" s="2" t="s">
        <v>147</v>
      </c>
      <c r="L1407" s="2">
        <v>1964</v>
      </c>
      <c r="M1407" s="2" t="s">
        <v>49</v>
      </c>
      <c r="N1407" s="2">
        <v>5</v>
      </c>
      <c r="O1407" s="2">
        <v>66662.02</v>
      </c>
      <c r="P1407" s="2">
        <v>13332.4</v>
      </c>
    </row>
    <row r="1408" spans="1:16" outlineLevel="1" x14ac:dyDescent="0.2">
      <c r="A1408" s="5"/>
      <c r="D1408" s="3" t="s">
        <v>743</v>
      </c>
      <c r="N1408" s="2">
        <f>SUBTOTAL(9,N1407:N1407)</f>
        <v>5</v>
      </c>
      <c r="O1408" s="2">
        <f>SUBTOTAL(9,O1407:O1407)</f>
        <v>66662.02</v>
      </c>
    </row>
    <row r="1409" spans="1:16" outlineLevel="2" x14ac:dyDescent="0.2">
      <c r="A1409" s="5">
        <v>46076</v>
      </c>
      <c r="B1409" s="2">
        <v>157185</v>
      </c>
      <c r="C1409" s="2">
        <v>8</v>
      </c>
      <c r="D1409" s="2" t="s">
        <v>358</v>
      </c>
      <c r="E1409" s="2" t="s">
        <v>23</v>
      </c>
      <c r="F1409" s="2" t="s">
        <v>47</v>
      </c>
      <c r="G1409" s="2" t="s">
        <v>22</v>
      </c>
      <c r="H1409" s="2" t="s">
        <v>23</v>
      </c>
      <c r="I1409" s="2" t="s">
        <v>23</v>
      </c>
      <c r="J1409" s="2">
        <v>1</v>
      </c>
      <c r="K1409" s="2" t="s">
        <v>24</v>
      </c>
      <c r="L1409" s="2">
        <v>1964</v>
      </c>
      <c r="M1409" s="2" t="s">
        <v>49</v>
      </c>
      <c r="N1409" s="2">
        <v>5</v>
      </c>
      <c r="O1409" s="2">
        <v>68528.899999999994</v>
      </c>
      <c r="P1409" s="2">
        <v>13705.78</v>
      </c>
    </row>
    <row r="1410" spans="1:16" outlineLevel="1" x14ac:dyDescent="0.2">
      <c r="A1410" s="5"/>
      <c r="D1410" s="3" t="s">
        <v>759</v>
      </c>
      <c r="N1410" s="2">
        <f>SUBTOTAL(9,N1409:N1409)</f>
        <v>5</v>
      </c>
      <c r="O1410" s="2">
        <f>SUBTOTAL(9,O1409:O1409)</f>
        <v>68528.899999999994</v>
      </c>
    </row>
    <row r="1411" spans="1:16" outlineLevel="2" x14ac:dyDescent="0.2">
      <c r="A1411" s="5">
        <v>46076</v>
      </c>
      <c r="B1411" s="2">
        <v>157185</v>
      </c>
      <c r="C1411" s="2">
        <v>9</v>
      </c>
      <c r="D1411" s="2" t="s">
        <v>359</v>
      </c>
      <c r="E1411" s="2" t="s">
        <v>23</v>
      </c>
      <c r="F1411" s="2" t="s">
        <v>47</v>
      </c>
      <c r="G1411" s="2" t="s">
        <v>22</v>
      </c>
      <c r="H1411" s="2" t="s">
        <v>23</v>
      </c>
      <c r="I1411" s="2" t="s">
        <v>23</v>
      </c>
      <c r="J1411" s="2">
        <v>94</v>
      </c>
      <c r="K1411" s="2" t="s">
        <v>147</v>
      </c>
      <c r="L1411" s="2">
        <v>1964</v>
      </c>
      <c r="M1411" s="2" t="s">
        <v>49</v>
      </c>
      <c r="N1411" s="2">
        <v>5</v>
      </c>
      <c r="O1411" s="2">
        <v>69462.34</v>
      </c>
      <c r="P1411" s="2">
        <v>13892.47</v>
      </c>
    </row>
    <row r="1412" spans="1:16" outlineLevel="2" x14ac:dyDescent="0.2">
      <c r="A1412" s="5">
        <v>46076</v>
      </c>
      <c r="B1412" s="2">
        <v>157185</v>
      </c>
      <c r="C1412" s="2">
        <v>10</v>
      </c>
      <c r="D1412" s="2" t="s">
        <v>359</v>
      </c>
      <c r="E1412" s="2" t="s">
        <v>23</v>
      </c>
      <c r="F1412" s="2" t="s">
        <v>47</v>
      </c>
      <c r="G1412" s="2" t="s">
        <v>22</v>
      </c>
      <c r="H1412" s="2" t="s">
        <v>23</v>
      </c>
      <c r="I1412" s="2" t="s">
        <v>23</v>
      </c>
      <c r="J1412" s="2">
        <v>94</v>
      </c>
      <c r="K1412" s="2" t="s">
        <v>147</v>
      </c>
      <c r="L1412" s="2">
        <v>1964</v>
      </c>
      <c r="M1412" s="2" t="s">
        <v>49</v>
      </c>
      <c r="N1412" s="2">
        <v>5</v>
      </c>
      <c r="O1412" s="2">
        <v>65728.58</v>
      </c>
      <c r="P1412" s="2">
        <v>13145.72</v>
      </c>
    </row>
    <row r="1413" spans="1:16" outlineLevel="1" x14ac:dyDescent="0.2">
      <c r="A1413" s="5"/>
      <c r="D1413" s="3" t="s">
        <v>760</v>
      </c>
      <c r="N1413" s="2">
        <f>SUBTOTAL(9,N1411:N1412)</f>
        <v>10</v>
      </c>
      <c r="O1413" s="2">
        <f>SUBTOTAL(9,O1411:O1412)</f>
        <v>135190.91999999998</v>
      </c>
    </row>
    <row r="1414" spans="1:16" outlineLevel="2" x14ac:dyDescent="0.2">
      <c r="A1414" s="5">
        <v>46076</v>
      </c>
      <c r="B1414" s="2">
        <v>157185</v>
      </c>
      <c r="C1414" s="2">
        <v>11</v>
      </c>
      <c r="D1414" s="2" t="s">
        <v>301</v>
      </c>
      <c r="E1414" s="2" t="s">
        <v>23</v>
      </c>
      <c r="F1414" s="2" t="s">
        <v>47</v>
      </c>
      <c r="G1414" s="2" t="s">
        <v>22</v>
      </c>
      <c r="H1414" s="2" t="s">
        <v>23</v>
      </c>
      <c r="I1414" s="2" t="s">
        <v>23</v>
      </c>
      <c r="J1414" s="2">
        <v>94</v>
      </c>
      <c r="K1414" s="2" t="s">
        <v>147</v>
      </c>
      <c r="L1414" s="2">
        <v>1964</v>
      </c>
      <c r="M1414" s="2" t="s">
        <v>49</v>
      </c>
      <c r="N1414" s="2">
        <v>5</v>
      </c>
      <c r="O1414" s="2">
        <v>54527.33</v>
      </c>
      <c r="P1414" s="2">
        <v>10905.47</v>
      </c>
    </row>
    <row r="1415" spans="1:16" outlineLevel="2" x14ac:dyDescent="0.2">
      <c r="A1415" s="5">
        <v>46076</v>
      </c>
      <c r="B1415" s="2">
        <v>157185</v>
      </c>
      <c r="C1415" s="2">
        <v>12</v>
      </c>
      <c r="D1415" s="2" t="s">
        <v>301</v>
      </c>
      <c r="E1415" s="2" t="s">
        <v>23</v>
      </c>
      <c r="F1415" s="2" t="s">
        <v>47</v>
      </c>
      <c r="G1415" s="2" t="s">
        <v>22</v>
      </c>
      <c r="H1415" s="2" t="s">
        <v>23</v>
      </c>
      <c r="I1415" s="2" t="s">
        <v>23</v>
      </c>
      <c r="J1415" s="2">
        <v>1</v>
      </c>
      <c r="K1415" s="2" t="s">
        <v>24</v>
      </c>
      <c r="L1415" s="2">
        <v>1964</v>
      </c>
      <c r="M1415" s="2" t="s">
        <v>49</v>
      </c>
      <c r="N1415" s="2">
        <v>2</v>
      </c>
      <c r="O1415" s="2">
        <v>24611.24</v>
      </c>
      <c r="P1415" s="2">
        <v>12305.62</v>
      </c>
    </row>
    <row r="1416" spans="1:16" outlineLevel="1" x14ac:dyDescent="0.2">
      <c r="A1416" s="5"/>
      <c r="D1416" s="3" t="s">
        <v>744</v>
      </c>
      <c r="N1416" s="2">
        <f>SUBTOTAL(9,N1414:N1415)</f>
        <v>7</v>
      </c>
      <c r="O1416" s="2">
        <f>SUBTOTAL(9,O1414:O1415)</f>
        <v>79138.570000000007</v>
      </c>
    </row>
    <row r="1417" spans="1:16" outlineLevel="2" x14ac:dyDescent="0.2">
      <c r="A1417" s="5">
        <v>46076</v>
      </c>
      <c r="B1417" s="2">
        <v>157185</v>
      </c>
      <c r="C1417" s="2">
        <v>13</v>
      </c>
      <c r="D1417" s="2" t="s">
        <v>303</v>
      </c>
      <c r="E1417" s="2" t="s">
        <v>23</v>
      </c>
      <c r="F1417" s="2" t="s">
        <v>47</v>
      </c>
      <c r="G1417" s="2" t="s">
        <v>22</v>
      </c>
      <c r="H1417" s="2" t="s">
        <v>23</v>
      </c>
      <c r="I1417" s="2" t="s">
        <v>23</v>
      </c>
      <c r="J1417" s="2">
        <v>94</v>
      </c>
      <c r="K1417" s="2" t="s">
        <v>147</v>
      </c>
      <c r="L1417" s="2">
        <v>1964</v>
      </c>
      <c r="M1417" s="2" t="s">
        <v>49</v>
      </c>
      <c r="N1417" s="2">
        <v>2</v>
      </c>
      <c r="O1417" s="2">
        <v>33012.199999999997</v>
      </c>
      <c r="P1417" s="2">
        <v>16506.099999999999</v>
      </c>
    </row>
    <row r="1418" spans="1:16" outlineLevel="1" x14ac:dyDescent="0.2">
      <c r="A1418" s="5"/>
      <c r="D1418" s="3" t="s">
        <v>746</v>
      </c>
      <c r="N1418" s="2">
        <f>SUBTOTAL(9,N1417:N1417)</f>
        <v>2</v>
      </c>
      <c r="O1418" s="2">
        <f>SUBTOTAL(9,O1417:O1417)</f>
        <v>33012.199999999997</v>
      </c>
    </row>
    <row r="1419" spans="1:16" outlineLevel="2" x14ac:dyDescent="0.2">
      <c r="A1419" s="5">
        <v>46076</v>
      </c>
      <c r="B1419" s="2">
        <v>157185</v>
      </c>
      <c r="C1419" s="2">
        <v>14</v>
      </c>
      <c r="D1419" s="2" t="s">
        <v>304</v>
      </c>
      <c r="E1419" s="2" t="s">
        <v>323</v>
      </c>
      <c r="F1419" s="2" t="s">
        <v>47</v>
      </c>
      <c r="G1419" s="2" t="s">
        <v>22</v>
      </c>
      <c r="H1419" s="2" t="s">
        <v>23</v>
      </c>
      <c r="I1419" s="2" t="s">
        <v>23</v>
      </c>
      <c r="J1419" s="2">
        <v>94</v>
      </c>
      <c r="K1419" s="2" t="s">
        <v>147</v>
      </c>
      <c r="L1419" s="2">
        <v>1964</v>
      </c>
      <c r="M1419" s="2" t="s">
        <v>49</v>
      </c>
      <c r="N1419" s="2">
        <v>5</v>
      </c>
      <c r="O1419" s="2">
        <v>63861.7</v>
      </c>
      <c r="P1419" s="2">
        <v>12772.34</v>
      </c>
    </row>
    <row r="1420" spans="1:16" outlineLevel="1" x14ac:dyDescent="0.2">
      <c r="A1420" s="5"/>
      <c r="D1420" s="3" t="s">
        <v>747</v>
      </c>
      <c r="N1420" s="2">
        <f>SUBTOTAL(9,N1419:N1419)</f>
        <v>5</v>
      </c>
      <c r="O1420" s="2">
        <f>SUBTOTAL(9,O1419:O1419)</f>
        <v>63861.7</v>
      </c>
    </row>
    <row r="1421" spans="1:16" outlineLevel="2" x14ac:dyDescent="0.2">
      <c r="A1421" s="5">
        <v>46076</v>
      </c>
      <c r="B1421" s="2">
        <v>157186</v>
      </c>
      <c r="C1421" s="2">
        <v>1</v>
      </c>
      <c r="D1421" s="2" t="s">
        <v>207</v>
      </c>
      <c r="E1421" s="2" t="s">
        <v>23</v>
      </c>
      <c r="F1421" s="2" t="s">
        <v>47</v>
      </c>
      <c r="G1421" s="2" t="s">
        <v>360</v>
      </c>
      <c r="H1421" s="2" t="s">
        <v>23</v>
      </c>
      <c r="I1421" s="2" t="s">
        <v>23</v>
      </c>
      <c r="J1421" s="2">
        <v>1</v>
      </c>
      <c r="K1421" s="2" t="s">
        <v>24</v>
      </c>
      <c r="L1421" s="2">
        <v>25213</v>
      </c>
      <c r="M1421" s="2" t="s">
        <v>130</v>
      </c>
      <c r="N1421" s="2">
        <v>2</v>
      </c>
      <c r="O1421" s="2">
        <v>141291.12</v>
      </c>
      <c r="P1421" s="2">
        <v>70645.56</v>
      </c>
    </row>
    <row r="1422" spans="1:16" outlineLevel="1" x14ac:dyDescent="0.2">
      <c r="A1422" s="5"/>
      <c r="D1422" s="3" t="s">
        <v>699</v>
      </c>
      <c r="N1422" s="2">
        <f>SUBTOTAL(9,N1421:N1421)</f>
        <v>2</v>
      </c>
      <c r="O1422" s="2">
        <f>SUBTOTAL(9,O1421:O1421)</f>
        <v>141291.12</v>
      </c>
    </row>
    <row r="1423" spans="1:16" outlineLevel="2" x14ac:dyDescent="0.2">
      <c r="A1423" s="5">
        <v>46076</v>
      </c>
      <c r="B1423" s="2">
        <v>157186</v>
      </c>
      <c r="C1423" s="2">
        <v>2</v>
      </c>
      <c r="D1423" s="2" t="s">
        <v>361</v>
      </c>
      <c r="E1423" s="2" t="s">
        <v>23</v>
      </c>
      <c r="F1423" s="2" t="s">
        <v>47</v>
      </c>
      <c r="G1423" s="2" t="s">
        <v>22</v>
      </c>
      <c r="H1423" s="2" t="s">
        <v>23</v>
      </c>
      <c r="I1423" s="2" t="s">
        <v>23</v>
      </c>
      <c r="J1423" s="2">
        <v>1</v>
      </c>
      <c r="K1423" s="2" t="s">
        <v>24</v>
      </c>
      <c r="L1423" s="2">
        <v>25213</v>
      </c>
      <c r="M1423" s="2" t="s">
        <v>130</v>
      </c>
      <c r="N1423" s="2">
        <v>5</v>
      </c>
      <c r="O1423" s="2">
        <v>384964.71</v>
      </c>
      <c r="P1423" s="2">
        <v>76992.94</v>
      </c>
    </row>
    <row r="1424" spans="1:16" outlineLevel="1" x14ac:dyDescent="0.2">
      <c r="A1424" s="5"/>
      <c r="D1424" s="3" t="s">
        <v>761</v>
      </c>
      <c r="N1424" s="2">
        <f>SUBTOTAL(9,N1423:N1423)</f>
        <v>5</v>
      </c>
      <c r="O1424" s="2">
        <f>SUBTOTAL(9,O1423:O1423)</f>
        <v>384964.71</v>
      </c>
    </row>
    <row r="1425" spans="1:16" outlineLevel="2" x14ac:dyDescent="0.2">
      <c r="A1425" s="5">
        <v>46076</v>
      </c>
      <c r="B1425" s="2">
        <v>157186</v>
      </c>
      <c r="C1425" s="2">
        <v>3</v>
      </c>
      <c r="D1425" s="2" t="s">
        <v>128</v>
      </c>
      <c r="E1425" s="2" t="s">
        <v>23</v>
      </c>
      <c r="F1425" s="2" t="s">
        <v>47</v>
      </c>
      <c r="G1425" s="2" t="s">
        <v>22</v>
      </c>
      <c r="H1425" s="2" t="s">
        <v>23</v>
      </c>
      <c r="I1425" s="2" t="s">
        <v>23</v>
      </c>
      <c r="J1425" s="2">
        <v>41</v>
      </c>
      <c r="K1425" s="2" t="s">
        <v>129</v>
      </c>
      <c r="L1425" s="2">
        <v>25213</v>
      </c>
      <c r="M1425" s="2" t="s">
        <v>130</v>
      </c>
      <c r="N1425" s="2">
        <v>75</v>
      </c>
      <c r="O1425" s="2">
        <v>272439.59999999998</v>
      </c>
      <c r="P1425" s="2">
        <v>3632.53</v>
      </c>
    </row>
    <row r="1426" spans="1:16" outlineLevel="1" x14ac:dyDescent="0.2">
      <c r="A1426" s="5"/>
      <c r="D1426" s="3" t="s">
        <v>732</v>
      </c>
      <c r="N1426" s="2">
        <f>SUBTOTAL(9,N1425:N1425)</f>
        <v>75</v>
      </c>
      <c r="O1426" s="2">
        <f>SUBTOTAL(9,O1425:O1425)</f>
        <v>272439.59999999998</v>
      </c>
    </row>
    <row r="1427" spans="1:16" outlineLevel="2" x14ac:dyDescent="0.2">
      <c r="A1427" s="5">
        <v>46076</v>
      </c>
      <c r="B1427" s="2">
        <v>157186</v>
      </c>
      <c r="C1427" s="2">
        <v>5</v>
      </c>
      <c r="D1427" s="2" t="s">
        <v>207</v>
      </c>
      <c r="E1427" s="2" t="s">
        <v>23</v>
      </c>
      <c r="F1427" s="2" t="s">
        <v>47</v>
      </c>
      <c r="G1427" s="2" t="s">
        <v>22</v>
      </c>
      <c r="H1427" s="2" t="s">
        <v>208</v>
      </c>
      <c r="I1427" s="2" t="s">
        <v>23</v>
      </c>
      <c r="J1427" s="2">
        <v>41</v>
      </c>
      <c r="K1427" s="2" t="s">
        <v>129</v>
      </c>
      <c r="L1427" s="2">
        <v>25213</v>
      </c>
      <c r="M1427" s="2" t="s">
        <v>130</v>
      </c>
      <c r="N1427" s="2">
        <v>73</v>
      </c>
      <c r="O1427" s="2">
        <v>265190.32</v>
      </c>
      <c r="P1427" s="2">
        <v>3632.74</v>
      </c>
    </row>
    <row r="1428" spans="1:16" outlineLevel="1" x14ac:dyDescent="0.2">
      <c r="A1428" s="5"/>
      <c r="D1428" s="3" t="s">
        <v>699</v>
      </c>
      <c r="N1428" s="2">
        <f>SUBTOTAL(9,N1427:N1427)</f>
        <v>73</v>
      </c>
      <c r="O1428" s="2">
        <f>SUBTOTAL(9,O1427:O1427)</f>
        <v>265190.32</v>
      </c>
    </row>
    <row r="1429" spans="1:16" outlineLevel="2" x14ac:dyDescent="0.2">
      <c r="A1429" s="5">
        <v>46076</v>
      </c>
      <c r="B1429" s="2">
        <v>157187</v>
      </c>
      <c r="C1429" s="2">
        <v>1</v>
      </c>
      <c r="D1429" s="2" t="s">
        <v>26</v>
      </c>
      <c r="E1429" s="2" t="s">
        <v>51</v>
      </c>
      <c r="F1429" s="2" t="s">
        <v>52</v>
      </c>
      <c r="G1429" s="2" t="s">
        <v>22</v>
      </c>
      <c r="H1429" s="2" t="s">
        <v>23</v>
      </c>
      <c r="I1429" s="2" t="s">
        <v>23</v>
      </c>
      <c r="J1429" s="2">
        <v>5</v>
      </c>
      <c r="K1429" s="2" t="s">
        <v>27</v>
      </c>
      <c r="L1429" s="2">
        <v>3048</v>
      </c>
      <c r="M1429" s="2" t="s">
        <v>53</v>
      </c>
      <c r="N1429" s="2">
        <v>120</v>
      </c>
      <c r="O1429" s="2">
        <v>593174.9</v>
      </c>
      <c r="P1429" s="2">
        <v>4943.12</v>
      </c>
    </row>
    <row r="1430" spans="1:16" outlineLevel="1" x14ac:dyDescent="0.2">
      <c r="A1430" s="5"/>
      <c r="D1430" s="3" t="s">
        <v>711</v>
      </c>
      <c r="N1430" s="2">
        <f>SUBTOTAL(9,N1429:N1429)</f>
        <v>120</v>
      </c>
      <c r="O1430" s="2">
        <f>SUBTOTAL(9,O1429:O1429)</f>
        <v>593174.9</v>
      </c>
    </row>
    <row r="1431" spans="1:16" outlineLevel="2" x14ac:dyDescent="0.2">
      <c r="A1431" s="5">
        <v>46101</v>
      </c>
      <c r="B1431" s="2">
        <v>157192</v>
      </c>
      <c r="C1431" s="2">
        <v>315</v>
      </c>
      <c r="D1431" s="2" t="s">
        <v>54</v>
      </c>
      <c r="E1431" s="2" t="s">
        <v>30</v>
      </c>
      <c r="F1431" s="2" t="s">
        <v>55</v>
      </c>
      <c r="G1431" s="2" t="s">
        <v>23</v>
      </c>
      <c r="H1431" s="2" t="s">
        <v>23</v>
      </c>
      <c r="I1431" s="2" t="s">
        <v>23</v>
      </c>
      <c r="J1431" s="2">
        <v>1</v>
      </c>
      <c r="K1431" s="2" t="s">
        <v>24</v>
      </c>
      <c r="L1431" s="2">
        <v>25095</v>
      </c>
      <c r="M1431" s="2" t="s">
        <v>216</v>
      </c>
      <c r="N1431" s="2">
        <v>8</v>
      </c>
      <c r="O1431" s="2">
        <v>42438.64</v>
      </c>
      <c r="P1431" s="2">
        <v>5304.83</v>
      </c>
    </row>
    <row r="1432" spans="1:16" outlineLevel="1" x14ac:dyDescent="0.2">
      <c r="A1432" s="5"/>
      <c r="D1432" s="3" t="s">
        <v>719</v>
      </c>
      <c r="N1432" s="2">
        <f>SUBTOTAL(9,N1431:N1431)</f>
        <v>8</v>
      </c>
      <c r="O1432" s="2">
        <f>SUBTOTAL(9,O1431:O1431)</f>
        <v>42438.64</v>
      </c>
    </row>
    <row r="1433" spans="1:16" outlineLevel="2" x14ac:dyDescent="0.2">
      <c r="A1433" s="5">
        <v>46078</v>
      </c>
      <c r="B1433" s="2">
        <v>157198</v>
      </c>
      <c r="C1433" s="2">
        <v>1</v>
      </c>
      <c r="D1433" s="2" t="s">
        <v>203</v>
      </c>
      <c r="E1433" s="2" t="s">
        <v>125</v>
      </c>
      <c r="F1433" s="2" t="s">
        <v>55</v>
      </c>
      <c r="G1433" s="2" t="s">
        <v>23</v>
      </c>
      <c r="H1433" s="2" t="s">
        <v>23</v>
      </c>
      <c r="I1433" s="2" t="s">
        <v>23</v>
      </c>
      <c r="J1433" s="2">
        <v>2</v>
      </c>
      <c r="K1433" s="2" t="s">
        <v>48</v>
      </c>
      <c r="L1433" s="2">
        <v>492</v>
      </c>
      <c r="M1433" s="2" t="s">
        <v>269</v>
      </c>
      <c r="N1433" s="2">
        <v>7</v>
      </c>
      <c r="O1433" s="2">
        <v>24999.09</v>
      </c>
      <c r="P1433" s="2">
        <v>3571.3</v>
      </c>
    </row>
    <row r="1434" spans="1:16" outlineLevel="1" x14ac:dyDescent="0.2">
      <c r="A1434" s="5"/>
      <c r="D1434" s="3" t="s">
        <v>735</v>
      </c>
      <c r="N1434" s="2">
        <f>SUBTOTAL(9,N1433:N1433)</f>
        <v>7</v>
      </c>
      <c r="O1434" s="2">
        <f>SUBTOTAL(9,O1433:O1433)</f>
        <v>24999.09</v>
      </c>
    </row>
    <row r="1435" spans="1:16" outlineLevel="2" x14ac:dyDescent="0.2">
      <c r="A1435" s="5">
        <v>46078</v>
      </c>
      <c r="B1435" s="2">
        <v>157205</v>
      </c>
      <c r="C1435" s="2">
        <v>1</v>
      </c>
      <c r="D1435" s="2" t="s">
        <v>362</v>
      </c>
      <c r="E1435" s="2" t="s">
        <v>23</v>
      </c>
      <c r="F1435" s="2" t="s">
        <v>55</v>
      </c>
      <c r="G1435" s="2" t="s">
        <v>23</v>
      </c>
      <c r="H1435" s="2" t="s">
        <v>23</v>
      </c>
      <c r="I1435" s="2" t="s">
        <v>23</v>
      </c>
      <c r="J1435" s="2">
        <v>1</v>
      </c>
      <c r="K1435" s="2" t="s">
        <v>24</v>
      </c>
      <c r="L1435" s="2">
        <v>1833</v>
      </c>
      <c r="M1435" s="2" t="s">
        <v>142</v>
      </c>
      <c r="N1435" s="2">
        <v>7</v>
      </c>
      <c r="O1435" s="2">
        <v>154747.15</v>
      </c>
      <c r="P1435" s="2">
        <v>22106.74</v>
      </c>
    </row>
    <row r="1436" spans="1:16" outlineLevel="1" x14ac:dyDescent="0.2">
      <c r="A1436" s="5"/>
      <c r="D1436" s="3" t="s">
        <v>762</v>
      </c>
      <c r="N1436" s="2">
        <f>SUBTOTAL(9,N1435:N1435)</f>
        <v>7</v>
      </c>
      <c r="O1436" s="2">
        <f>SUBTOTAL(9,O1435:O1435)</f>
        <v>154747.15</v>
      </c>
    </row>
    <row r="1437" spans="1:16" outlineLevel="2" x14ac:dyDescent="0.2">
      <c r="A1437" s="5">
        <v>46076</v>
      </c>
      <c r="B1437" s="2">
        <v>157242</v>
      </c>
      <c r="C1437" s="2">
        <v>1</v>
      </c>
      <c r="D1437" s="2" t="s">
        <v>38</v>
      </c>
      <c r="E1437" s="2" t="s">
        <v>39</v>
      </c>
      <c r="F1437" s="2" t="s">
        <v>290</v>
      </c>
      <c r="G1437" s="2" t="s">
        <v>291</v>
      </c>
      <c r="H1437" s="2" t="s">
        <v>23</v>
      </c>
      <c r="I1437" s="2" t="s">
        <v>23</v>
      </c>
      <c r="J1437" s="2">
        <v>40</v>
      </c>
      <c r="K1437" s="2" t="s">
        <v>43</v>
      </c>
      <c r="L1437" s="2">
        <v>2551</v>
      </c>
      <c r="M1437" s="2" t="s">
        <v>292</v>
      </c>
      <c r="N1437" s="2">
        <v>448</v>
      </c>
      <c r="O1437" s="2">
        <v>16125608.859999999</v>
      </c>
      <c r="P1437" s="2">
        <v>35994.660000000003</v>
      </c>
    </row>
    <row r="1438" spans="1:16" outlineLevel="2" x14ac:dyDescent="0.2">
      <c r="A1438" s="5">
        <v>46078</v>
      </c>
      <c r="B1438" s="2">
        <v>157243</v>
      </c>
      <c r="C1438" s="2">
        <v>1</v>
      </c>
      <c r="D1438" s="2" t="s">
        <v>38</v>
      </c>
      <c r="E1438" s="2" t="s">
        <v>39</v>
      </c>
      <c r="F1438" s="2" t="s">
        <v>290</v>
      </c>
      <c r="G1438" s="2" t="s">
        <v>291</v>
      </c>
      <c r="H1438" s="2" t="s">
        <v>23</v>
      </c>
      <c r="I1438" s="2" t="s">
        <v>23</v>
      </c>
      <c r="J1438" s="2">
        <v>40</v>
      </c>
      <c r="K1438" s="2" t="s">
        <v>43</v>
      </c>
      <c r="L1438" s="2">
        <v>2551</v>
      </c>
      <c r="M1438" s="2" t="s">
        <v>292</v>
      </c>
      <c r="N1438" s="2">
        <v>1008</v>
      </c>
      <c r="O1438" s="2">
        <v>42852347.310000002</v>
      </c>
      <c r="P1438" s="2">
        <v>42512.25</v>
      </c>
    </row>
    <row r="1439" spans="1:16" outlineLevel="1" x14ac:dyDescent="0.2">
      <c r="A1439" s="5"/>
      <c r="D1439" s="3" t="s">
        <v>721</v>
      </c>
      <c r="N1439" s="2">
        <f>SUBTOTAL(9,N1437:N1438)</f>
        <v>1456</v>
      </c>
      <c r="O1439" s="2">
        <f>SUBTOTAL(9,O1437:O1438)</f>
        <v>58977956.170000002</v>
      </c>
    </row>
    <row r="1440" spans="1:16" outlineLevel="2" x14ac:dyDescent="0.2">
      <c r="A1440" s="5">
        <v>46076</v>
      </c>
      <c r="B1440" s="2">
        <v>157245</v>
      </c>
      <c r="C1440" s="2">
        <v>2</v>
      </c>
      <c r="D1440" s="2" t="s">
        <v>107</v>
      </c>
      <c r="E1440" s="2" t="s">
        <v>224</v>
      </c>
      <c r="F1440" s="2" t="s">
        <v>63</v>
      </c>
      <c r="G1440" s="2" t="s">
        <v>22</v>
      </c>
      <c r="H1440" s="2" t="s">
        <v>23</v>
      </c>
      <c r="I1440" s="2" t="s">
        <v>23</v>
      </c>
      <c r="J1440" s="2">
        <v>40</v>
      </c>
      <c r="K1440" s="2" t="s">
        <v>43</v>
      </c>
      <c r="L1440" s="2">
        <v>2104</v>
      </c>
      <c r="M1440" s="2" t="s">
        <v>118</v>
      </c>
      <c r="N1440" s="2">
        <v>150</v>
      </c>
      <c r="O1440" s="2">
        <v>2366564.4300000002</v>
      </c>
      <c r="P1440" s="2">
        <v>15777.1</v>
      </c>
    </row>
    <row r="1441" spans="1:16" outlineLevel="1" x14ac:dyDescent="0.2">
      <c r="A1441" s="5"/>
      <c r="D1441" s="3" t="s">
        <v>726</v>
      </c>
      <c r="N1441" s="2">
        <f>SUBTOTAL(9,N1440:N1440)</f>
        <v>150</v>
      </c>
      <c r="O1441" s="2">
        <f>SUBTOTAL(9,O1440:O1440)</f>
        <v>2366564.4300000002</v>
      </c>
    </row>
    <row r="1442" spans="1:16" outlineLevel="2" x14ac:dyDescent="0.2">
      <c r="A1442" s="5">
        <v>46078</v>
      </c>
      <c r="B1442" s="2">
        <v>157246</v>
      </c>
      <c r="C1442" s="2">
        <v>1</v>
      </c>
      <c r="D1442" s="2" t="s">
        <v>38</v>
      </c>
      <c r="E1442" s="2" t="s">
        <v>39</v>
      </c>
      <c r="F1442" s="2" t="s">
        <v>63</v>
      </c>
      <c r="G1442" s="2" t="s">
        <v>22</v>
      </c>
      <c r="H1442" s="2" t="s">
        <v>23</v>
      </c>
      <c r="I1442" s="2" t="s">
        <v>243</v>
      </c>
      <c r="J1442" s="2">
        <v>1</v>
      </c>
      <c r="K1442" s="2" t="s">
        <v>24</v>
      </c>
      <c r="L1442" s="2">
        <v>1846</v>
      </c>
      <c r="M1442" s="2" t="s">
        <v>134</v>
      </c>
      <c r="N1442" s="2">
        <v>176</v>
      </c>
      <c r="O1442" s="2">
        <v>11857686.58</v>
      </c>
      <c r="P1442" s="2">
        <v>67373.22</v>
      </c>
    </row>
    <row r="1443" spans="1:16" outlineLevel="2" x14ac:dyDescent="0.2">
      <c r="A1443" s="5">
        <v>46076</v>
      </c>
      <c r="B1443" s="2">
        <v>157246</v>
      </c>
      <c r="C1443" s="2">
        <v>2</v>
      </c>
      <c r="D1443" s="2" t="s">
        <v>38</v>
      </c>
      <c r="E1443" s="2" t="s">
        <v>39</v>
      </c>
      <c r="F1443" s="2" t="s">
        <v>63</v>
      </c>
      <c r="G1443" s="2" t="s">
        <v>22</v>
      </c>
      <c r="H1443" s="2" t="s">
        <v>23</v>
      </c>
      <c r="I1443" s="2" t="s">
        <v>116</v>
      </c>
      <c r="J1443" s="2">
        <v>1</v>
      </c>
      <c r="K1443" s="2" t="s">
        <v>24</v>
      </c>
      <c r="L1443" s="2">
        <v>1846</v>
      </c>
      <c r="M1443" s="2" t="s">
        <v>134</v>
      </c>
      <c r="N1443" s="2">
        <v>286</v>
      </c>
      <c r="O1443" s="2">
        <v>20064568.120000001</v>
      </c>
      <c r="P1443" s="2">
        <v>70155.83</v>
      </c>
    </row>
    <row r="1444" spans="1:16" outlineLevel="2" x14ac:dyDescent="0.2">
      <c r="A1444" s="5">
        <v>46076</v>
      </c>
      <c r="B1444" s="2">
        <v>157246</v>
      </c>
      <c r="C1444" s="2">
        <v>3</v>
      </c>
      <c r="D1444" s="2" t="s">
        <v>38</v>
      </c>
      <c r="E1444" s="2" t="s">
        <v>39</v>
      </c>
      <c r="F1444" s="2" t="s">
        <v>63</v>
      </c>
      <c r="G1444" s="2" t="s">
        <v>22</v>
      </c>
      <c r="H1444" s="2" t="s">
        <v>23</v>
      </c>
      <c r="I1444" s="2" t="s">
        <v>135</v>
      </c>
      <c r="J1444" s="2">
        <v>1</v>
      </c>
      <c r="K1444" s="2" t="s">
        <v>24</v>
      </c>
      <c r="L1444" s="2">
        <v>1846</v>
      </c>
      <c r="M1444" s="2" t="s">
        <v>134</v>
      </c>
      <c r="N1444" s="2">
        <v>352</v>
      </c>
      <c r="O1444" s="2">
        <v>24116429.41</v>
      </c>
      <c r="P1444" s="2">
        <v>68512.58</v>
      </c>
    </row>
    <row r="1445" spans="1:16" outlineLevel="2" x14ac:dyDescent="0.2">
      <c r="A1445" s="5">
        <v>46076</v>
      </c>
      <c r="B1445" s="2">
        <v>157246</v>
      </c>
      <c r="C1445" s="2">
        <v>4</v>
      </c>
      <c r="D1445" s="2" t="s">
        <v>38</v>
      </c>
      <c r="E1445" s="2" t="s">
        <v>39</v>
      </c>
      <c r="F1445" s="2" t="s">
        <v>63</v>
      </c>
      <c r="G1445" s="2" t="s">
        <v>22</v>
      </c>
      <c r="H1445" s="2" t="s">
        <v>23</v>
      </c>
      <c r="I1445" s="2" t="s">
        <v>133</v>
      </c>
      <c r="J1445" s="2">
        <v>1</v>
      </c>
      <c r="K1445" s="2" t="s">
        <v>24</v>
      </c>
      <c r="L1445" s="2">
        <v>1846</v>
      </c>
      <c r="M1445" s="2" t="s">
        <v>134</v>
      </c>
      <c r="N1445" s="2">
        <v>440</v>
      </c>
      <c r="O1445" s="2">
        <v>24093472.600000001</v>
      </c>
      <c r="P1445" s="2">
        <v>54757.89</v>
      </c>
    </row>
    <row r="1446" spans="1:16" outlineLevel="2" x14ac:dyDescent="0.2">
      <c r="A1446" s="5">
        <v>46078</v>
      </c>
      <c r="B1446" s="2">
        <v>157247</v>
      </c>
      <c r="C1446" s="2">
        <v>1</v>
      </c>
      <c r="D1446" s="2" t="s">
        <v>38</v>
      </c>
      <c r="E1446" s="2" t="s">
        <v>39</v>
      </c>
      <c r="F1446" s="2" t="s">
        <v>63</v>
      </c>
      <c r="G1446" s="2" t="s">
        <v>22</v>
      </c>
      <c r="H1446" s="2" t="s">
        <v>23</v>
      </c>
      <c r="I1446" s="2" t="s">
        <v>243</v>
      </c>
      <c r="J1446" s="2">
        <v>1</v>
      </c>
      <c r="K1446" s="2" t="s">
        <v>24</v>
      </c>
      <c r="L1446" s="2">
        <v>1846</v>
      </c>
      <c r="M1446" s="2" t="s">
        <v>134</v>
      </c>
      <c r="N1446" s="2">
        <v>88</v>
      </c>
      <c r="O1446" s="2">
        <v>5972248.1600000001</v>
      </c>
      <c r="P1446" s="2">
        <v>67866.460000000006</v>
      </c>
    </row>
    <row r="1447" spans="1:16" outlineLevel="2" x14ac:dyDescent="0.2">
      <c r="A1447" s="5">
        <v>46076</v>
      </c>
      <c r="B1447" s="2">
        <v>157247</v>
      </c>
      <c r="C1447" s="2">
        <v>4</v>
      </c>
      <c r="D1447" s="2" t="s">
        <v>38</v>
      </c>
      <c r="E1447" s="2" t="s">
        <v>39</v>
      </c>
      <c r="F1447" s="2" t="s">
        <v>63</v>
      </c>
      <c r="G1447" s="2" t="s">
        <v>22</v>
      </c>
      <c r="H1447" s="2" t="s">
        <v>23</v>
      </c>
      <c r="I1447" s="2" t="s">
        <v>133</v>
      </c>
      <c r="J1447" s="2">
        <v>1</v>
      </c>
      <c r="K1447" s="2" t="s">
        <v>24</v>
      </c>
      <c r="L1447" s="2">
        <v>1846</v>
      </c>
      <c r="M1447" s="2" t="s">
        <v>134</v>
      </c>
      <c r="N1447" s="2">
        <v>314</v>
      </c>
      <c r="O1447" s="2">
        <v>18621292.710000001</v>
      </c>
      <c r="P1447" s="2">
        <v>59303.48</v>
      </c>
    </row>
    <row r="1448" spans="1:16" outlineLevel="1" x14ac:dyDescent="0.2">
      <c r="A1448" s="5"/>
      <c r="D1448" s="3" t="s">
        <v>721</v>
      </c>
      <c r="N1448" s="2">
        <f>SUBTOTAL(9,N1442:N1447)</f>
        <v>1656</v>
      </c>
      <c r="O1448" s="2">
        <f>SUBTOTAL(9,O1442:O1447)</f>
        <v>104725697.58000001</v>
      </c>
    </row>
    <row r="1449" spans="1:16" outlineLevel="2" x14ac:dyDescent="0.2">
      <c r="A1449" s="5">
        <v>46078</v>
      </c>
      <c r="B1449" s="2">
        <v>157249</v>
      </c>
      <c r="C1449" s="2">
        <v>1</v>
      </c>
      <c r="D1449" s="2" t="s">
        <v>19</v>
      </c>
      <c r="E1449" s="2" t="s">
        <v>20</v>
      </c>
      <c r="F1449" s="2" t="s">
        <v>35</v>
      </c>
      <c r="G1449" s="2" t="s">
        <v>22</v>
      </c>
      <c r="H1449" s="2" t="s">
        <v>23</v>
      </c>
      <c r="I1449" s="2" t="s">
        <v>23</v>
      </c>
      <c r="J1449" s="2">
        <v>1</v>
      </c>
      <c r="K1449" s="2" t="s">
        <v>24</v>
      </c>
      <c r="L1449" s="2">
        <v>1829</v>
      </c>
      <c r="M1449" s="2" t="s">
        <v>25</v>
      </c>
      <c r="N1449" s="2">
        <v>227</v>
      </c>
      <c r="O1449" s="2">
        <v>10749536.42</v>
      </c>
      <c r="P1449" s="2">
        <v>47354.79</v>
      </c>
    </row>
    <row r="1450" spans="1:16" outlineLevel="2" x14ac:dyDescent="0.2">
      <c r="A1450" s="5">
        <v>46078</v>
      </c>
      <c r="B1450" s="2">
        <v>157249</v>
      </c>
      <c r="C1450" s="2">
        <v>200</v>
      </c>
      <c r="D1450" s="2" t="s">
        <v>19</v>
      </c>
      <c r="E1450" s="2" t="s">
        <v>20</v>
      </c>
      <c r="F1450" s="2" t="s">
        <v>35</v>
      </c>
      <c r="G1450" s="2" t="s">
        <v>22</v>
      </c>
      <c r="H1450" s="2" t="s">
        <v>23</v>
      </c>
      <c r="I1450" s="2" t="s">
        <v>23</v>
      </c>
      <c r="J1450" s="2">
        <v>39</v>
      </c>
      <c r="K1450" s="2" t="s">
        <v>172</v>
      </c>
      <c r="L1450" s="2">
        <v>1829</v>
      </c>
      <c r="M1450" s="2" t="s">
        <v>25</v>
      </c>
      <c r="N1450" s="2">
        <v>7</v>
      </c>
      <c r="O1450" s="2">
        <v>37133.81</v>
      </c>
      <c r="P1450" s="2">
        <v>5304.83</v>
      </c>
    </row>
    <row r="1451" spans="1:16" outlineLevel="1" x14ac:dyDescent="0.2">
      <c r="A1451" s="5"/>
      <c r="D1451" s="3" t="s">
        <v>704</v>
      </c>
      <c r="N1451" s="2">
        <f>SUBTOTAL(9,N1449:N1450)</f>
        <v>234</v>
      </c>
      <c r="O1451" s="2">
        <f>SUBTOTAL(9,O1449:O1450)</f>
        <v>10786670.23</v>
      </c>
    </row>
    <row r="1452" spans="1:16" outlineLevel="2" x14ac:dyDescent="0.2">
      <c r="A1452" s="5">
        <v>46078</v>
      </c>
      <c r="B1452" s="2">
        <v>157254</v>
      </c>
      <c r="C1452" s="2">
        <v>1</v>
      </c>
      <c r="D1452" s="2" t="s">
        <v>197</v>
      </c>
      <c r="E1452" s="2" t="s">
        <v>198</v>
      </c>
      <c r="F1452" s="2" t="s">
        <v>199</v>
      </c>
      <c r="G1452" s="2" t="s">
        <v>22</v>
      </c>
      <c r="H1452" s="2" t="s">
        <v>23</v>
      </c>
      <c r="I1452" s="2" t="s">
        <v>23</v>
      </c>
      <c r="J1452" s="2">
        <v>2</v>
      </c>
      <c r="K1452" s="2" t="s">
        <v>48</v>
      </c>
      <c r="L1452" s="2">
        <v>182</v>
      </c>
      <c r="M1452" s="2" t="s">
        <v>263</v>
      </c>
      <c r="N1452" s="2">
        <v>100</v>
      </c>
      <c r="O1452" s="2">
        <v>1969197.42</v>
      </c>
      <c r="P1452" s="2">
        <v>19691.97</v>
      </c>
    </row>
    <row r="1453" spans="1:16" outlineLevel="2" x14ac:dyDescent="0.2">
      <c r="A1453" s="5">
        <v>46080</v>
      </c>
      <c r="B1453" s="2">
        <v>157255</v>
      </c>
      <c r="C1453" s="2">
        <v>1</v>
      </c>
      <c r="D1453" s="2" t="s">
        <v>197</v>
      </c>
      <c r="E1453" s="2" t="s">
        <v>198</v>
      </c>
      <c r="F1453" s="2" t="s">
        <v>199</v>
      </c>
      <c r="G1453" s="2" t="s">
        <v>22</v>
      </c>
      <c r="H1453" s="2" t="s">
        <v>23</v>
      </c>
      <c r="I1453" s="2" t="s">
        <v>23</v>
      </c>
      <c r="J1453" s="2">
        <v>2</v>
      </c>
      <c r="K1453" s="2" t="s">
        <v>48</v>
      </c>
      <c r="L1453" s="2">
        <v>182</v>
      </c>
      <c r="M1453" s="2" t="s">
        <v>263</v>
      </c>
      <c r="N1453" s="2">
        <v>102</v>
      </c>
      <c r="O1453" s="2">
        <v>1694823.47</v>
      </c>
      <c r="P1453" s="2">
        <v>16615.919999999998</v>
      </c>
    </row>
    <row r="1454" spans="1:16" outlineLevel="2" x14ac:dyDescent="0.2">
      <c r="A1454" s="5">
        <v>46085</v>
      </c>
      <c r="B1454" s="2">
        <v>157256</v>
      </c>
      <c r="C1454" s="2">
        <v>1</v>
      </c>
      <c r="D1454" s="2" t="s">
        <v>197</v>
      </c>
      <c r="E1454" s="2" t="s">
        <v>198</v>
      </c>
      <c r="F1454" s="2" t="s">
        <v>199</v>
      </c>
      <c r="G1454" s="2" t="s">
        <v>22</v>
      </c>
      <c r="H1454" s="2" t="s">
        <v>23</v>
      </c>
      <c r="I1454" s="2" t="s">
        <v>23</v>
      </c>
      <c r="J1454" s="2">
        <v>2</v>
      </c>
      <c r="K1454" s="2" t="s">
        <v>48</v>
      </c>
      <c r="L1454" s="2">
        <v>182</v>
      </c>
      <c r="M1454" s="2" t="s">
        <v>263</v>
      </c>
      <c r="N1454" s="2">
        <v>2</v>
      </c>
      <c r="O1454" s="2">
        <v>44213.48</v>
      </c>
      <c r="P1454" s="2">
        <v>22106.74</v>
      </c>
    </row>
    <row r="1455" spans="1:16" outlineLevel="1" x14ac:dyDescent="0.2">
      <c r="A1455" s="5"/>
      <c r="D1455" s="3" t="s">
        <v>734</v>
      </c>
      <c r="N1455" s="2">
        <f>SUBTOTAL(9,N1452:N1454)</f>
        <v>204</v>
      </c>
      <c r="O1455" s="2">
        <f>SUBTOTAL(9,O1452:O1454)</f>
        <v>3708234.3699999996</v>
      </c>
    </row>
    <row r="1456" spans="1:16" outlineLevel="2" x14ac:dyDescent="0.2">
      <c r="A1456" s="5">
        <v>46094</v>
      </c>
      <c r="B1456" s="2">
        <v>157259</v>
      </c>
      <c r="C1456" s="2">
        <v>2</v>
      </c>
      <c r="D1456" s="2" t="s">
        <v>285</v>
      </c>
      <c r="E1456" s="2" t="s">
        <v>51</v>
      </c>
      <c r="F1456" s="2" t="s">
        <v>52</v>
      </c>
      <c r="G1456" s="2" t="s">
        <v>22</v>
      </c>
      <c r="H1456" s="2" t="s">
        <v>23</v>
      </c>
      <c r="I1456" s="2" t="s">
        <v>23</v>
      </c>
      <c r="J1456" s="2">
        <v>5</v>
      </c>
      <c r="K1456" s="2" t="s">
        <v>27</v>
      </c>
      <c r="L1456" s="2">
        <v>104</v>
      </c>
      <c r="M1456" s="2" t="s">
        <v>158</v>
      </c>
      <c r="N1456" s="2">
        <v>1070</v>
      </c>
      <c r="O1456" s="2">
        <v>5487271.79</v>
      </c>
      <c r="P1456" s="2">
        <v>5128.29</v>
      </c>
    </row>
    <row r="1457" spans="1:16" outlineLevel="1" x14ac:dyDescent="0.2">
      <c r="A1457" s="5"/>
      <c r="D1457" s="3" t="s">
        <v>739</v>
      </c>
      <c r="N1457" s="2">
        <f>SUBTOTAL(9,N1456:N1456)</f>
        <v>1070</v>
      </c>
      <c r="O1457" s="2">
        <f>SUBTOTAL(9,O1456:O1456)</f>
        <v>5487271.79</v>
      </c>
    </row>
    <row r="1458" spans="1:16" outlineLevel="2" x14ac:dyDescent="0.2">
      <c r="A1458" s="5">
        <v>46092</v>
      </c>
      <c r="B1458" s="2">
        <v>157261</v>
      </c>
      <c r="C1458" s="2">
        <v>2</v>
      </c>
      <c r="D1458" s="2" t="s">
        <v>29</v>
      </c>
      <c r="E1458" s="2" t="s">
        <v>322</v>
      </c>
      <c r="F1458" s="2" t="s">
        <v>55</v>
      </c>
      <c r="G1458" s="2" t="s">
        <v>23</v>
      </c>
      <c r="H1458" s="2" t="s">
        <v>23</v>
      </c>
      <c r="I1458" s="2" t="s">
        <v>23</v>
      </c>
      <c r="J1458" s="2">
        <v>1</v>
      </c>
      <c r="K1458" s="2" t="s">
        <v>24</v>
      </c>
      <c r="L1458" s="2">
        <v>2403</v>
      </c>
      <c r="M1458" s="2" t="s">
        <v>142</v>
      </c>
      <c r="N1458" s="2">
        <v>10</v>
      </c>
      <c r="O1458" s="2">
        <v>172528.52</v>
      </c>
      <c r="P1458" s="2">
        <v>17252.849999999999</v>
      </c>
    </row>
    <row r="1459" spans="1:16" outlineLevel="2" x14ac:dyDescent="0.2">
      <c r="A1459" s="5">
        <v>46111</v>
      </c>
      <c r="B1459" s="2">
        <v>157262</v>
      </c>
      <c r="C1459" s="2">
        <v>3</v>
      </c>
      <c r="D1459" s="2" t="s">
        <v>29</v>
      </c>
      <c r="E1459" s="2" t="s">
        <v>23</v>
      </c>
      <c r="F1459" s="2" t="s">
        <v>55</v>
      </c>
      <c r="G1459" s="2" t="s">
        <v>23</v>
      </c>
      <c r="H1459" s="2" t="s">
        <v>23</v>
      </c>
      <c r="I1459" s="2" t="s">
        <v>23</v>
      </c>
      <c r="J1459" s="2">
        <v>2</v>
      </c>
      <c r="K1459" s="2" t="s">
        <v>48</v>
      </c>
      <c r="L1459" s="2">
        <v>25177</v>
      </c>
      <c r="M1459" s="2" t="s">
        <v>32</v>
      </c>
      <c r="N1459" s="2">
        <v>144</v>
      </c>
      <c r="O1459" s="2">
        <v>360650.88</v>
      </c>
      <c r="P1459" s="2">
        <v>2504.52</v>
      </c>
    </row>
    <row r="1460" spans="1:16" outlineLevel="1" x14ac:dyDescent="0.2">
      <c r="A1460" s="5"/>
      <c r="D1460" s="3" t="s">
        <v>703</v>
      </c>
      <c r="N1460" s="2">
        <f>SUBTOTAL(9,N1458:N1459)</f>
        <v>154</v>
      </c>
      <c r="O1460" s="2">
        <f>SUBTOTAL(9,O1458:O1459)</f>
        <v>533179.4</v>
      </c>
    </row>
    <row r="1461" spans="1:16" outlineLevel="2" x14ac:dyDescent="0.2">
      <c r="A1461" s="5">
        <v>46080</v>
      </c>
      <c r="B1461" s="2">
        <v>157266</v>
      </c>
      <c r="C1461" s="2">
        <v>314</v>
      </c>
      <c r="D1461" s="2" t="s">
        <v>45</v>
      </c>
      <c r="E1461" s="2" t="s">
        <v>228</v>
      </c>
      <c r="F1461" s="2" t="s">
        <v>55</v>
      </c>
      <c r="G1461" s="2" t="s">
        <v>23</v>
      </c>
      <c r="H1461" s="2" t="s">
        <v>23</v>
      </c>
      <c r="I1461" s="2" t="s">
        <v>23</v>
      </c>
      <c r="J1461" s="2">
        <v>2</v>
      </c>
      <c r="K1461" s="2" t="s">
        <v>48</v>
      </c>
      <c r="L1461" s="2">
        <v>1964</v>
      </c>
      <c r="M1461" s="2" t="s">
        <v>49</v>
      </c>
      <c r="N1461" s="2">
        <v>29</v>
      </c>
      <c r="O1461" s="2">
        <v>197711.72</v>
      </c>
      <c r="P1461" s="2">
        <v>6817.65</v>
      </c>
    </row>
    <row r="1462" spans="1:16" outlineLevel="2" x14ac:dyDescent="0.2">
      <c r="A1462" s="5">
        <v>46078</v>
      </c>
      <c r="B1462" s="2">
        <v>157266</v>
      </c>
      <c r="C1462" s="2">
        <v>315</v>
      </c>
      <c r="D1462" s="2" t="s">
        <v>45</v>
      </c>
      <c r="E1462" s="2" t="s">
        <v>125</v>
      </c>
      <c r="F1462" s="2" t="s">
        <v>55</v>
      </c>
      <c r="G1462" s="2" t="s">
        <v>23</v>
      </c>
      <c r="H1462" s="2" t="s">
        <v>23</v>
      </c>
      <c r="I1462" s="2" t="s">
        <v>23</v>
      </c>
      <c r="J1462" s="2">
        <v>1</v>
      </c>
      <c r="K1462" s="2" t="s">
        <v>24</v>
      </c>
      <c r="L1462" s="2">
        <v>1964</v>
      </c>
      <c r="M1462" s="2" t="s">
        <v>49</v>
      </c>
      <c r="N1462" s="2">
        <v>23</v>
      </c>
      <c r="O1462" s="2">
        <v>157481.81</v>
      </c>
      <c r="P1462" s="2">
        <v>6847.04</v>
      </c>
    </row>
    <row r="1463" spans="1:16" outlineLevel="2" x14ac:dyDescent="0.2">
      <c r="A1463" s="5">
        <v>46085</v>
      </c>
      <c r="B1463" s="2">
        <v>157266</v>
      </c>
      <c r="C1463" s="2">
        <v>316</v>
      </c>
      <c r="D1463" s="2" t="s">
        <v>45</v>
      </c>
      <c r="E1463" s="2" t="s">
        <v>228</v>
      </c>
      <c r="F1463" s="2" t="s">
        <v>55</v>
      </c>
      <c r="G1463" s="2" t="s">
        <v>23</v>
      </c>
      <c r="H1463" s="2" t="s">
        <v>23</v>
      </c>
      <c r="I1463" s="2" t="s">
        <v>23</v>
      </c>
      <c r="J1463" s="2">
        <v>2</v>
      </c>
      <c r="K1463" s="2" t="s">
        <v>48</v>
      </c>
      <c r="L1463" s="2">
        <v>1964</v>
      </c>
      <c r="M1463" s="2" t="s">
        <v>49</v>
      </c>
      <c r="N1463" s="2">
        <v>16</v>
      </c>
      <c r="O1463" s="2">
        <v>151151.48000000001</v>
      </c>
      <c r="P1463" s="2">
        <v>9446.9699999999993</v>
      </c>
    </row>
    <row r="1464" spans="1:16" outlineLevel="1" x14ac:dyDescent="0.2">
      <c r="A1464" s="5"/>
      <c r="D1464" s="3" t="s">
        <v>733</v>
      </c>
      <c r="N1464" s="2">
        <f>SUBTOTAL(9,N1461:N1463)</f>
        <v>68</v>
      </c>
      <c r="O1464" s="2">
        <f>SUBTOTAL(9,O1461:O1463)</f>
        <v>506345.01</v>
      </c>
    </row>
    <row r="1465" spans="1:16" outlineLevel="2" x14ac:dyDescent="0.2">
      <c r="A1465" s="5">
        <v>46078</v>
      </c>
      <c r="B1465" s="2">
        <v>157270</v>
      </c>
      <c r="C1465" s="2">
        <v>1</v>
      </c>
      <c r="D1465" s="2" t="s">
        <v>107</v>
      </c>
      <c r="E1465" s="2" t="s">
        <v>363</v>
      </c>
      <c r="F1465" s="2" t="s">
        <v>31</v>
      </c>
      <c r="G1465" s="2" t="s">
        <v>22</v>
      </c>
      <c r="H1465" s="2" t="s">
        <v>23</v>
      </c>
      <c r="I1465" s="2" t="s">
        <v>23</v>
      </c>
      <c r="J1465" s="2">
        <v>11</v>
      </c>
      <c r="K1465" s="2" t="s">
        <v>257</v>
      </c>
      <c r="L1465" s="2">
        <v>226</v>
      </c>
      <c r="M1465" s="2" t="s">
        <v>59</v>
      </c>
      <c r="N1465" s="2">
        <v>64</v>
      </c>
      <c r="O1465" s="2">
        <v>1586730.27</v>
      </c>
      <c r="P1465" s="2">
        <v>24792.66</v>
      </c>
    </row>
    <row r="1466" spans="1:16" outlineLevel="1" x14ac:dyDescent="0.2">
      <c r="A1466" s="5"/>
      <c r="D1466" s="3" t="s">
        <v>726</v>
      </c>
      <c r="N1466" s="2">
        <f>SUBTOTAL(9,N1465:N1465)</f>
        <v>64</v>
      </c>
      <c r="O1466" s="2">
        <f>SUBTOTAL(9,O1465:O1465)</f>
        <v>1586730.27</v>
      </c>
    </row>
    <row r="1467" spans="1:16" outlineLevel="2" x14ac:dyDescent="0.2">
      <c r="A1467" s="5">
        <v>46078</v>
      </c>
      <c r="B1467" s="2">
        <v>157270</v>
      </c>
      <c r="C1467" s="2">
        <v>2</v>
      </c>
      <c r="D1467" s="2" t="s">
        <v>60</v>
      </c>
      <c r="E1467" s="2" t="s">
        <v>346</v>
      </c>
      <c r="F1467" s="2" t="s">
        <v>31</v>
      </c>
      <c r="G1467" s="2" t="s">
        <v>22</v>
      </c>
      <c r="H1467" s="2" t="s">
        <v>23</v>
      </c>
      <c r="I1467" s="2" t="s">
        <v>23</v>
      </c>
      <c r="J1467" s="2">
        <v>78</v>
      </c>
      <c r="K1467" s="2" t="s">
        <v>212</v>
      </c>
      <c r="L1467" s="2">
        <v>226</v>
      </c>
      <c r="M1467" s="2" t="s">
        <v>59</v>
      </c>
      <c r="N1467" s="2">
        <v>91</v>
      </c>
      <c r="O1467" s="2">
        <v>2115325.0699999998</v>
      </c>
      <c r="P1467" s="2">
        <v>23245.33</v>
      </c>
    </row>
    <row r="1468" spans="1:16" outlineLevel="2" x14ac:dyDescent="0.2">
      <c r="A1468" s="5">
        <v>46078</v>
      </c>
      <c r="B1468" s="2">
        <v>157270</v>
      </c>
      <c r="C1468" s="2">
        <v>3</v>
      </c>
      <c r="D1468" s="2" t="s">
        <v>60</v>
      </c>
      <c r="E1468" s="2" t="s">
        <v>364</v>
      </c>
      <c r="F1468" s="2" t="s">
        <v>31</v>
      </c>
      <c r="G1468" s="2" t="s">
        <v>22</v>
      </c>
      <c r="H1468" s="2" t="s">
        <v>23</v>
      </c>
      <c r="I1468" s="2" t="s">
        <v>23</v>
      </c>
      <c r="J1468" s="2">
        <v>78</v>
      </c>
      <c r="K1468" s="2" t="s">
        <v>212</v>
      </c>
      <c r="L1468" s="2">
        <v>226</v>
      </c>
      <c r="M1468" s="2" t="s">
        <v>59</v>
      </c>
      <c r="N1468" s="2">
        <v>91</v>
      </c>
      <c r="O1468" s="2">
        <v>2113458.1</v>
      </c>
      <c r="P1468" s="2">
        <v>23224.81</v>
      </c>
    </row>
    <row r="1469" spans="1:16" outlineLevel="1" x14ac:dyDescent="0.2">
      <c r="A1469" s="5"/>
      <c r="D1469" s="3" t="s">
        <v>728</v>
      </c>
      <c r="N1469" s="2">
        <f>SUBTOTAL(9,N1467:N1468)</f>
        <v>182</v>
      </c>
      <c r="O1469" s="2">
        <f>SUBTOTAL(9,O1467:O1468)</f>
        <v>4228783.17</v>
      </c>
    </row>
    <row r="1470" spans="1:16" outlineLevel="2" x14ac:dyDescent="0.2">
      <c r="A1470" s="5">
        <v>46078</v>
      </c>
      <c r="B1470" s="2">
        <v>157271</v>
      </c>
      <c r="C1470" s="2">
        <v>1</v>
      </c>
      <c r="D1470" s="2" t="s">
        <v>45</v>
      </c>
      <c r="E1470" s="2" t="s">
        <v>125</v>
      </c>
      <c r="F1470" s="2" t="s">
        <v>47</v>
      </c>
      <c r="G1470" s="2" t="s">
        <v>22</v>
      </c>
      <c r="H1470" s="2" t="s">
        <v>23</v>
      </c>
      <c r="I1470" s="2" t="s">
        <v>23</v>
      </c>
      <c r="J1470" s="2">
        <v>41</v>
      </c>
      <c r="K1470" s="2" t="s">
        <v>129</v>
      </c>
      <c r="L1470" s="2">
        <v>1964</v>
      </c>
      <c r="M1470" s="2" t="s">
        <v>49</v>
      </c>
      <c r="N1470" s="2">
        <v>38</v>
      </c>
      <c r="O1470" s="2">
        <v>281859.38</v>
      </c>
      <c r="P1470" s="2">
        <v>7417.35</v>
      </c>
    </row>
    <row r="1471" spans="1:16" outlineLevel="1" x14ac:dyDescent="0.2">
      <c r="A1471" s="5"/>
      <c r="D1471" s="3" t="s">
        <v>733</v>
      </c>
      <c r="N1471" s="2">
        <f>SUBTOTAL(9,N1470:N1470)</f>
        <v>38</v>
      </c>
      <c r="O1471" s="2">
        <f>SUBTOTAL(9,O1470:O1470)</f>
        <v>281859.38</v>
      </c>
    </row>
    <row r="1472" spans="1:16" outlineLevel="2" x14ac:dyDescent="0.2">
      <c r="A1472" s="5">
        <v>46078</v>
      </c>
      <c r="B1472" s="2">
        <v>157271</v>
      </c>
      <c r="C1472" s="2">
        <v>2</v>
      </c>
      <c r="D1472" s="2" t="s">
        <v>226</v>
      </c>
      <c r="E1472" s="2" t="s">
        <v>151</v>
      </c>
      <c r="F1472" s="2" t="s">
        <v>47</v>
      </c>
      <c r="G1472" s="2" t="s">
        <v>22</v>
      </c>
      <c r="H1472" s="2" t="s">
        <v>23</v>
      </c>
      <c r="I1472" s="2" t="s">
        <v>23</v>
      </c>
      <c r="J1472" s="2">
        <v>2</v>
      </c>
      <c r="K1472" s="2" t="s">
        <v>48</v>
      </c>
      <c r="L1472" s="2">
        <v>1964</v>
      </c>
      <c r="M1472" s="2" t="s">
        <v>49</v>
      </c>
      <c r="N1472" s="2">
        <v>18</v>
      </c>
      <c r="O1472" s="2">
        <v>196298.28</v>
      </c>
      <c r="P1472" s="2">
        <v>10905.46</v>
      </c>
    </row>
    <row r="1473" spans="1:16" outlineLevel="1" x14ac:dyDescent="0.2">
      <c r="A1473" s="5"/>
      <c r="D1473" s="3" t="s">
        <v>736</v>
      </c>
      <c r="N1473" s="2">
        <f>SUBTOTAL(9,N1472:N1472)</f>
        <v>18</v>
      </c>
      <c r="O1473" s="2">
        <f>SUBTOTAL(9,O1472:O1472)</f>
        <v>196298.28</v>
      </c>
    </row>
    <row r="1474" spans="1:16" outlineLevel="2" x14ac:dyDescent="0.2">
      <c r="A1474" s="5">
        <v>46078</v>
      </c>
      <c r="B1474" s="2">
        <v>157271</v>
      </c>
      <c r="C1474" s="2">
        <v>3</v>
      </c>
      <c r="D1474" s="2" t="s">
        <v>45</v>
      </c>
      <c r="E1474" s="2" t="s">
        <v>228</v>
      </c>
      <c r="F1474" s="2" t="s">
        <v>47</v>
      </c>
      <c r="G1474" s="2" t="s">
        <v>22</v>
      </c>
      <c r="H1474" s="2" t="s">
        <v>23</v>
      </c>
      <c r="I1474" s="2" t="s">
        <v>23</v>
      </c>
      <c r="J1474" s="2">
        <v>41</v>
      </c>
      <c r="K1474" s="2" t="s">
        <v>129</v>
      </c>
      <c r="L1474" s="2">
        <v>1964</v>
      </c>
      <c r="M1474" s="2" t="s">
        <v>49</v>
      </c>
      <c r="N1474" s="2">
        <v>46</v>
      </c>
      <c r="O1474" s="2">
        <v>653801.88</v>
      </c>
      <c r="P1474" s="2">
        <v>14213.08</v>
      </c>
    </row>
    <row r="1475" spans="1:16" outlineLevel="1" x14ac:dyDescent="0.2">
      <c r="A1475" s="5"/>
      <c r="D1475" s="3" t="s">
        <v>733</v>
      </c>
      <c r="N1475" s="2">
        <f>SUBTOTAL(9,N1474:N1474)</f>
        <v>46</v>
      </c>
      <c r="O1475" s="2">
        <f>SUBTOTAL(9,O1474:O1474)</f>
        <v>653801.88</v>
      </c>
    </row>
    <row r="1476" spans="1:16" outlineLevel="2" x14ac:dyDescent="0.2">
      <c r="A1476" s="5">
        <v>46078</v>
      </c>
      <c r="B1476" s="2">
        <v>157271</v>
      </c>
      <c r="C1476" s="2">
        <v>4</v>
      </c>
      <c r="D1476" s="2" t="s">
        <v>226</v>
      </c>
      <c r="E1476" s="2" t="s">
        <v>227</v>
      </c>
      <c r="F1476" s="2" t="s">
        <v>47</v>
      </c>
      <c r="G1476" s="2" t="s">
        <v>22</v>
      </c>
      <c r="H1476" s="2" t="s">
        <v>23</v>
      </c>
      <c r="I1476" s="2" t="s">
        <v>23</v>
      </c>
      <c r="J1476" s="2">
        <v>41</v>
      </c>
      <c r="K1476" s="2" t="s">
        <v>129</v>
      </c>
      <c r="L1476" s="2">
        <v>1964</v>
      </c>
      <c r="M1476" s="2" t="s">
        <v>49</v>
      </c>
      <c r="N1476" s="2">
        <v>56</v>
      </c>
      <c r="O1476" s="2">
        <v>1158293.2</v>
      </c>
      <c r="P1476" s="2">
        <v>20683.810000000001</v>
      </c>
    </row>
    <row r="1477" spans="1:16" outlineLevel="1" x14ac:dyDescent="0.2">
      <c r="A1477" s="5"/>
      <c r="D1477" s="3" t="s">
        <v>736</v>
      </c>
      <c r="N1477" s="2">
        <f>SUBTOTAL(9,N1476:N1476)</f>
        <v>56</v>
      </c>
      <c r="O1477" s="2">
        <f>SUBTOTAL(9,O1476:O1476)</f>
        <v>1158293.2</v>
      </c>
    </row>
    <row r="1478" spans="1:16" outlineLevel="2" x14ac:dyDescent="0.2">
      <c r="A1478" s="5">
        <v>46078</v>
      </c>
      <c r="B1478" s="2">
        <v>157273</v>
      </c>
      <c r="C1478" s="2">
        <v>1</v>
      </c>
      <c r="D1478" s="2" t="s">
        <v>207</v>
      </c>
      <c r="E1478" s="2" t="s">
        <v>23</v>
      </c>
      <c r="F1478" s="2" t="s">
        <v>47</v>
      </c>
      <c r="G1478" s="2" t="s">
        <v>22</v>
      </c>
      <c r="H1478" s="2" t="s">
        <v>208</v>
      </c>
      <c r="I1478" s="2" t="s">
        <v>23</v>
      </c>
      <c r="J1478" s="2">
        <v>41</v>
      </c>
      <c r="K1478" s="2" t="s">
        <v>129</v>
      </c>
      <c r="L1478" s="2">
        <v>25213</v>
      </c>
      <c r="M1478" s="2" t="s">
        <v>130</v>
      </c>
      <c r="N1478" s="2">
        <v>46</v>
      </c>
      <c r="O1478" s="2">
        <v>159452.63</v>
      </c>
      <c r="P1478" s="2">
        <v>3466.36</v>
      </c>
    </row>
    <row r="1479" spans="1:16" outlineLevel="1" x14ac:dyDescent="0.2">
      <c r="A1479" s="5"/>
      <c r="D1479" s="3" t="s">
        <v>699</v>
      </c>
      <c r="N1479" s="2">
        <f>SUBTOTAL(9,N1478:N1478)</f>
        <v>46</v>
      </c>
      <c r="O1479" s="2">
        <f>SUBTOTAL(9,O1478:O1478)</f>
        <v>159452.63</v>
      </c>
    </row>
    <row r="1480" spans="1:16" outlineLevel="2" x14ac:dyDescent="0.2">
      <c r="A1480" s="5">
        <v>46078</v>
      </c>
      <c r="B1480" s="2">
        <v>157273</v>
      </c>
      <c r="C1480" s="2">
        <v>2</v>
      </c>
      <c r="D1480" s="2" t="s">
        <v>128</v>
      </c>
      <c r="E1480" s="2" t="s">
        <v>23</v>
      </c>
      <c r="F1480" s="2" t="s">
        <v>47</v>
      </c>
      <c r="G1480" s="2" t="s">
        <v>22</v>
      </c>
      <c r="H1480" s="2" t="s">
        <v>23</v>
      </c>
      <c r="I1480" s="2" t="s">
        <v>23</v>
      </c>
      <c r="J1480" s="2">
        <v>41</v>
      </c>
      <c r="K1480" s="2" t="s">
        <v>129</v>
      </c>
      <c r="L1480" s="2">
        <v>25213</v>
      </c>
      <c r="M1480" s="2" t="s">
        <v>130</v>
      </c>
      <c r="N1480" s="2">
        <v>50</v>
      </c>
      <c r="O1480" s="2">
        <v>181232</v>
      </c>
      <c r="P1480" s="2">
        <v>3624.64</v>
      </c>
    </row>
    <row r="1481" spans="1:16" outlineLevel="1" x14ac:dyDescent="0.2">
      <c r="A1481" s="5"/>
      <c r="D1481" s="3" t="s">
        <v>732</v>
      </c>
      <c r="N1481" s="2">
        <f>SUBTOTAL(9,N1480:N1480)</f>
        <v>50</v>
      </c>
      <c r="O1481" s="2">
        <f>SUBTOTAL(9,O1480:O1480)</f>
        <v>181232</v>
      </c>
    </row>
    <row r="1482" spans="1:16" outlineLevel="2" x14ac:dyDescent="0.2">
      <c r="A1482" s="5">
        <v>46078</v>
      </c>
      <c r="B1482" s="2">
        <v>157273</v>
      </c>
      <c r="C1482" s="2">
        <v>3</v>
      </c>
      <c r="D1482" s="2" t="s">
        <v>207</v>
      </c>
      <c r="E1482" s="2" t="s">
        <v>23</v>
      </c>
      <c r="F1482" s="2" t="s">
        <v>47</v>
      </c>
      <c r="G1482" s="2" t="s">
        <v>22</v>
      </c>
      <c r="H1482" s="2" t="s">
        <v>209</v>
      </c>
      <c r="I1482" s="2" t="s">
        <v>23</v>
      </c>
      <c r="J1482" s="2">
        <v>41</v>
      </c>
      <c r="K1482" s="2" t="s">
        <v>129</v>
      </c>
      <c r="L1482" s="2">
        <v>25213</v>
      </c>
      <c r="M1482" s="2" t="s">
        <v>130</v>
      </c>
      <c r="N1482" s="2">
        <v>20</v>
      </c>
      <c r="O1482" s="2">
        <v>65025.4</v>
      </c>
      <c r="P1482" s="2">
        <v>3251.27</v>
      </c>
    </row>
    <row r="1483" spans="1:16" outlineLevel="2" x14ac:dyDescent="0.2">
      <c r="A1483" s="5">
        <v>46078</v>
      </c>
      <c r="B1483" s="2">
        <v>157273</v>
      </c>
      <c r="C1483" s="2">
        <v>4</v>
      </c>
      <c r="D1483" s="2" t="s">
        <v>207</v>
      </c>
      <c r="E1483" s="2" t="s">
        <v>23</v>
      </c>
      <c r="F1483" s="2" t="s">
        <v>47</v>
      </c>
      <c r="G1483" s="2" t="s">
        <v>210</v>
      </c>
      <c r="H1483" s="2" t="s">
        <v>23</v>
      </c>
      <c r="I1483" s="2" t="s">
        <v>23</v>
      </c>
      <c r="J1483" s="2">
        <v>1</v>
      </c>
      <c r="K1483" s="2" t="s">
        <v>24</v>
      </c>
      <c r="L1483" s="2">
        <v>25213</v>
      </c>
      <c r="M1483" s="2" t="s">
        <v>130</v>
      </c>
      <c r="N1483" s="2">
        <v>2</v>
      </c>
      <c r="O1483" s="2">
        <v>131956.74</v>
      </c>
      <c r="P1483" s="2">
        <v>65978.37</v>
      </c>
    </row>
    <row r="1484" spans="1:16" outlineLevel="1" x14ac:dyDescent="0.2">
      <c r="A1484" s="5"/>
      <c r="D1484" s="3" t="s">
        <v>699</v>
      </c>
      <c r="N1484" s="2">
        <f>SUBTOTAL(9,N1482:N1483)</f>
        <v>22</v>
      </c>
      <c r="O1484" s="2">
        <f>SUBTOTAL(9,O1482:O1483)</f>
        <v>196982.13999999998</v>
      </c>
    </row>
    <row r="1485" spans="1:16" outlineLevel="2" x14ac:dyDescent="0.2">
      <c r="A1485" s="5">
        <v>46078</v>
      </c>
      <c r="B1485" s="2">
        <v>157273</v>
      </c>
      <c r="C1485" s="2">
        <v>5</v>
      </c>
      <c r="D1485" s="2" t="s">
        <v>128</v>
      </c>
      <c r="E1485" s="2" t="s">
        <v>23</v>
      </c>
      <c r="F1485" s="2" t="s">
        <v>47</v>
      </c>
      <c r="G1485" s="2" t="s">
        <v>22</v>
      </c>
      <c r="H1485" s="2" t="s">
        <v>23</v>
      </c>
      <c r="I1485" s="2" t="s">
        <v>23</v>
      </c>
      <c r="J1485" s="2">
        <v>1</v>
      </c>
      <c r="K1485" s="2" t="s">
        <v>24</v>
      </c>
      <c r="L1485" s="2">
        <v>25213</v>
      </c>
      <c r="M1485" s="2" t="s">
        <v>130</v>
      </c>
      <c r="N1485" s="2">
        <v>4</v>
      </c>
      <c r="O1485" s="2">
        <v>346056.08</v>
      </c>
      <c r="P1485" s="2">
        <v>86514.02</v>
      </c>
    </row>
    <row r="1486" spans="1:16" outlineLevel="1" x14ac:dyDescent="0.2">
      <c r="A1486" s="5"/>
      <c r="D1486" s="3" t="s">
        <v>732</v>
      </c>
      <c r="N1486" s="2">
        <f>SUBTOTAL(9,N1485:N1485)</f>
        <v>4</v>
      </c>
      <c r="O1486" s="2">
        <f>SUBTOTAL(9,O1485:O1485)</f>
        <v>346056.08</v>
      </c>
    </row>
    <row r="1487" spans="1:16" outlineLevel="2" x14ac:dyDescent="0.2">
      <c r="A1487" s="5">
        <v>46085</v>
      </c>
      <c r="B1487" s="2">
        <v>157282</v>
      </c>
      <c r="C1487" s="2">
        <v>315</v>
      </c>
      <c r="D1487" s="2" t="s">
        <v>215</v>
      </c>
      <c r="E1487" s="2" t="s">
        <v>23</v>
      </c>
      <c r="F1487" s="2" t="s">
        <v>55</v>
      </c>
      <c r="G1487" s="2" t="s">
        <v>23</v>
      </c>
      <c r="H1487" s="2" t="s">
        <v>23</v>
      </c>
      <c r="I1487" s="2" t="s">
        <v>23</v>
      </c>
      <c r="J1487" s="2">
        <v>1</v>
      </c>
      <c r="K1487" s="2" t="s">
        <v>24</v>
      </c>
      <c r="L1487" s="2">
        <v>600</v>
      </c>
      <c r="M1487" s="2" t="s">
        <v>112</v>
      </c>
      <c r="N1487" s="2">
        <v>2</v>
      </c>
      <c r="O1487" s="2">
        <v>5009.03</v>
      </c>
      <c r="P1487" s="2">
        <v>2504.52</v>
      </c>
    </row>
    <row r="1488" spans="1:16" outlineLevel="1" x14ac:dyDescent="0.2">
      <c r="A1488" s="5"/>
      <c r="D1488" s="3" t="s">
        <v>727</v>
      </c>
      <c r="N1488" s="2">
        <f>SUBTOTAL(9,N1487:N1487)</f>
        <v>2</v>
      </c>
      <c r="O1488" s="2">
        <f>SUBTOTAL(9,O1487:O1487)</f>
        <v>5009.03</v>
      </c>
    </row>
    <row r="1489" spans="1:16" outlineLevel="2" x14ac:dyDescent="0.2">
      <c r="A1489" s="5">
        <v>46083</v>
      </c>
      <c r="B1489" s="2">
        <v>157294</v>
      </c>
      <c r="C1489" s="2">
        <v>500</v>
      </c>
      <c r="D1489" s="2" t="s">
        <v>150</v>
      </c>
      <c r="E1489" s="2" t="s">
        <v>224</v>
      </c>
      <c r="F1489" s="2" t="s">
        <v>23</v>
      </c>
      <c r="G1489" s="2" t="s">
        <v>22</v>
      </c>
      <c r="H1489" s="2" t="s">
        <v>23</v>
      </c>
      <c r="I1489" s="2" t="s">
        <v>23</v>
      </c>
      <c r="J1489" s="2">
        <v>2</v>
      </c>
      <c r="K1489" s="2" t="s">
        <v>48</v>
      </c>
      <c r="L1489" s="2">
        <v>1974</v>
      </c>
      <c r="M1489" s="2" t="s">
        <v>95</v>
      </c>
      <c r="N1489" s="2">
        <v>10</v>
      </c>
      <c r="O1489" s="2">
        <v>87585.55</v>
      </c>
      <c r="P1489" s="2">
        <v>8758.56</v>
      </c>
    </row>
    <row r="1490" spans="1:16" outlineLevel="1" x14ac:dyDescent="0.2">
      <c r="A1490" s="5"/>
      <c r="D1490" s="3" t="s">
        <v>718</v>
      </c>
      <c r="N1490" s="2">
        <f>SUBTOTAL(9,N1489:N1489)</f>
        <v>10</v>
      </c>
      <c r="O1490" s="2">
        <f>SUBTOTAL(9,O1489:O1489)</f>
        <v>87585.55</v>
      </c>
    </row>
    <row r="1491" spans="1:16" outlineLevel="2" x14ac:dyDescent="0.2">
      <c r="A1491" s="5">
        <v>46080</v>
      </c>
      <c r="B1491" s="2">
        <v>157295</v>
      </c>
      <c r="C1491" s="2">
        <v>1</v>
      </c>
      <c r="D1491" s="2" t="s">
        <v>143</v>
      </c>
      <c r="E1491" s="2" t="s">
        <v>23</v>
      </c>
      <c r="F1491" s="2" t="s">
        <v>144</v>
      </c>
      <c r="G1491" s="2" t="s">
        <v>22</v>
      </c>
      <c r="H1491" s="2" t="s">
        <v>23</v>
      </c>
      <c r="I1491" s="2" t="s">
        <v>23</v>
      </c>
      <c r="J1491" s="2">
        <v>1</v>
      </c>
      <c r="K1491" s="2" t="s">
        <v>24</v>
      </c>
      <c r="L1491" s="2">
        <v>2101</v>
      </c>
      <c r="M1491" s="2" t="s">
        <v>145</v>
      </c>
      <c r="N1491" s="2">
        <v>197</v>
      </c>
      <c r="O1491" s="2">
        <v>2290850.4700000002</v>
      </c>
      <c r="P1491" s="2">
        <v>11628.68</v>
      </c>
    </row>
    <row r="1492" spans="1:16" outlineLevel="1" x14ac:dyDescent="0.2">
      <c r="A1492" s="5"/>
      <c r="D1492" s="3" t="s">
        <v>706</v>
      </c>
      <c r="N1492" s="2">
        <f>SUBTOTAL(9,N1491:N1491)</f>
        <v>197</v>
      </c>
      <c r="O1492" s="2">
        <f>SUBTOTAL(9,O1491:O1491)</f>
        <v>2290850.4700000002</v>
      </c>
    </row>
    <row r="1493" spans="1:16" outlineLevel="2" x14ac:dyDescent="0.2">
      <c r="A1493" s="5">
        <v>46080</v>
      </c>
      <c r="B1493" s="2">
        <v>157296</v>
      </c>
      <c r="C1493" s="2">
        <v>1</v>
      </c>
      <c r="D1493" s="2" t="s">
        <v>226</v>
      </c>
      <c r="E1493" s="2" t="s">
        <v>151</v>
      </c>
      <c r="F1493" s="2" t="s">
        <v>47</v>
      </c>
      <c r="G1493" s="2" t="s">
        <v>22</v>
      </c>
      <c r="H1493" s="2" t="s">
        <v>23</v>
      </c>
      <c r="I1493" s="2" t="s">
        <v>23</v>
      </c>
      <c r="J1493" s="2">
        <v>2</v>
      </c>
      <c r="K1493" s="2" t="s">
        <v>48</v>
      </c>
      <c r="L1493" s="2">
        <v>1964</v>
      </c>
      <c r="M1493" s="2" t="s">
        <v>49</v>
      </c>
      <c r="N1493" s="2">
        <v>16</v>
      </c>
      <c r="O1493" s="2">
        <v>184755.23</v>
      </c>
      <c r="P1493" s="2">
        <v>11547.2</v>
      </c>
    </row>
    <row r="1494" spans="1:16" outlineLevel="2" x14ac:dyDescent="0.2">
      <c r="A1494" s="5">
        <v>46080</v>
      </c>
      <c r="B1494" s="2">
        <v>157296</v>
      </c>
      <c r="C1494" s="2">
        <v>2</v>
      </c>
      <c r="D1494" s="2" t="s">
        <v>226</v>
      </c>
      <c r="E1494" s="2" t="s">
        <v>227</v>
      </c>
      <c r="F1494" s="2" t="s">
        <v>47</v>
      </c>
      <c r="G1494" s="2" t="s">
        <v>22</v>
      </c>
      <c r="H1494" s="2" t="s">
        <v>23</v>
      </c>
      <c r="I1494" s="2" t="s">
        <v>23</v>
      </c>
      <c r="J1494" s="2">
        <v>41</v>
      </c>
      <c r="K1494" s="2" t="s">
        <v>129</v>
      </c>
      <c r="L1494" s="2">
        <v>1964</v>
      </c>
      <c r="M1494" s="2" t="s">
        <v>49</v>
      </c>
      <c r="N1494" s="2">
        <v>90</v>
      </c>
      <c r="O1494" s="2">
        <v>1940134.23</v>
      </c>
      <c r="P1494" s="2">
        <v>21557.05</v>
      </c>
    </row>
    <row r="1495" spans="1:16" outlineLevel="1" x14ac:dyDescent="0.2">
      <c r="A1495" s="5"/>
      <c r="D1495" s="3" t="s">
        <v>736</v>
      </c>
      <c r="N1495" s="2">
        <f>SUBTOTAL(9,N1493:N1494)</f>
        <v>106</v>
      </c>
      <c r="O1495" s="2">
        <f>SUBTOTAL(9,O1493:O1494)</f>
        <v>2124889.46</v>
      </c>
    </row>
    <row r="1496" spans="1:16" outlineLevel="2" x14ac:dyDescent="0.2">
      <c r="A1496" s="5">
        <v>46080</v>
      </c>
      <c r="B1496" s="2">
        <v>157297</v>
      </c>
      <c r="C1496" s="2">
        <v>1</v>
      </c>
      <c r="D1496" s="2" t="s">
        <v>207</v>
      </c>
      <c r="E1496" s="2" t="s">
        <v>23</v>
      </c>
      <c r="F1496" s="2" t="s">
        <v>47</v>
      </c>
      <c r="G1496" s="2" t="s">
        <v>22</v>
      </c>
      <c r="H1496" s="2" t="s">
        <v>208</v>
      </c>
      <c r="I1496" s="2" t="s">
        <v>23</v>
      </c>
      <c r="J1496" s="2">
        <v>41</v>
      </c>
      <c r="K1496" s="2" t="s">
        <v>129</v>
      </c>
      <c r="L1496" s="2">
        <v>25213</v>
      </c>
      <c r="M1496" s="2" t="s">
        <v>130</v>
      </c>
      <c r="N1496" s="2">
        <v>42</v>
      </c>
      <c r="O1496" s="2">
        <v>149523.32</v>
      </c>
      <c r="P1496" s="2">
        <v>3560.08</v>
      </c>
    </row>
    <row r="1497" spans="1:16" outlineLevel="1" x14ac:dyDescent="0.2">
      <c r="A1497" s="5"/>
      <c r="D1497" s="3" t="s">
        <v>699</v>
      </c>
      <c r="N1497" s="2">
        <f>SUBTOTAL(9,N1496:N1496)</f>
        <v>42</v>
      </c>
      <c r="O1497" s="2">
        <f>SUBTOTAL(9,O1496:O1496)</f>
        <v>149523.32</v>
      </c>
    </row>
    <row r="1498" spans="1:16" outlineLevel="2" x14ac:dyDescent="0.2">
      <c r="A1498" s="5">
        <v>46080</v>
      </c>
      <c r="B1498" s="2">
        <v>157297</v>
      </c>
      <c r="C1498" s="2">
        <v>2</v>
      </c>
      <c r="D1498" s="2" t="s">
        <v>128</v>
      </c>
      <c r="E1498" s="2" t="s">
        <v>23</v>
      </c>
      <c r="F1498" s="2" t="s">
        <v>47</v>
      </c>
      <c r="G1498" s="2" t="s">
        <v>22</v>
      </c>
      <c r="H1498" s="2" t="s">
        <v>23</v>
      </c>
      <c r="I1498" s="2" t="s">
        <v>23</v>
      </c>
      <c r="J1498" s="2">
        <v>41</v>
      </c>
      <c r="K1498" s="2" t="s">
        <v>129</v>
      </c>
      <c r="L1498" s="2">
        <v>25213</v>
      </c>
      <c r="M1498" s="2" t="s">
        <v>130</v>
      </c>
      <c r="N1498" s="2">
        <v>50</v>
      </c>
      <c r="O1498" s="2">
        <v>180573.97</v>
      </c>
      <c r="P1498" s="2">
        <v>3611.48</v>
      </c>
    </row>
    <row r="1499" spans="1:16" outlineLevel="1" x14ac:dyDescent="0.2">
      <c r="A1499" s="5"/>
      <c r="D1499" s="3" t="s">
        <v>732</v>
      </c>
      <c r="N1499" s="2">
        <f>SUBTOTAL(9,N1498:N1498)</f>
        <v>50</v>
      </c>
      <c r="O1499" s="2">
        <f>SUBTOTAL(9,O1498:O1498)</f>
        <v>180573.97</v>
      </c>
    </row>
    <row r="1500" spans="1:16" outlineLevel="2" x14ac:dyDescent="0.2">
      <c r="A1500" s="5">
        <v>46080</v>
      </c>
      <c r="B1500" s="2">
        <v>157297</v>
      </c>
      <c r="C1500" s="2">
        <v>3</v>
      </c>
      <c r="D1500" s="2" t="s">
        <v>207</v>
      </c>
      <c r="E1500" s="2" t="s">
        <v>23</v>
      </c>
      <c r="F1500" s="2" t="s">
        <v>47</v>
      </c>
      <c r="G1500" s="2" t="s">
        <v>22</v>
      </c>
      <c r="H1500" s="2" t="s">
        <v>209</v>
      </c>
      <c r="I1500" s="2" t="s">
        <v>23</v>
      </c>
      <c r="J1500" s="2">
        <v>41</v>
      </c>
      <c r="K1500" s="2" t="s">
        <v>129</v>
      </c>
      <c r="L1500" s="2">
        <v>25213</v>
      </c>
      <c r="M1500" s="2" t="s">
        <v>130</v>
      </c>
      <c r="N1500" s="2">
        <v>24</v>
      </c>
      <c r="O1500" s="2">
        <v>76163.61</v>
      </c>
      <c r="P1500" s="2">
        <v>3173.48</v>
      </c>
    </row>
    <row r="1501" spans="1:16" outlineLevel="2" x14ac:dyDescent="0.2">
      <c r="A1501" s="5">
        <v>46080</v>
      </c>
      <c r="B1501" s="2">
        <v>157297</v>
      </c>
      <c r="C1501" s="2">
        <v>4</v>
      </c>
      <c r="D1501" s="2" t="s">
        <v>207</v>
      </c>
      <c r="E1501" s="2" t="s">
        <v>23</v>
      </c>
      <c r="F1501" s="2" t="s">
        <v>47</v>
      </c>
      <c r="G1501" s="2" t="s">
        <v>22</v>
      </c>
      <c r="H1501" s="2" t="s">
        <v>23</v>
      </c>
      <c r="I1501" s="2" t="s">
        <v>23</v>
      </c>
      <c r="J1501" s="2">
        <v>1</v>
      </c>
      <c r="K1501" s="2" t="s">
        <v>24</v>
      </c>
      <c r="L1501" s="2">
        <v>25213</v>
      </c>
      <c r="M1501" s="2" t="s">
        <v>130</v>
      </c>
      <c r="N1501" s="2">
        <v>6</v>
      </c>
      <c r="O1501" s="2">
        <v>468678.42</v>
      </c>
      <c r="P1501" s="2">
        <v>78113.070000000007</v>
      </c>
    </row>
    <row r="1502" spans="1:16" outlineLevel="1" x14ac:dyDescent="0.2">
      <c r="A1502" s="5"/>
      <c r="D1502" s="3" t="s">
        <v>699</v>
      </c>
      <c r="N1502" s="2">
        <f>SUBTOTAL(9,N1500:N1501)</f>
        <v>30</v>
      </c>
      <c r="O1502" s="2">
        <f>SUBTOTAL(9,O1500:O1501)</f>
        <v>544842.03</v>
      </c>
    </row>
    <row r="1503" spans="1:16" outlineLevel="2" x14ac:dyDescent="0.2">
      <c r="A1503" s="5">
        <v>46080</v>
      </c>
      <c r="B1503" s="2">
        <v>157297</v>
      </c>
      <c r="C1503" s="2">
        <v>5</v>
      </c>
      <c r="D1503" s="2" t="s">
        <v>128</v>
      </c>
      <c r="E1503" s="2" t="s">
        <v>23</v>
      </c>
      <c r="F1503" s="2" t="s">
        <v>47</v>
      </c>
      <c r="G1503" s="2" t="s">
        <v>22</v>
      </c>
      <c r="H1503" s="2" t="s">
        <v>23</v>
      </c>
      <c r="I1503" s="2" t="s">
        <v>23</v>
      </c>
      <c r="J1503" s="2">
        <v>1</v>
      </c>
      <c r="K1503" s="2" t="s">
        <v>24</v>
      </c>
      <c r="L1503" s="2">
        <v>25213</v>
      </c>
      <c r="M1503" s="2" t="s">
        <v>130</v>
      </c>
      <c r="N1503" s="2">
        <v>6</v>
      </c>
      <c r="O1503" s="2">
        <v>511616.61</v>
      </c>
      <c r="P1503" s="2">
        <v>85269.440000000002</v>
      </c>
    </row>
    <row r="1504" spans="1:16" outlineLevel="1" x14ac:dyDescent="0.2">
      <c r="A1504" s="5"/>
      <c r="D1504" s="3" t="s">
        <v>732</v>
      </c>
      <c r="N1504" s="2">
        <f>SUBTOTAL(9,N1503:N1503)</f>
        <v>6</v>
      </c>
      <c r="O1504" s="2">
        <f>SUBTOTAL(9,O1503:O1503)</f>
        <v>511616.61</v>
      </c>
    </row>
    <row r="1505" spans="1:16" outlineLevel="2" x14ac:dyDescent="0.2">
      <c r="A1505" s="5">
        <v>46080</v>
      </c>
      <c r="B1505" s="2">
        <v>157300</v>
      </c>
      <c r="C1505" s="2">
        <v>2</v>
      </c>
      <c r="D1505" s="2" t="s">
        <v>140</v>
      </c>
      <c r="E1505" s="2" t="s">
        <v>55</v>
      </c>
      <c r="F1505" s="2" t="s">
        <v>23</v>
      </c>
      <c r="G1505" s="2" t="s">
        <v>23</v>
      </c>
      <c r="H1505" s="2" t="s">
        <v>23</v>
      </c>
      <c r="I1505" s="2" t="s">
        <v>23</v>
      </c>
      <c r="J1505" s="2">
        <v>1</v>
      </c>
      <c r="K1505" s="2" t="s">
        <v>24</v>
      </c>
      <c r="L1505" s="2">
        <v>1833</v>
      </c>
      <c r="M1505" s="2" t="s">
        <v>142</v>
      </c>
      <c r="N1505" s="2">
        <v>3</v>
      </c>
      <c r="O1505" s="2">
        <v>38317.019999999997</v>
      </c>
      <c r="P1505" s="2">
        <v>12772.34</v>
      </c>
    </row>
    <row r="1506" spans="1:16" outlineLevel="1" x14ac:dyDescent="0.2">
      <c r="A1506" s="5"/>
      <c r="D1506" s="3" t="s">
        <v>696</v>
      </c>
      <c r="N1506" s="2">
        <f>SUBTOTAL(9,N1505:N1505)</f>
        <v>3</v>
      </c>
      <c r="O1506" s="2">
        <f>SUBTOTAL(9,O1505:O1505)</f>
        <v>38317.019999999997</v>
      </c>
    </row>
    <row r="1507" spans="1:16" outlineLevel="2" x14ac:dyDescent="0.2">
      <c r="A1507" s="5">
        <v>46099</v>
      </c>
      <c r="B1507" s="2">
        <v>157301</v>
      </c>
      <c r="C1507" s="2">
        <v>309</v>
      </c>
      <c r="D1507" s="2" t="s">
        <v>54</v>
      </c>
      <c r="E1507" s="2" t="s">
        <v>20</v>
      </c>
      <c r="F1507" s="2" t="s">
        <v>55</v>
      </c>
      <c r="G1507" s="2" t="s">
        <v>23</v>
      </c>
      <c r="H1507" s="2" t="s">
        <v>23</v>
      </c>
      <c r="I1507" s="2" t="s">
        <v>23</v>
      </c>
      <c r="J1507" s="2">
        <v>1</v>
      </c>
      <c r="K1507" s="2" t="s">
        <v>24</v>
      </c>
      <c r="L1507" s="2">
        <v>25095</v>
      </c>
      <c r="M1507" s="2" t="s">
        <v>216</v>
      </c>
      <c r="N1507" s="2">
        <v>2</v>
      </c>
      <c r="O1507" s="2">
        <v>8742.7800000000007</v>
      </c>
      <c r="P1507" s="2">
        <v>4371.3900000000003</v>
      </c>
    </row>
    <row r="1508" spans="1:16" outlineLevel="1" x14ac:dyDescent="0.2">
      <c r="A1508" s="5"/>
      <c r="D1508" s="3" t="s">
        <v>719</v>
      </c>
      <c r="N1508" s="2">
        <f>SUBTOTAL(9,N1507:N1507)</f>
        <v>2</v>
      </c>
      <c r="O1508" s="2">
        <f>SUBTOTAL(9,O1507:O1507)</f>
        <v>8742.7800000000007</v>
      </c>
    </row>
    <row r="1509" spans="1:16" outlineLevel="2" x14ac:dyDescent="0.2">
      <c r="A1509" s="5">
        <v>46083</v>
      </c>
      <c r="B1509" s="2">
        <v>157313</v>
      </c>
      <c r="C1509" s="2">
        <v>1</v>
      </c>
      <c r="D1509" s="2" t="s">
        <v>38</v>
      </c>
      <c r="E1509" s="2" t="s">
        <v>39</v>
      </c>
      <c r="F1509" s="2" t="s">
        <v>63</v>
      </c>
      <c r="G1509" s="2" t="s">
        <v>22</v>
      </c>
      <c r="H1509" s="2" t="s">
        <v>23</v>
      </c>
      <c r="I1509" s="2" t="s">
        <v>243</v>
      </c>
      <c r="J1509" s="2">
        <v>1</v>
      </c>
      <c r="K1509" s="2" t="s">
        <v>24</v>
      </c>
      <c r="L1509" s="2">
        <v>1846</v>
      </c>
      <c r="M1509" s="2" t="s">
        <v>134</v>
      </c>
      <c r="N1509" s="2">
        <v>64</v>
      </c>
      <c r="O1509" s="2">
        <v>4438239.68</v>
      </c>
      <c r="P1509" s="2">
        <v>69347.5</v>
      </c>
    </row>
    <row r="1510" spans="1:16" outlineLevel="2" x14ac:dyDescent="0.2">
      <c r="A1510" s="5">
        <v>46080</v>
      </c>
      <c r="B1510" s="2">
        <v>157313</v>
      </c>
      <c r="C1510" s="2">
        <v>2</v>
      </c>
      <c r="D1510" s="2" t="s">
        <v>38</v>
      </c>
      <c r="E1510" s="2" t="s">
        <v>39</v>
      </c>
      <c r="F1510" s="2" t="s">
        <v>63</v>
      </c>
      <c r="G1510" s="2" t="s">
        <v>22</v>
      </c>
      <c r="H1510" s="2" t="s">
        <v>23</v>
      </c>
      <c r="I1510" s="2" t="s">
        <v>116</v>
      </c>
      <c r="J1510" s="2">
        <v>1</v>
      </c>
      <c r="K1510" s="2" t="s">
        <v>24</v>
      </c>
      <c r="L1510" s="2">
        <v>1846</v>
      </c>
      <c r="M1510" s="2" t="s">
        <v>134</v>
      </c>
      <c r="N1510" s="2">
        <v>262</v>
      </c>
      <c r="O1510" s="2">
        <v>19027491.629999999</v>
      </c>
      <c r="P1510" s="2">
        <v>72624.009999999995</v>
      </c>
    </row>
    <row r="1511" spans="1:16" outlineLevel="2" x14ac:dyDescent="0.2">
      <c r="A1511" s="5">
        <v>46078</v>
      </c>
      <c r="B1511" s="2">
        <v>157313</v>
      </c>
      <c r="C1511" s="2">
        <v>4</v>
      </c>
      <c r="D1511" s="2" t="s">
        <v>38</v>
      </c>
      <c r="E1511" s="2" t="s">
        <v>39</v>
      </c>
      <c r="F1511" s="2" t="s">
        <v>63</v>
      </c>
      <c r="G1511" s="2" t="s">
        <v>22</v>
      </c>
      <c r="H1511" s="2" t="s">
        <v>23</v>
      </c>
      <c r="I1511" s="2" t="s">
        <v>133</v>
      </c>
      <c r="J1511" s="2">
        <v>1</v>
      </c>
      <c r="K1511" s="2" t="s">
        <v>24</v>
      </c>
      <c r="L1511" s="2">
        <v>1846</v>
      </c>
      <c r="M1511" s="2" t="s">
        <v>134</v>
      </c>
      <c r="N1511" s="2">
        <v>896</v>
      </c>
      <c r="O1511" s="2">
        <v>53557047.450000003</v>
      </c>
      <c r="P1511" s="2">
        <v>59773.49</v>
      </c>
    </row>
    <row r="1512" spans="1:16" outlineLevel="2" x14ac:dyDescent="0.2">
      <c r="A1512" s="5">
        <v>46085</v>
      </c>
      <c r="B1512" s="2">
        <v>157314</v>
      </c>
      <c r="C1512" s="2">
        <v>2</v>
      </c>
      <c r="D1512" s="2" t="s">
        <v>38</v>
      </c>
      <c r="E1512" s="2" t="s">
        <v>39</v>
      </c>
      <c r="F1512" s="2" t="s">
        <v>63</v>
      </c>
      <c r="G1512" s="2" t="s">
        <v>22</v>
      </c>
      <c r="H1512" s="2" t="s">
        <v>23</v>
      </c>
      <c r="I1512" s="2" t="s">
        <v>116</v>
      </c>
      <c r="J1512" s="2">
        <v>1</v>
      </c>
      <c r="K1512" s="2" t="s">
        <v>24</v>
      </c>
      <c r="L1512" s="2">
        <v>1846</v>
      </c>
      <c r="M1512" s="2" t="s">
        <v>134</v>
      </c>
      <c r="N1512" s="2">
        <v>119</v>
      </c>
      <c r="O1512" s="2">
        <v>9505386.9700000007</v>
      </c>
      <c r="P1512" s="2">
        <v>79877.2</v>
      </c>
    </row>
    <row r="1513" spans="1:16" outlineLevel="2" x14ac:dyDescent="0.2">
      <c r="A1513" s="5">
        <v>46078</v>
      </c>
      <c r="B1513" s="2">
        <v>157314</v>
      </c>
      <c r="C1513" s="2">
        <v>3</v>
      </c>
      <c r="D1513" s="2" t="s">
        <v>38</v>
      </c>
      <c r="E1513" s="2" t="s">
        <v>39</v>
      </c>
      <c r="F1513" s="2" t="s">
        <v>63</v>
      </c>
      <c r="G1513" s="2" t="s">
        <v>22</v>
      </c>
      <c r="H1513" s="2" t="s">
        <v>23</v>
      </c>
      <c r="I1513" s="2" t="s">
        <v>135</v>
      </c>
      <c r="J1513" s="2">
        <v>1</v>
      </c>
      <c r="K1513" s="2" t="s">
        <v>24</v>
      </c>
      <c r="L1513" s="2">
        <v>1846</v>
      </c>
      <c r="M1513" s="2" t="s">
        <v>134</v>
      </c>
      <c r="N1513" s="2">
        <v>352</v>
      </c>
      <c r="O1513" s="2">
        <v>24906204.48</v>
      </c>
      <c r="P1513" s="2">
        <v>70756.259999999995</v>
      </c>
    </row>
    <row r="1514" spans="1:16" outlineLevel="1" x14ac:dyDescent="0.2">
      <c r="A1514" s="5"/>
      <c r="D1514" s="3" t="s">
        <v>721</v>
      </c>
      <c r="N1514" s="2">
        <f>SUBTOTAL(9,N1509:N1513)</f>
        <v>1693</v>
      </c>
      <c r="O1514" s="2">
        <f>SUBTOTAL(9,O1509:O1513)</f>
        <v>111434370.21000001</v>
      </c>
    </row>
    <row r="1515" spans="1:16" outlineLevel="2" x14ac:dyDescent="0.2">
      <c r="A1515" s="5">
        <v>46080</v>
      </c>
      <c r="B1515" s="2">
        <v>157322</v>
      </c>
      <c r="C1515" s="2">
        <v>1</v>
      </c>
      <c r="D1515" s="2" t="s">
        <v>92</v>
      </c>
      <c r="E1515" s="2" t="s">
        <v>93</v>
      </c>
      <c r="F1515" s="2" t="s">
        <v>40</v>
      </c>
      <c r="G1515" s="2" t="s">
        <v>22</v>
      </c>
      <c r="H1515" s="2" t="s">
        <v>23</v>
      </c>
      <c r="I1515" s="2" t="s">
        <v>23</v>
      </c>
      <c r="J1515" s="2">
        <v>5</v>
      </c>
      <c r="K1515" s="2" t="s">
        <v>27</v>
      </c>
      <c r="L1515" s="2">
        <v>2521</v>
      </c>
      <c r="M1515" s="2" t="s">
        <v>82</v>
      </c>
      <c r="N1515" s="2">
        <v>114</v>
      </c>
      <c r="O1515" s="2">
        <v>2574623.6800000002</v>
      </c>
      <c r="P1515" s="2">
        <v>22584.42</v>
      </c>
    </row>
    <row r="1516" spans="1:16" outlineLevel="1" x14ac:dyDescent="0.2">
      <c r="A1516" s="5"/>
      <c r="D1516" s="3" t="s">
        <v>702</v>
      </c>
      <c r="N1516" s="2">
        <f>SUBTOTAL(9,N1515:N1515)</f>
        <v>114</v>
      </c>
      <c r="O1516" s="2">
        <f>SUBTOTAL(9,O1515:O1515)</f>
        <v>2574623.6800000002</v>
      </c>
    </row>
    <row r="1517" spans="1:16" outlineLevel="2" x14ac:dyDescent="0.2">
      <c r="A1517" s="5">
        <v>46080</v>
      </c>
      <c r="B1517" s="2">
        <v>157322</v>
      </c>
      <c r="C1517" s="2">
        <v>2</v>
      </c>
      <c r="D1517" s="2" t="s">
        <v>175</v>
      </c>
      <c r="E1517" s="2" t="s">
        <v>224</v>
      </c>
      <c r="F1517" s="2" t="s">
        <v>40</v>
      </c>
      <c r="G1517" s="2" t="s">
        <v>22</v>
      </c>
      <c r="H1517" s="2" t="s">
        <v>23</v>
      </c>
      <c r="I1517" s="2" t="s">
        <v>23</v>
      </c>
      <c r="J1517" s="2">
        <v>5</v>
      </c>
      <c r="K1517" s="2" t="s">
        <v>27</v>
      </c>
      <c r="L1517" s="2">
        <v>2521</v>
      </c>
      <c r="M1517" s="2" t="s">
        <v>82</v>
      </c>
      <c r="N1517" s="2">
        <v>77</v>
      </c>
      <c r="O1517" s="2">
        <v>2342557.7799999998</v>
      </c>
      <c r="P1517" s="2">
        <v>30422.83</v>
      </c>
    </row>
    <row r="1518" spans="1:16" outlineLevel="1" x14ac:dyDescent="0.2">
      <c r="A1518" s="5"/>
      <c r="D1518" s="3" t="s">
        <v>725</v>
      </c>
      <c r="N1518" s="2">
        <f>SUBTOTAL(9,N1517:N1517)</f>
        <v>77</v>
      </c>
      <c r="O1518" s="2">
        <f>SUBTOTAL(9,O1517:O1517)</f>
        <v>2342557.7799999998</v>
      </c>
    </row>
    <row r="1519" spans="1:16" outlineLevel="2" x14ac:dyDescent="0.2">
      <c r="A1519" s="5">
        <v>46080</v>
      </c>
      <c r="B1519" s="2">
        <v>157323</v>
      </c>
      <c r="C1519" s="2">
        <v>1</v>
      </c>
      <c r="D1519" s="2" t="s">
        <v>75</v>
      </c>
      <c r="E1519" s="2" t="s">
        <v>99</v>
      </c>
      <c r="F1519" s="2" t="s">
        <v>40</v>
      </c>
      <c r="G1519" s="2" t="s">
        <v>22</v>
      </c>
      <c r="H1519" s="2" t="s">
        <v>23</v>
      </c>
      <c r="I1519" s="2" t="s">
        <v>100</v>
      </c>
      <c r="J1519" s="2">
        <v>1</v>
      </c>
      <c r="K1519" s="2" t="s">
        <v>24</v>
      </c>
      <c r="L1519" s="2">
        <v>2024</v>
      </c>
      <c r="M1519" s="2" t="s">
        <v>76</v>
      </c>
      <c r="N1519" s="2">
        <v>206</v>
      </c>
      <c r="O1519" s="2">
        <v>6029621.5700000003</v>
      </c>
      <c r="P1519" s="2">
        <v>29270.01</v>
      </c>
    </row>
    <row r="1520" spans="1:16" outlineLevel="2" x14ac:dyDescent="0.2">
      <c r="A1520" s="5">
        <v>46080</v>
      </c>
      <c r="B1520" s="2">
        <v>157323</v>
      </c>
      <c r="C1520" s="2">
        <v>2</v>
      </c>
      <c r="D1520" s="2" t="s">
        <v>75</v>
      </c>
      <c r="E1520" s="2" t="s">
        <v>99</v>
      </c>
      <c r="F1520" s="2" t="s">
        <v>40</v>
      </c>
      <c r="G1520" s="2" t="s">
        <v>22</v>
      </c>
      <c r="H1520" s="2" t="s">
        <v>23</v>
      </c>
      <c r="I1520" s="2" t="s">
        <v>109</v>
      </c>
      <c r="J1520" s="2">
        <v>1</v>
      </c>
      <c r="K1520" s="2" t="s">
        <v>24</v>
      </c>
      <c r="L1520" s="2">
        <v>2024</v>
      </c>
      <c r="M1520" s="2" t="s">
        <v>76</v>
      </c>
      <c r="N1520" s="2">
        <v>251</v>
      </c>
      <c r="O1520" s="2">
        <v>7676564.9199999999</v>
      </c>
      <c r="P1520" s="2">
        <v>30583.919999999998</v>
      </c>
    </row>
    <row r="1521" spans="1:16" outlineLevel="1" x14ac:dyDescent="0.2">
      <c r="A1521" s="5"/>
      <c r="D1521" s="3" t="s">
        <v>729</v>
      </c>
      <c r="N1521" s="2">
        <f>SUBTOTAL(9,N1519:N1520)</f>
        <v>457</v>
      </c>
      <c r="O1521" s="2">
        <f>SUBTOTAL(9,O1519:O1520)</f>
        <v>13706186.49</v>
      </c>
    </row>
    <row r="1522" spans="1:16" outlineLevel="2" x14ac:dyDescent="0.2">
      <c r="A1522" s="5">
        <v>46080</v>
      </c>
      <c r="B1522" s="2">
        <v>157324</v>
      </c>
      <c r="C1522" s="2">
        <v>1</v>
      </c>
      <c r="D1522" s="2" t="s">
        <v>229</v>
      </c>
      <c r="E1522" s="2" t="s">
        <v>230</v>
      </c>
      <c r="F1522" s="2" t="s">
        <v>55</v>
      </c>
      <c r="G1522" s="2" t="s">
        <v>23</v>
      </c>
      <c r="H1522" s="2" t="s">
        <v>23</v>
      </c>
      <c r="I1522" s="2" t="s">
        <v>109</v>
      </c>
      <c r="J1522" s="2">
        <v>1</v>
      </c>
      <c r="K1522" s="2" t="s">
        <v>24</v>
      </c>
      <c r="L1522" s="2">
        <v>331</v>
      </c>
      <c r="M1522" s="2" t="s">
        <v>356</v>
      </c>
      <c r="N1522" s="2">
        <v>1</v>
      </c>
      <c r="O1522" s="2">
        <v>7171.71</v>
      </c>
      <c r="P1522" s="2">
        <v>7171.71</v>
      </c>
    </row>
    <row r="1523" spans="1:16" outlineLevel="2" x14ac:dyDescent="0.2">
      <c r="A1523" s="5">
        <v>46080</v>
      </c>
      <c r="B1523" s="2">
        <v>157324</v>
      </c>
      <c r="C1523" s="2">
        <v>5</v>
      </c>
      <c r="D1523" s="2" t="s">
        <v>229</v>
      </c>
      <c r="E1523" s="2" t="s">
        <v>230</v>
      </c>
      <c r="F1523" s="2" t="s">
        <v>40</v>
      </c>
      <c r="G1523" s="2" t="s">
        <v>22</v>
      </c>
      <c r="H1523" s="2" t="s">
        <v>23</v>
      </c>
      <c r="I1523" s="2" t="s">
        <v>79</v>
      </c>
      <c r="J1523" s="2">
        <v>1</v>
      </c>
      <c r="K1523" s="2" t="s">
        <v>24</v>
      </c>
      <c r="L1523" s="2">
        <v>331</v>
      </c>
      <c r="M1523" s="2" t="s">
        <v>356</v>
      </c>
      <c r="N1523" s="2">
        <v>214</v>
      </c>
      <c r="O1523" s="2">
        <v>2314628.2200000002</v>
      </c>
      <c r="P1523" s="2">
        <v>10816.02</v>
      </c>
    </row>
    <row r="1524" spans="1:16" outlineLevel="1" x14ac:dyDescent="0.2">
      <c r="A1524" s="5"/>
      <c r="D1524" s="3" t="s">
        <v>737</v>
      </c>
      <c r="N1524" s="2">
        <f>SUBTOTAL(9,N1522:N1523)</f>
        <v>215</v>
      </c>
      <c r="O1524" s="2">
        <f>SUBTOTAL(9,O1522:O1523)</f>
        <v>2321799.9300000002</v>
      </c>
    </row>
    <row r="1525" spans="1:16" outlineLevel="2" x14ac:dyDescent="0.2">
      <c r="A1525" s="5">
        <v>46085</v>
      </c>
      <c r="B1525" s="2">
        <v>157325</v>
      </c>
      <c r="C1525" s="2">
        <v>1</v>
      </c>
      <c r="D1525" s="2" t="s">
        <v>131</v>
      </c>
      <c r="E1525" s="2" t="s">
        <v>132</v>
      </c>
      <c r="F1525" s="2" t="s">
        <v>40</v>
      </c>
      <c r="G1525" s="2" t="s">
        <v>22</v>
      </c>
      <c r="H1525" s="2" t="s">
        <v>23</v>
      </c>
      <c r="I1525" s="2" t="s">
        <v>23</v>
      </c>
      <c r="J1525" s="2">
        <v>1</v>
      </c>
      <c r="K1525" s="2" t="s">
        <v>24</v>
      </c>
      <c r="L1525" s="2">
        <v>2521</v>
      </c>
      <c r="M1525" s="2" t="s">
        <v>82</v>
      </c>
      <c r="N1525" s="2">
        <v>65</v>
      </c>
      <c r="O1525" s="2">
        <v>1426290.73</v>
      </c>
      <c r="P1525" s="2">
        <v>21942.93</v>
      </c>
    </row>
    <row r="1526" spans="1:16" outlineLevel="1" x14ac:dyDescent="0.2">
      <c r="A1526" s="5"/>
      <c r="D1526" s="3" t="s">
        <v>713</v>
      </c>
      <c r="N1526" s="2">
        <f>SUBTOTAL(9,N1525:N1525)</f>
        <v>65</v>
      </c>
      <c r="O1526" s="2">
        <f>SUBTOTAL(9,O1525:O1525)</f>
        <v>1426290.73</v>
      </c>
    </row>
    <row r="1527" spans="1:16" outlineLevel="2" x14ac:dyDescent="0.2">
      <c r="A1527" s="5">
        <v>46086</v>
      </c>
      <c r="B1527" s="2">
        <v>157326</v>
      </c>
      <c r="C1527" s="2">
        <v>1</v>
      </c>
      <c r="D1527" s="2" t="s">
        <v>160</v>
      </c>
      <c r="E1527" s="2" t="s">
        <v>222</v>
      </c>
      <c r="F1527" s="2" t="s">
        <v>40</v>
      </c>
      <c r="G1527" s="2" t="s">
        <v>22</v>
      </c>
      <c r="H1527" s="2" t="s">
        <v>23</v>
      </c>
      <c r="I1527" s="2" t="s">
        <v>23</v>
      </c>
      <c r="J1527" s="2">
        <v>1</v>
      </c>
      <c r="K1527" s="2" t="s">
        <v>24</v>
      </c>
      <c r="L1527" s="2">
        <v>1314</v>
      </c>
      <c r="M1527" s="2" t="s">
        <v>365</v>
      </c>
      <c r="N1527" s="2">
        <v>28</v>
      </c>
      <c r="O1527" s="2">
        <v>438834.74</v>
      </c>
      <c r="P1527" s="2">
        <v>15672.67</v>
      </c>
    </row>
    <row r="1528" spans="1:16" outlineLevel="2" x14ac:dyDescent="0.2">
      <c r="A1528" s="5">
        <v>46086</v>
      </c>
      <c r="B1528" s="2">
        <v>157326</v>
      </c>
      <c r="C1528" s="2">
        <v>200</v>
      </c>
      <c r="D1528" s="2" t="s">
        <v>160</v>
      </c>
      <c r="E1528" s="2" t="s">
        <v>26</v>
      </c>
      <c r="F1528" s="2" t="s">
        <v>23</v>
      </c>
      <c r="G1528" s="2" t="s">
        <v>22</v>
      </c>
      <c r="H1528" s="2" t="s">
        <v>23</v>
      </c>
      <c r="I1528" s="2" t="s">
        <v>23</v>
      </c>
      <c r="J1528" s="2">
        <v>5</v>
      </c>
      <c r="K1528" s="2" t="s">
        <v>27</v>
      </c>
      <c r="L1528" s="2">
        <v>1314</v>
      </c>
      <c r="M1528" s="2" t="s">
        <v>365</v>
      </c>
      <c r="N1528" s="2">
        <v>23</v>
      </c>
      <c r="O1528" s="2">
        <v>112210.05</v>
      </c>
      <c r="P1528" s="2">
        <v>4878.7</v>
      </c>
    </row>
    <row r="1529" spans="1:16" outlineLevel="1" x14ac:dyDescent="0.2">
      <c r="A1529" s="5"/>
      <c r="D1529" s="3" t="s">
        <v>709</v>
      </c>
      <c r="N1529" s="2">
        <f>SUBTOTAL(9,N1527:N1528)</f>
        <v>51</v>
      </c>
      <c r="O1529" s="2">
        <f>SUBTOTAL(9,O1527:O1528)</f>
        <v>551044.79</v>
      </c>
    </row>
    <row r="1530" spans="1:16" outlineLevel="2" x14ac:dyDescent="0.2">
      <c r="A1530" s="5">
        <v>46097</v>
      </c>
      <c r="B1530" s="2">
        <v>157329</v>
      </c>
      <c r="C1530" s="2">
        <v>1</v>
      </c>
      <c r="D1530" s="2" t="s">
        <v>29</v>
      </c>
      <c r="E1530" s="2" t="s">
        <v>55</v>
      </c>
      <c r="F1530" s="2" t="s">
        <v>23</v>
      </c>
      <c r="G1530" s="2" t="s">
        <v>23</v>
      </c>
      <c r="H1530" s="2" t="s">
        <v>23</v>
      </c>
      <c r="I1530" s="2" t="s">
        <v>23</v>
      </c>
      <c r="J1530" s="2">
        <v>1</v>
      </c>
      <c r="K1530" s="2" t="s">
        <v>24</v>
      </c>
      <c r="L1530" s="2">
        <v>818</v>
      </c>
      <c r="M1530" s="2" t="s">
        <v>173</v>
      </c>
      <c r="N1530" s="2">
        <v>9</v>
      </c>
      <c r="O1530" s="2">
        <v>81347.31</v>
      </c>
      <c r="P1530" s="2">
        <v>9038.59</v>
      </c>
    </row>
    <row r="1531" spans="1:16" outlineLevel="2" x14ac:dyDescent="0.2">
      <c r="A1531" s="5">
        <v>46101</v>
      </c>
      <c r="B1531" s="2">
        <v>157330</v>
      </c>
      <c r="C1531" s="2">
        <v>1</v>
      </c>
      <c r="D1531" s="2" t="s">
        <v>29</v>
      </c>
      <c r="E1531" s="2" t="s">
        <v>55</v>
      </c>
      <c r="F1531" s="2" t="s">
        <v>23</v>
      </c>
      <c r="G1531" s="2" t="s">
        <v>23</v>
      </c>
      <c r="H1531" s="2" t="s">
        <v>23</v>
      </c>
      <c r="I1531" s="2" t="s">
        <v>23</v>
      </c>
      <c r="J1531" s="2">
        <v>1</v>
      </c>
      <c r="K1531" s="2" t="s">
        <v>24</v>
      </c>
      <c r="L1531" s="2">
        <v>25177</v>
      </c>
      <c r="M1531" s="2" t="s">
        <v>32</v>
      </c>
      <c r="N1531" s="2">
        <v>144</v>
      </c>
      <c r="O1531" s="2">
        <v>226235.51999999999</v>
      </c>
      <c r="P1531" s="2">
        <v>1571.08</v>
      </c>
    </row>
    <row r="1532" spans="1:16" outlineLevel="1" x14ac:dyDescent="0.2">
      <c r="A1532" s="5"/>
      <c r="D1532" s="3" t="s">
        <v>703</v>
      </c>
      <c r="N1532" s="2">
        <f>SUBTOTAL(9,N1530:N1531)</f>
        <v>153</v>
      </c>
      <c r="O1532" s="2">
        <f>SUBTOTAL(9,O1530:O1531)</f>
        <v>307582.82999999996</v>
      </c>
    </row>
    <row r="1533" spans="1:16" outlineLevel="2" x14ac:dyDescent="0.2">
      <c r="A1533" s="5">
        <v>46085</v>
      </c>
      <c r="B1533" s="2">
        <v>157339</v>
      </c>
      <c r="C1533" s="2">
        <v>311</v>
      </c>
      <c r="D1533" s="2" t="s">
        <v>45</v>
      </c>
      <c r="E1533" s="2" t="s">
        <v>228</v>
      </c>
      <c r="F1533" s="2" t="s">
        <v>55</v>
      </c>
      <c r="G1533" s="2" t="s">
        <v>23</v>
      </c>
      <c r="H1533" s="2" t="s">
        <v>23</v>
      </c>
      <c r="I1533" s="2" t="s">
        <v>23</v>
      </c>
      <c r="J1533" s="2">
        <v>2</v>
      </c>
      <c r="K1533" s="2" t="s">
        <v>48</v>
      </c>
      <c r="L1533" s="2">
        <v>1964</v>
      </c>
      <c r="M1533" s="2" t="s">
        <v>49</v>
      </c>
      <c r="N1533" s="2">
        <v>17</v>
      </c>
      <c r="O1533" s="2">
        <v>190060.03</v>
      </c>
      <c r="P1533" s="2">
        <v>11180</v>
      </c>
    </row>
    <row r="1534" spans="1:16" outlineLevel="1" x14ac:dyDescent="0.2">
      <c r="A1534" s="5"/>
      <c r="D1534" s="3" t="s">
        <v>733</v>
      </c>
      <c r="N1534" s="2">
        <f>SUBTOTAL(9,N1533:N1533)</f>
        <v>17</v>
      </c>
      <c r="O1534" s="2">
        <f>SUBTOTAL(9,O1533:O1533)</f>
        <v>190060.03</v>
      </c>
    </row>
    <row r="1535" spans="1:16" outlineLevel="2" x14ac:dyDescent="0.2">
      <c r="A1535" s="5">
        <v>46087</v>
      </c>
      <c r="B1535" s="2">
        <v>157345</v>
      </c>
      <c r="C1535" s="2">
        <v>1</v>
      </c>
      <c r="D1535" s="2" t="s">
        <v>38</v>
      </c>
      <c r="E1535" s="2" t="s">
        <v>39</v>
      </c>
      <c r="F1535" s="2" t="s">
        <v>290</v>
      </c>
      <c r="G1535" s="2" t="s">
        <v>349</v>
      </c>
      <c r="H1535" s="2" t="s">
        <v>23</v>
      </c>
      <c r="I1535" s="2" t="s">
        <v>23</v>
      </c>
      <c r="J1535" s="2">
        <v>40</v>
      </c>
      <c r="K1535" s="2" t="s">
        <v>43</v>
      </c>
      <c r="L1535" s="2">
        <v>2551</v>
      </c>
      <c r="M1535" s="2" t="s">
        <v>292</v>
      </c>
      <c r="N1535" s="2">
        <v>9</v>
      </c>
      <c r="O1535" s="2">
        <v>445388.46</v>
      </c>
      <c r="P1535" s="2">
        <v>49487.61</v>
      </c>
    </row>
    <row r="1536" spans="1:16" outlineLevel="1" x14ac:dyDescent="0.2">
      <c r="A1536" s="5"/>
      <c r="D1536" s="3" t="s">
        <v>721</v>
      </c>
      <c r="N1536" s="2">
        <f>SUBTOTAL(9,N1535:N1535)</f>
        <v>9</v>
      </c>
      <c r="O1536" s="2">
        <f>SUBTOTAL(9,O1535:O1535)</f>
        <v>445388.46</v>
      </c>
    </row>
    <row r="1537" spans="1:16" outlineLevel="2" x14ac:dyDescent="0.2">
      <c r="A1537" s="5">
        <v>46083</v>
      </c>
      <c r="B1537" s="2">
        <v>157350</v>
      </c>
      <c r="C1537" s="2">
        <v>1</v>
      </c>
      <c r="D1537" s="2" t="s">
        <v>366</v>
      </c>
      <c r="E1537" s="2" t="s">
        <v>39</v>
      </c>
      <c r="F1537" s="2" t="s">
        <v>63</v>
      </c>
      <c r="G1537" s="2" t="s">
        <v>22</v>
      </c>
      <c r="H1537" s="2" t="s">
        <v>23</v>
      </c>
      <c r="I1537" s="2" t="s">
        <v>243</v>
      </c>
      <c r="J1537" s="2">
        <v>1</v>
      </c>
      <c r="K1537" s="2" t="s">
        <v>24</v>
      </c>
      <c r="L1537" s="2">
        <v>2586</v>
      </c>
      <c r="M1537" s="2" t="s">
        <v>65</v>
      </c>
      <c r="N1537" s="2">
        <v>104</v>
      </c>
      <c r="O1537" s="2">
        <v>7576764.3099999996</v>
      </c>
      <c r="P1537" s="2">
        <v>72853.5</v>
      </c>
    </row>
    <row r="1538" spans="1:16" outlineLevel="2" x14ac:dyDescent="0.2">
      <c r="A1538" s="5">
        <v>46083</v>
      </c>
      <c r="B1538" s="2">
        <v>157350</v>
      </c>
      <c r="C1538" s="2">
        <v>2</v>
      </c>
      <c r="D1538" s="2" t="s">
        <v>366</v>
      </c>
      <c r="E1538" s="2" t="s">
        <v>39</v>
      </c>
      <c r="F1538" s="2" t="s">
        <v>63</v>
      </c>
      <c r="G1538" s="2" t="s">
        <v>22</v>
      </c>
      <c r="H1538" s="2" t="s">
        <v>23</v>
      </c>
      <c r="I1538" s="2" t="s">
        <v>116</v>
      </c>
      <c r="J1538" s="2">
        <v>1</v>
      </c>
      <c r="K1538" s="2" t="s">
        <v>24</v>
      </c>
      <c r="L1538" s="2">
        <v>2586</v>
      </c>
      <c r="M1538" s="2" t="s">
        <v>65</v>
      </c>
      <c r="N1538" s="2">
        <v>512</v>
      </c>
      <c r="O1538" s="2">
        <v>40261617.939999998</v>
      </c>
      <c r="P1538" s="2">
        <v>78635.97</v>
      </c>
    </row>
    <row r="1539" spans="1:16" outlineLevel="2" x14ac:dyDescent="0.2">
      <c r="A1539" s="5">
        <v>46083</v>
      </c>
      <c r="B1539" s="2">
        <v>157350</v>
      </c>
      <c r="C1539" s="2">
        <v>3</v>
      </c>
      <c r="D1539" s="2" t="s">
        <v>366</v>
      </c>
      <c r="E1539" s="2" t="s">
        <v>39</v>
      </c>
      <c r="F1539" s="2" t="s">
        <v>63</v>
      </c>
      <c r="G1539" s="2" t="s">
        <v>22</v>
      </c>
      <c r="H1539" s="2" t="s">
        <v>23</v>
      </c>
      <c r="I1539" s="2" t="s">
        <v>135</v>
      </c>
      <c r="J1539" s="2">
        <v>1</v>
      </c>
      <c r="K1539" s="2" t="s">
        <v>24</v>
      </c>
      <c r="L1539" s="2">
        <v>2586</v>
      </c>
      <c r="M1539" s="2" t="s">
        <v>65</v>
      </c>
      <c r="N1539" s="2">
        <v>176</v>
      </c>
      <c r="O1539" s="2">
        <v>13412795.529999999</v>
      </c>
      <c r="P1539" s="2">
        <v>76209.070000000007</v>
      </c>
    </row>
    <row r="1540" spans="1:16" outlineLevel="2" x14ac:dyDescent="0.2">
      <c r="A1540" s="5">
        <v>46083</v>
      </c>
      <c r="B1540" s="2">
        <v>157350</v>
      </c>
      <c r="C1540" s="2">
        <v>4</v>
      </c>
      <c r="D1540" s="2" t="s">
        <v>366</v>
      </c>
      <c r="E1540" s="2" t="s">
        <v>39</v>
      </c>
      <c r="F1540" s="2" t="s">
        <v>63</v>
      </c>
      <c r="G1540" s="2" t="s">
        <v>22</v>
      </c>
      <c r="H1540" s="2" t="s">
        <v>23</v>
      </c>
      <c r="I1540" s="2" t="s">
        <v>133</v>
      </c>
      <c r="J1540" s="2">
        <v>1</v>
      </c>
      <c r="K1540" s="2" t="s">
        <v>24</v>
      </c>
      <c r="L1540" s="2">
        <v>2586</v>
      </c>
      <c r="M1540" s="2" t="s">
        <v>65</v>
      </c>
      <c r="N1540" s="2">
        <v>352</v>
      </c>
      <c r="O1540" s="2">
        <v>23025563</v>
      </c>
      <c r="P1540" s="2">
        <v>65413.53</v>
      </c>
    </row>
    <row r="1541" spans="1:16" outlineLevel="2" x14ac:dyDescent="0.2">
      <c r="A1541" s="5">
        <v>46083</v>
      </c>
      <c r="B1541" s="2">
        <v>157350</v>
      </c>
      <c r="C1541" s="2">
        <v>5</v>
      </c>
      <c r="D1541" s="2" t="s">
        <v>366</v>
      </c>
      <c r="E1541" s="2" t="s">
        <v>39</v>
      </c>
      <c r="F1541" s="2" t="s">
        <v>63</v>
      </c>
      <c r="G1541" s="2" t="s">
        <v>22</v>
      </c>
      <c r="H1541" s="2" t="s">
        <v>23</v>
      </c>
      <c r="I1541" s="2" t="s">
        <v>23</v>
      </c>
      <c r="J1541" s="2">
        <v>124</v>
      </c>
      <c r="K1541" s="2" t="s">
        <v>155</v>
      </c>
      <c r="L1541" s="2">
        <v>2586</v>
      </c>
      <c r="M1541" s="2" t="s">
        <v>65</v>
      </c>
      <c r="N1541" s="2">
        <v>96</v>
      </c>
      <c r="O1541" s="2">
        <v>7588464.96</v>
      </c>
      <c r="P1541" s="2">
        <v>79046.509999999995</v>
      </c>
    </row>
    <row r="1542" spans="1:16" outlineLevel="1" x14ac:dyDescent="0.2">
      <c r="A1542" s="5"/>
      <c r="D1542" s="3" t="s">
        <v>763</v>
      </c>
      <c r="N1542" s="2">
        <f>SUBTOTAL(9,N1537:N1541)</f>
        <v>1240</v>
      </c>
      <c r="O1542" s="2">
        <f>SUBTOTAL(9,O1537:O1541)</f>
        <v>91865205.739999995</v>
      </c>
    </row>
    <row r="1543" spans="1:16" outlineLevel="2" x14ac:dyDescent="0.2">
      <c r="A1543" s="5">
        <v>46080</v>
      </c>
      <c r="B1543" s="2">
        <v>157368</v>
      </c>
      <c r="C1543" s="2">
        <v>1</v>
      </c>
      <c r="D1543" s="2" t="s">
        <v>26</v>
      </c>
      <c r="E1543" s="2" t="s">
        <v>23</v>
      </c>
      <c r="F1543" s="2" t="s">
        <v>52</v>
      </c>
      <c r="G1543" s="2" t="s">
        <v>22</v>
      </c>
      <c r="H1543" s="2" t="s">
        <v>23</v>
      </c>
      <c r="I1543" s="2" t="s">
        <v>23</v>
      </c>
      <c r="J1543" s="2">
        <v>5</v>
      </c>
      <c r="K1543" s="2" t="s">
        <v>27</v>
      </c>
      <c r="L1543" s="2">
        <v>3048</v>
      </c>
      <c r="M1543" s="2" t="s">
        <v>53</v>
      </c>
      <c r="N1543" s="2">
        <v>100</v>
      </c>
      <c r="O1543" s="2">
        <v>509480.95</v>
      </c>
      <c r="P1543" s="2">
        <v>5094.8100000000004</v>
      </c>
    </row>
    <row r="1544" spans="1:16" outlineLevel="2" x14ac:dyDescent="0.2">
      <c r="A1544" s="5">
        <v>46080</v>
      </c>
      <c r="B1544" s="2">
        <v>157368</v>
      </c>
      <c r="C1544" s="2">
        <v>2</v>
      </c>
      <c r="D1544" s="2" t="s">
        <v>26</v>
      </c>
      <c r="E1544" s="2" t="s">
        <v>23</v>
      </c>
      <c r="F1544" s="2" t="s">
        <v>52</v>
      </c>
      <c r="G1544" s="2" t="s">
        <v>22</v>
      </c>
      <c r="H1544" s="2" t="s">
        <v>23</v>
      </c>
      <c r="I1544" s="2" t="s">
        <v>23</v>
      </c>
      <c r="J1544" s="2">
        <v>5</v>
      </c>
      <c r="K1544" s="2" t="s">
        <v>27</v>
      </c>
      <c r="L1544" s="2">
        <v>3048</v>
      </c>
      <c r="M1544" s="2" t="s">
        <v>53</v>
      </c>
      <c r="N1544" s="2">
        <v>47</v>
      </c>
      <c r="O1544" s="2">
        <v>280130.53000000003</v>
      </c>
      <c r="P1544" s="2">
        <v>5960.22</v>
      </c>
    </row>
    <row r="1545" spans="1:16" outlineLevel="1" x14ac:dyDescent="0.2">
      <c r="A1545" s="5"/>
      <c r="D1545" s="3" t="s">
        <v>711</v>
      </c>
      <c r="N1545" s="2">
        <f>SUBTOTAL(9,N1543:N1544)</f>
        <v>147</v>
      </c>
      <c r="O1545" s="2">
        <f>SUBTOTAL(9,O1543:O1544)</f>
        <v>789611.48</v>
      </c>
    </row>
    <row r="1546" spans="1:16" outlineLevel="2" x14ac:dyDescent="0.2">
      <c r="A1546" s="5">
        <v>46087</v>
      </c>
      <c r="B1546" s="2">
        <v>157370</v>
      </c>
      <c r="C1546" s="2">
        <v>315</v>
      </c>
      <c r="D1546" s="2" t="s">
        <v>54</v>
      </c>
      <c r="E1546" s="2" t="s">
        <v>30</v>
      </c>
      <c r="F1546" s="2" t="s">
        <v>55</v>
      </c>
      <c r="G1546" s="2" t="s">
        <v>23</v>
      </c>
      <c r="H1546" s="2" t="s">
        <v>23</v>
      </c>
      <c r="I1546" s="2" t="s">
        <v>23</v>
      </c>
      <c r="J1546" s="2">
        <v>2</v>
      </c>
      <c r="K1546" s="2" t="s">
        <v>48</v>
      </c>
      <c r="L1546" s="2">
        <v>626</v>
      </c>
      <c r="M1546" s="2" t="s">
        <v>49</v>
      </c>
      <c r="N1546" s="2">
        <v>9</v>
      </c>
      <c r="O1546" s="2">
        <v>26274.41</v>
      </c>
      <c r="P1546" s="2">
        <v>2919.38</v>
      </c>
    </row>
    <row r="1547" spans="1:16" outlineLevel="1" x14ac:dyDescent="0.2">
      <c r="A1547" s="5"/>
      <c r="D1547" s="3" t="s">
        <v>719</v>
      </c>
      <c r="N1547" s="2">
        <f>SUBTOTAL(9,N1546:N1546)</f>
        <v>9</v>
      </c>
      <c r="O1547" s="2">
        <f>SUBTOTAL(9,O1546:O1546)</f>
        <v>26274.41</v>
      </c>
    </row>
    <row r="1548" spans="1:16" outlineLevel="2" x14ac:dyDescent="0.2">
      <c r="A1548" s="5">
        <v>46085</v>
      </c>
      <c r="B1548" s="2">
        <v>157372</v>
      </c>
      <c r="C1548" s="2">
        <v>325</v>
      </c>
      <c r="D1548" s="2" t="s">
        <v>203</v>
      </c>
      <c r="E1548" s="2" t="s">
        <v>238</v>
      </c>
      <c r="F1548" s="2" t="s">
        <v>55</v>
      </c>
      <c r="G1548" s="2" t="s">
        <v>23</v>
      </c>
      <c r="H1548" s="2" t="s">
        <v>23</v>
      </c>
      <c r="I1548" s="2" t="s">
        <v>23</v>
      </c>
      <c r="J1548" s="2">
        <v>2</v>
      </c>
      <c r="K1548" s="2" t="s">
        <v>48</v>
      </c>
      <c r="L1548" s="2">
        <v>492</v>
      </c>
      <c r="M1548" s="2" t="s">
        <v>269</v>
      </c>
      <c r="N1548" s="2">
        <v>6</v>
      </c>
      <c r="O1548" s="2">
        <v>9426.48</v>
      </c>
      <c r="P1548" s="2">
        <v>1571.08</v>
      </c>
    </row>
    <row r="1549" spans="1:16" outlineLevel="2" x14ac:dyDescent="0.2">
      <c r="A1549" s="5">
        <v>46085</v>
      </c>
      <c r="B1549" s="2">
        <v>157373</v>
      </c>
      <c r="C1549" s="2">
        <v>315</v>
      </c>
      <c r="D1549" s="2" t="s">
        <v>203</v>
      </c>
      <c r="E1549" s="2" t="s">
        <v>125</v>
      </c>
      <c r="F1549" s="2" t="s">
        <v>55</v>
      </c>
      <c r="G1549" s="2" t="s">
        <v>23</v>
      </c>
      <c r="H1549" s="2" t="s">
        <v>23</v>
      </c>
      <c r="I1549" s="2" t="s">
        <v>23</v>
      </c>
      <c r="J1549" s="2">
        <v>2</v>
      </c>
      <c r="K1549" s="2" t="s">
        <v>48</v>
      </c>
      <c r="L1549" s="2">
        <v>600</v>
      </c>
      <c r="M1549" s="2" t="s">
        <v>112</v>
      </c>
      <c r="N1549" s="2">
        <v>5</v>
      </c>
      <c r="O1549" s="2">
        <v>7855.4</v>
      </c>
      <c r="P1549" s="2">
        <v>1571.08</v>
      </c>
    </row>
    <row r="1550" spans="1:16" outlineLevel="2" x14ac:dyDescent="0.2">
      <c r="A1550" s="5">
        <v>46162</v>
      </c>
      <c r="B1550" s="2">
        <v>157375</v>
      </c>
      <c r="C1550" s="2">
        <v>316</v>
      </c>
      <c r="D1550" s="2" t="s">
        <v>203</v>
      </c>
      <c r="E1550" s="2" t="s">
        <v>238</v>
      </c>
      <c r="F1550" s="2" t="s">
        <v>47</v>
      </c>
      <c r="G1550" s="2" t="s">
        <v>22</v>
      </c>
      <c r="H1550" s="2" t="s">
        <v>23</v>
      </c>
      <c r="I1550" s="2" t="s">
        <v>23</v>
      </c>
      <c r="J1550" s="2">
        <v>2</v>
      </c>
      <c r="K1550" s="2" t="s">
        <v>48</v>
      </c>
      <c r="L1550" s="2">
        <v>1876</v>
      </c>
      <c r="M1550" s="2" t="s">
        <v>138</v>
      </c>
      <c r="N1550" s="2">
        <v>4</v>
      </c>
      <c r="O1550" s="2">
        <v>15593.88</v>
      </c>
      <c r="P1550" s="2">
        <v>3898.47</v>
      </c>
    </row>
    <row r="1551" spans="1:16" outlineLevel="1" x14ac:dyDescent="0.2">
      <c r="A1551" s="5"/>
      <c r="D1551" s="3" t="s">
        <v>735</v>
      </c>
      <c r="N1551" s="2">
        <f>SUBTOTAL(9,N1548:N1550)</f>
        <v>15</v>
      </c>
      <c r="O1551" s="2">
        <f>SUBTOTAL(9,O1548:O1550)</f>
        <v>32875.759999999995</v>
      </c>
    </row>
    <row r="1552" spans="1:16" outlineLevel="2" x14ac:dyDescent="0.2">
      <c r="A1552" s="5">
        <v>46087</v>
      </c>
      <c r="B1552" s="2">
        <v>157380</v>
      </c>
      <c r="C1552" s="2">
        <v>1</v>
      </c>
      <c r="D1552" s="2" t="s">
        <v>57</v>
      </c>
      <c r="E1552" s="2" t="s">
        <v>259</v>
      </c>
      <c r="F1552" s="2" t="s">
        <v>31</v>
      </c>
      <c r="G1552" s="2" t="s">
        <v>22</v>
      </c>
      <c r="H1552" s="2" t="s">
        <v>23</v>
      </c>
      <c r="I1552" s="2" t="s">
        <v>23</v>
      </c>
      <c r="J1552" s="2">
        <v>2</v>
      </c>
      <c r="K1552" s="2" t="s">
        <v>48</v>
      </c>
      <c r="L1552" s="2">
        <v>986</v>
      </c>
      <c r="M1552" s="2" t="s">
        <v>260</v>
      </c>
      <c r="N1552" s="2">
        <v>2</v>
      </c>
      <c r="O1552" s="2">
        <v>44213.46</v>
      </c>
      <c r="P1552" s="2">
        <v>22106.73</v>
      </c>
    </row>
    <row r="1553" spans="1:16" outlineLevel="2" x14ac:dyDescent="0.2">
      <c r="A1553" s="5">
        <v>46150</v>
      </c>
      <c r="B1553" s="2">
        <v>157381</v>
      </c>
      <c r="C1553" s="2">
        <v>1</v>
      </c>
      <c r="D1553" s="2" t="s">
        <v>57</v>
      </c>
      <c r="E1553" s="2" t="s">
        <v>259</v>
      </c>
      <c r="F1553" s="2" t="s">
        <v>55</v>
      </c>
      <c r="G1553" s="2" t="s">
        <v>23</v>
      </c>
      <c r="H1553" s="2" t="s">
        <v>23</v>
      </c>
      <c r="I1553" s="2" t="s">
        <v>23</v>
      </c>
      <c r="J1553" s="2">
        <v>1</v>
      </c>
      <c r="K1553" s="2" t="s">
        <v>24</v>
      </c>
      <c r="L1553" s="2">
        <v>600</v>
      </c>
      <c r="M1553" s="2" t="s">
        <v>112</v>
      </c>
      <c r="N1553" s="2">
        <v>20</v>
      </c>
      <c r="O1553" s="2">
        <v>464413.2</v>
      </c>
      <c r="P1553" s="2">
        <v>23220.66</v>
      </c>
    </row>
    <row r="1554" spans="1:16" outlineLevel="1" x14ac:dyDescent="0.2">
      <c r="A1554" s="5"/>
      <c r="D1554" s="3" t="s">
        <v>716</v>
      </c>
      <c r="N1554" s="2">
        <f>SUBTOTAL(9,N1552:N1553)</f>
        <v>22</v>
      </c>
      <c r="O1554" s="2">
        <f>SUBTOTAL(9,O1552:O1553)</f>
        <v>508626.66000000003</v>
      </c>
    </row>
    <row r="1555" spans="1:16" outlineLevel="2" x14ac:dyDescent="0.2">
      <c r="A1555" s="5">
        <v>46094</v>
      </c>
      <c r="B1555" s="2">
        <v>157386</v>
      </c>
      <c r="C1555" s="2">
        <v>315</v>
      </c>
      <c r="D1555" s="2" t="s">
        <v>45</v>
      </c>
      <c r="E1555" s="2" t="s">
        <v>125</v>
      </c>
      <c r="F1555" s="2" t="s">
        <v>55</v>
      </c>
      <c r="G1555" s="2" t="s">
        <v>23</v>
      </c>
      <c r="H1555" s="2" t="s">
        <v>23</v>
      </c>
      <c r="I1555" s="2" t="s">
        <v>23</v>
      </c>
      <c r="J1555" s="2">
        <v>2</v>
      </c>
      <c r="K1555" s="2" t="s">
        <v>48</v>
      </c>
      <c r="L1555" s="2">
        <v>2276</v>
      </c>
      <c r="M1555" s="2" t="s">
        <v>156</v>
      </c>
      <c r="N1555" s="2">
        <v>5</v>
      </c>
      <c r="O1555" s="2">
        <v>12522.6</v>
      </c>
      <c r="P1555" s="2">
        <v>2504.52</v>
      </c>
    </row>
    <row r="1556" spans="1:16" outlineLevel="1" x14ac:dyDescent="0.2">
      <c r="A1556" s="5"/>
      <c r="D1556" s="3" t="s">
        <v>733</v>
      </c>
      <c r="N1556" s="2">
        <f>SUBTOTAL(9,N1555:N1555)</f>
        <v>5</v>
      </c>
      <c r="O1556" s="2">
        <f>SUBTOTAL(9,O1555:O1555)</f>
        <v>12522.6</v>
      </c>
    </row>
    <row r="1557" spans="1:16" outlineLevel="2" x14ac:dyDescent="0.2">
      <c r="A1557" s="5">
        <v>46083</v>
      </c>
      <c r="B1557" s="2">
        <v>157392</v>
      </c>
      <c r="C1557" s="2">
        <v>1</v>
      </c>
      <c r="D1557" s="2" t="s">
        <v>26</v>
      </c>
      <c r="E1557" s="2" t="s">
        <v>51</v>
      </c>
      <c r="F1557" s="2" t="s">
        <v>52</v>
      </c>
      <c r="G1557" s="2" t="s">
        <v>22</v>
      </c>
      <c r="H1557" s="2" t="s">
        <v>23</v>
      </c>
      <c r="I1557" s="2" t="s">
        <v>23</v>
      </c>
      <c r="J1557" s="2">
        <v>5</v>
      </c>
      <c r="K1557" s="2" t="s">
        <v>27</v>
      </c>
      <c r="L1557" s="2">
        <v>3048</v>
      </c>
      <c r="M1557" s="2" t="s">
        <v>53</v>
      </c>
      <c r="N1557" s="2">
        <v>123</v>
      </c>
      <c r="O1557" s="2">
        <v>869643.77</v>
      </c>
      <c r="P1557" s="2">
        <v>7070.27</v>
      </c>
    </row>
    <row r="1558" spans="1:16" outlineLevel="1" x14ac:dyDescent="0.2">
      <c r="A1558" s="5"/>
      <c r="D1558" s="3" t="s">
        <v>711</v>
      </c>
      <c r="N1558" s="2">
        <f>SUBTOTAL(9,N1557:N1557)</f>
        <v>123</v>
      </c>
      <c r="O1558" s="2">
        <f>SUBTOTAL(9,O1557:O1557)</f>
        <v>869643.77</v>
      </c>
    </row>
    <row r="1559" spans="1:16" outlineLevel="2" x14ac:dyDescent="0.2">
      <c r="A1559" s="5">
        <v>46083</v>
      </c>
      <c r="B1559" s="2">
        <v>157393</v>
      </c>
      <c r="C1559" s="2">
        <v>1</v>
      </c>
      <c r="D1559" s="2" t="s">
        <v>45</v>
      </c>
      <c r="E1559" s="2" t="s">
        <v>125</v>
      </c>
      <c r="F1559" s="2" t="s">
        <v>47</v>
      </c>
      <c r="G1559" s="2" t="s">
        <v>22</v>
      </c>
      <c r="H1559" s="2" t="s">
        <v>23</v>
      </c>
      <c r="I1559" s="2" t="s">
        <v>23</v>
      </c>
      <c r="J1559" s="2">
        <v>41</v>
      </c>
      <c r="K1559" s="2" t="s">
        <v>129</v>
      </c>
      <c r="L1559" s="2">
        <v>1964</v>
      </c>
      <c r="M1559" s="2" t="s">
        <v>49</v>
      </c>
      <c r="N1559" s="2">
        <v>52</v>
      </c>
      <c r="O1559" s="2">
        <v>387342.32</v>
      </c>
      <c r="P1559" s="2">
        <v>7448.89</v>
      </c>
    </row>
    <row r="1560" spans="1:16" outlineLevel="1" x14ac:dyDescent="0.2">
      <c r="A1560" s="5"/>
      <c r="D1560" s="3" t="s">
        <v>733</v>
      </c>
      <c r="N1560" s="2">
        <f>SUBTOTAL(9,N1559:N1559)</f>
        <v>52</v>
      </c>
      <c r="O1560" s="2">
        <f>SUBTOTAL(9,O1559:O1559)</f>
        <v>387342.32</v>
      </c>
    </row>
    <row r="1561" spans="1:16" outlineLevel="2" x14ac:dyDescent="0.2">
      <c r="A1561" s="5">
        <v>46083</v>
      </c>
      <c r="B1561" s="2">
        <v>157393</v>
      </c>
      <c r="C1561" s="2">
        <v>2</v>
      </c>
      <c r="D1561" s="2" t="s">
        <v>226</v>
      </c>
      <c r="E1561" s="2" t="s">
        <v>151</v>
      </c>
      <c r="F1561" s="2" t="s">
        <v>47</v>
      </c>
      <c r="G1561" s="2" t="s">
        <v>22</v>
      </c>
      <c r="H1561" s="2" t="s">
        <v>23</v>
      </c>
      <c r="I1561" s="2" t="s">
        <v>23</v>
      </c>
      <c r="J1561" s="2">
        <v>2</v>
      </c>
      <c r="K1561" s="2" t="s">
        <v>48</v>
      </c>
      <c r="L1561" s="2">
        <v>1964</v>
      </c>
      <c r="M1561" s="2" t="s">
        <v>49</v>
      </c>
      <c r="N1561" s="2">
        <v>16</v>
      </c>
      <c r="O1561" s="2">
        <v>189422.4</v>
      </c>
      <c r="P1561" s="2">
        <v>11838.9</v>
      </c>
    </row>
    <row r="1562" spans="1:16" outlineLevel="1" x14ac:dyDescent="0.2">
      <c r="A1562" s="5"/>
      <c r="D1562" s="3" t="s">
        <v>736</v>
      </c>
      <c r="N1562" s="2">
        <f>SUBTOTAL(9,N1561:N1561)</f>
        <v>16</v>
      </c>
      <c r="O1562" s="2">
        <f>SUBTOTAL(9,O1561:O1561)</f>
        <v>189422.4</v>
      </c>
    </row>
    <row r="1563" spans="1:16" outlineLevel="2" x14ac:dyDescent="0.2">
      <c r="A1563" s="5">
        <v>46083</v>
      </c>
      <c r="B1563" s="2">
        <v>157393</v>
      </c>
      <c r="C1563" s="2">
        <v>3</v>
      </c>
      <c r="D1563" s="2" t="s">
        <v>45</v>
      </c>
      <c r="E1563" s="2" t="s">
        <v>228</v>
      </c>
      <c r="F1563" s="2" t="s">
        <v>47</v>
      </c>
      <c r="G1563" s="2" t="s">
        <v>22</v>
      </c>
      <c r="H1563" s="2" t="s">
        <v>23</v>
      </c>
      <c r="I1563" s="2" t="s">
        <v>23</v>
      </c>
      <c r="J1563" s="2">
        <v>41</v>
      </c>
      <c r="K1563" s="2" t="s">
        <v>129</v>
      </c>
      <c r="L1563" s="2">
        <v>1964</v>
      </c>
      <c r="M1563" s="2" t="s">
        <v>49</v>
      </c>
      <c r="N1563" s="2">
        <v>32</v>
      </c>
      <c r="O1563" s="2">
        <v>511503.1</v>
      </c>
      <c r="P1563" s="2">
        <v>15984.47</v>
      </c>
    </row>
    <row r="1564" spans="1:16" outlineLevel="1" x14ac:dyDescent="0.2">
      <c r="A1564" s="5"/>
      <c r="D1564" s="3" t="s">
        <v>733</v>
      </c>
      <c r="N1564" s="2">
        <f>SUBTOTAL(9,N1563:N1563)</f>
        <v>32</v>
      </c>
      <c r="O1564" s="2">
        <f>SUBTOTAL(9,O1563:O1563)</f>
        <v>511503.1</v>
      </c>
    </row>
    <row r="1565" spans="1:16" outlineLevel="2" x14ac:dyDescent="0.2">
      <c r="A1565" s="5">
        <v>46083</v>
      </c>
      <c r="B1565" s="2">
        <v>157393</v>
      </c>
      <c r="C1565" s="2">
        <v>4</v>
      </c>
      <c r="D1565" s="2" t="s">
        <v>226</v>
      </c>
      <c r="E1565" s="2" t="s">
        <v>227</v>
      </c>
      <c r="F1565" s="2" t="s">
        <v>47</v>
      </c>
      <c r="G1565" s="2" t="s">
        <v>22</v>
      </c>
      <c r="H1565" s="2" t="s">
        <v>23</v>
      </c>
      <c r="I1565" s="2" t="s">
        <v>23</v>
      </c>
      <c r="J1565" s="2">
        <v>41</v>
      </c>
      <c r="K1565" s="2" t="s">
        <v>129</v>
      </c>
      <c r="L1565" s="2">
        <v>1964</v>
      </c>
      <c r="M1565" s="2" t="s">
        <v>49</v>
      </c>
      <c r="N1565" s="2">
        <v>103</v>
      </c>
      <c r="O1565" s="2">
        <v>2195784.92</v>
      </c>
      <c r="P1565" s="2">
        <v>21318.3</v>
      </c>
    </row>
    <row r="1566" spans="1:16" outlineLevel="1" x14ac:dyDescent="0.2">
      <c r="A1566" s="5"/>
      <c r="D1566" s="3" t="s">
        <v>736</v>
      </c>
      <c r="N1566" s="2">
        <f>SUBTOTAL(9,N1565:N1565)</f>
        <v>103</v>
      </c>
      <c r="O1566" s="2">
        <f>SUBTOTAL(9,O1565:O1565)</f>
        <v>2195784.92</v>
      </c>
    </row>
    <row r="1567" spans="1:16" outlineLevel="2" x14ac:dyDescent="0.2">
      <c r="A1567" s="5">
        <v>46083</v>
      </c>
      <c r="B1567" s="2">
        <v>157393</v>
      </c>
      <c r="C1567" s="2">
        <v>5</v>
      </c>
      <c r="D1567" s="2" t="s">
        <v>45</v>
      </c>
      <c r="E1567" s="2" t="s">
        <v>227</v>
      </c>
      <c r="F1567" s="2" t="s">
        <v>47</v>
      </c>
      <c r="G1567" s="2" t="s">
        <v>22</v>
      </c>
      <c r="H1567" s="2" t="s">
        <v>23</v>
      </c>
      <c r="I1567" s="2" t="s">
        <v>23</v>
      </c>
      <c r="J1567" s="2">
        <v>41</v>
      </c>
      <c r="K1567" s="2" t="s">
        <v>129</v>
      </c>
      <c r="L1567" s="2">
        <v>1964</v>
      </c>
      <c r="M1567" s="2" t="s">
        <v>49</v>
      </c>
      <c r="N1567" s="2">
        <v>104</v>
      </c>
      <c r="O1567" s="2">
        <v>1446348.67</v>
      </c>
      <c r="P1567" s="2">
        <v>13907.2</v>
      </c>
    </row>
    <row r="1568" spans="1:16" outlineLevel="1" x14ac:dyDescent="0.2">
      <c r="A1568" s="5"/>
      <c r="D1568" s="3" t="s">
        <v>733</v>
      </c>
      <c r="N1568" s="2">
        <f>SUBTOTAL(9,N1567:N1567)</f>
        <v>104</v>
      </c>
      <c r="O1568" s="2">
        <f>SUBTOTAL(9,O1567:O1567)</f>
        <v>1446348.67</v>
      </c>
    </row>
    <row r="1569" spans="1:16" outlineLevel="2" x14ac:dyDescent="0.2">
      <c r="A1569" s="5">
        <v>46083</v>
      </c>
      <c r="B1569" s="2">
        <v>157394</v>
      </c>
      <c r="C1569" s="2">
        <v>1</v>
      </c>
      <c r="D1569" s="2" t="s">
        <v>367</v>
      </c>
      <c r="E1569" s="2" t="s">
        <v>368</v>
      </c>
      <c r="F1569" s="2" t="s">
        <v>31</v>
      </c>
      <c r="G1569" s="2" t="s">
        <v>22</v>
      </c>
      <c r="H1569" s="2" t="s">
        <v>23</v>
      </c>
      <c r="I1569" s="2" t="s">
        <v>23</v>
      </c>
      <c r="J1569" s="2">
        <v>1</v>
      </c>
      <c r="K1569" s="2" t="s">
        <v>24</v>
      </c>
      <c r="L1569" s="2">
        <v>226</v>
      </c>
      <c r="M1569" s="2" t="s">
        <v>59</v>
      </c>
      <c r="N1569" s="2">
        <v>80</v>
      </c>
      <c r="O1569" s="2">
        <v>2024209</v>
      </c>
      <c r="P1569" s="2">
        <v>25302.61</v>
      </c>
    </row>
    <row r="1570" spans="1:16" outlineLevel="1" x14ac:dyDescent="0.2">
      <c r="A1570" s="5"/>
      <c r="D1570" s="3" t="s">
        <v>764</v>
      </c>
      <c r="N1570" s="2">
        <f>SUBTOTAL(9,N1569:N1569)</f>
        <v>80</v>
      </c>
      <c r="O1570" s="2">
        <f>SUBTOTAL(9,O1569:O1569)</f>
        <v>2024209</v>
      </c>
    </row>
    <row r="1571" spans="1:16" outlineLevel="2" x14ac:dyDescent="0.2">
      <c r="A1571" s="5">
        <v>46083</v>
      </c>
      <c r="B1571" s="2">
        <v>157394</v>
      </c>
      <c r="C1571" s="2">
        <v>2</v>
      </c>
      <c r="D1571" s="2" t="s">
        <v>369</v>
      </c>
      <c r="E1571" s="2" t="s">
        <v>348</v>
      </c>
      <c r="F1571" s="2" t="s">
        <v>31</v>
      </c>
      <c r="G1571" s="2" t="s">
        <v>22</v>
      </c>
      <c r="H1571" s="2" t="s">
        <v>23</v>
      </c>
      <c r="I1571" s="2" t="s">
        <v>23</v>
      </c>
      <c r="J1571" s="2">
        <v>1</v>
      </c>
      <c r="K1571" s="2" t="s">
        <v>24</v>
      </c>
      <c r="L1571" s="2">
        <v>226</v>
      </c>
      <c r="M1571" s="2" t="s">
        <v>59</v>
      </c>
      <c r="N1571" s="2">
        <v>104</v>
      </c>
      <c r="O1571" s="2">
        <v>2787273.55</v>
      </c>
      <c r="P1571" s="2">
        <v>26800.71</v>
      </c>
    </row>
    <row r="1572" spans="1:16" outlineLevel="1" x14ac:dyDescent="0.2">
      <c r="A1572" s="5"/>
      <c r="D1572" s="3" t="s">
        <v>765</v>
      </c>
      <c r="N1572" s="2">
        <f>SUBTOTAL(9,N1571:N1571)</f>
        <v>104</v>
      </c>
      <c r="O1572" s="2">
        <f>SUBTOTAL(9,O1571:O1571)</f>
        <v>2787273.55</v>
      </c>
    </row>
    <row r="1573" spans="1:16" outlineLevel="2" x14ac:dyDescent="0.2">
      <c r="A1573" s="5">
        <v>46083</v>
      </c>
      <c r="B1573" s="2">
        <v>157394</v>
      </c>
      <c r="C1573" s="2">
        <v>3</v>
      </c>
      <c r="D1573" s="2" t="s">
        <v>336</v>
      </c>
      <c r="E1573" s="2" t="s">
        <v>370</v>
      </c>
      <c r="F1573" s="2" t="s">
        <v>31</v>
      </c>
      <c r="G1573" s="2" t="s">
        <v>22</v>
      </c>
      <c r="H1573" s="2" t="s">
        <v>23</v>
      </c>
      <c r="I1573" s="2" t="s">
        <v>371</v>
      </c>
      <c r="J1573" s="2">
        <v>1</v>
      </c>
      <c r="K1573" s="2" t="s">
        <v>24</v>
      </c>
      <c r="L1573" s="2">
        <v>226</v>
      </c>
      <c r="M1573" s="2" t="s">
        <v>59</v>
      </c>
      <c r="N1573" s="2">
        <v>47</v>
      </c>
      <c r="O1573" s="2">
        <v>1667220.99</v>
      </c>
      <c r="P1573" s="2">
        <v>35472.79</v>
      </c>
    </row>
    <row r="1574" spans="1:16" outlineLevel="1" x14ac:dyDescent="0.2">
      <c r="A1574" s="5"/>
      <c r="D1574" s="3" t="s">
        <v>753</v>
      </c>
      <c r="N1574" s="2">
        <f>SUBTOTAL(9,N1573:N1573)</f>
        <v>47</v>
      </c>
      <c r="O1574" s="2">
        <f>SUBTOTAL(9,O1573:O1573)</f>
        <v>1667220.99</v>
      </c>
    </row>
    <row r="1575" spans="1:16" outlineLevel="2" x14ac:dyDescent="0.2">
      <c r="A1575" s="5">
        <v>46083</v>
      </c>
      <c r="B1575" s="2">
        <v>157394</v>
      </c>
      <c r="C1575" s="2">
        <v>4</v>
      </c>
      <c r="D1575" s="2" t="s">
        <v>369</v>
      </c>
      <c r="E1575" s="2" t="s">
        <v>370</v>
      </c>
      <c r="F1575" s="2" t="s">
        <v>31</v>
      </c>
      <c r="G1575" s="2" t="s">
        <v>22</v>
      </c>
      <c r="H1575" s="2" t="s">
        <v>23</v>
      </c>
      <c r="I1575" s="2" t="s">
        <v>180</v>
      </c>
      <c r="J1575" s="2">
        <v>1</v>
      </c>
      <c r="K1575" s="2" t="s">
        <v>24</v>
      </c>
      <c r="L1575" s="2">
        <v>226</v>
      </c>
      <c r="M1575" s="2" t="s">
        <v>59</v>
      </c>
      <c r="N1575" s="2">
        <v>48</v>
      </c>
      <c r="O1575" s="2">
        <v>1356090.06</v>
      </c>
      <c r="P1575" s="2">
        <v>28251.88</v>
      </c>
    </row>
    <row r="1576" spans="1:16" outlineLevel="1" x14ac:dyDescent="0.2">
      <c r="A1576" s="5"/>
      <c r="D1576" s="3" t="s">
        <v>765</v>
      </c>
      <c r="N1576" s="2">
        <f>SUBTOTAL(9,N1575:N1575)</f>
        <v>48</v>
      </c>
      <c r="O1576" s="2">
        <f>SUBTOTAL(9,O1575:O1575)</f>
        <v>1356090.06</v>
      </c>
    </row>
    <row r="1577" spans="1:16" outlineLevel="2" x14ac:dyDescent="0.2">
      <c r="A1577" s="5">
        <v>46083</v>
      </c>
      <c r="B1577" s="2">
        <v>157394</v>
      </c>
      <c r="C1577" s="2">
        <v>5</v>
      </c>
      <c r="D1577" s="2" t="s">
        <v>367</v>
      </c>
      <c r="E1577" s="2" t="s">
        <v>363</v>
      </c>
      <c r="F1577" s="2" t="s">
        <v>31</v>
      </c>
      <c r="G1577" s="2" t="s">
        <v>22</v>
      </c>
      <c r="H1577" s="2" t="s">
        <v>23</v>
      </c>
      <c r="I1577" s="2" t="s">
        <v>23</v>
      </c>
      <c r="J1577" s="2">
        <v>1</v>
      </c>
      <c r="K1577" s="2" t="s">
        <v>24</v>
      </c>
      <c r="L1577" s="2">
        <v>226</v>
      </c>
      <c r="M1577" s="2" t="s">
        <v>59</v>
      </c>
      <c r="N1577" s="2">
        <v>64</v>
      </c>
      <c r="O1577" s="2">
        <v>1864748.8</v>
      </c>
      <c r="P1577" s="2">
        <v>29136.7</v>
      </c>
    </row>
    <row r="1578" spans="1:16" outlineLevel="1" x14ac:dyDescent="0.2">
      <c r="A1578" s="5"/>
      <c r="D1578" s="3" t="s">
        <v>764</v>
      </c>
      <c r="N1578" s="2">
        <f>SUBTOTAL(9,N1577:N1577)</f>
        <v>64</v>
      </c>
      <c r="O1578" s="2">
        <f>SUBTOTAL(9,O1577:O1577)</f>
        <v>1864748.8</v>
      </c>
    </row>
    <row r="1579" spans="1:16" outlineLevel="2" x14ac:dyDescent="0.2">
      <c r="A1579" s="5">
        <v>46083</v>
      </c>
      <c r="B1579" s="2">
        <v>157394</v>
      </c>
      <c r="C1579" s="2">
        <v>6</v>
      </c>
      <c r="D1579" s="2" t="s">
        <v>372</v>
      </c>
      <c r="E1579" s="2" t="s">
        <v>363</v>
      </c>
      <c r="F1579" s="2" t="s">
        <v>31</v>
      </c>
      <c r="G1579" s="2" t="s">
        <v>291</v>
      </c>
      <c r="H1579" s="2" t="s">
        <v>23</v>
      </c>
      <c r="I1579" s="2" t="s">
        <v>23</v>
      </c>
      <c r="J1579" s="2">
        <v>11</v>
      </c>
      <c r="K1579" s="2" t="s">
        <v>257</v>
      </c>
      <c r="L1579" s="2">
        <v>226</v>
      </c>
      <c r="M1579" s="2" t="s">
        <v>59</v>
      </c>
      <c r="N1579" s="2">
        <v>64</v>
      </c>
      <c r="O1579" s="2">
        <v>1632614.95</v>
      </c>
      <c r="P1579" s="2">
        <v>25509.61</v>
      </c>
    </row>
    <row r="1580" spans="1:16" outlineLevel="1" x14ac:dyDescent="0.2">
      <c r="A1580" s="5"/>
      <c r="D1580" s="3" t="s">
        <v>766</v>
      </c>
      <c r="N1580" s="2">
        <f>SUBTOTAL(9,N1579:N1579)</f>
        <v>64</v>
      </c>
      <c r="O1580" s="2">
        <f>SUBTOTAL(9,O1579:O1579)</f>
        <v>1632614.95</v>
      </c>
    </row>
    <row r="1581" spans="1:16" outlineLevel="2" x14ac:dyDescent="0.2">
      <c r="A1581" s="5">
        <v>46083</v>
      </c>
      <c r="B1581" s="2">
        <v>157394</v>
      </c>
      <c r="C1581" s="2">
        <v>7</v>
      </c>
      <c r="D1581" s="2" t="s">
        <v>367</v>
      </c>
      <c r="E1581" s="2" t="s">
        <v>373</v>
      </c>
      <c r="F1581" s="2" t="s">
        <v>31</v>
      </c>
      <c r="G1581" s="2" t="s">
        <v>349</v>
      </c>
      <c r="H1581" s="2" t="s">
        <v>23</v>
      </c>
      <c r="I1581" s="2" t="s">
        <v>23</v>
      </c>
      <c r="J1581" s="2">
        <v>2</v>
      </c>
      <c r="K1581" s="2" t="s">
        <v>48</v>
      </c>
      <c r="L1581" s="2">
        <v>226</v>
      </c>
      <c r="M1581" s="2" t="s">
        <v>59</v>
      </c>
      <c r="N1581" s="2">
        <v>61</v>
      </c>
      <c r="O1581" s="2">
        <v>1399849.95</v>
      </c>
      <c r="P1581" s="2">
        <v>22948.36</v>
      </c>
    </row>
    <row r="1582" spans="1:16" outlineLevel="1" x14ac:dyDescent="0.2">
      <c r="A1582" s="5"/>
      <c r="D1582" s="3" t="s">
        <v>764</v>
      </c>
      <c r="N1582" s="2">
        <f>SUBTOTAL(9,N1581:N1581)</f>
        <v>61</v>
      </c>
      <c r="O1582" s="2">
        <f>SUBTOTAL(9,O1581:O1581)</f>
        <v>1399849.95</v>
      </c>
    </row>
    <row r="1583" spans="1:16" outlineLevel="2" x14ac:dyDescent="0.2">
      <c r="A1583" s="5">
        <v>46085</v>
      </c>
      <c r="B1583" s="2">
        <v>157397</v>
      </c>
      <c r="C1583" s="2">
        <v>311</v>
      </c>
      <c r="D1583" s="2" t="s">
        <v>45</v>
      </c>
      <c r="E1583" s="2" t="s">
        <v>228</v>
      </c>
      <c r="F1583" s="2" t="s">
        <v>55</v>
      </c>
      <c r="G1583" s="2" t="s">
        <v>22</v>
      </c>
      <c r="H1583" s="2" t="s">
        <v>23</v>
      </c>
      <c r="I1583" s="2" t="s">
        <v>23</v>
      </c>
      <c r="J1583" s="2">
        <v>2</v>
      </c>
      <c r="K1583" s="2" t="s">
        <v>48</v>
      </c>
      <c r="L1583" s="2">
        <v>1964</v>
      </c>
      <c r="M1583" s="2" t="s">
        <v>49</v>
      </c>
      <c r="N1583" s="2">
        <v>5</v>
      </c>
      <c r="O1583" s="2">
        <v>33991.67</v>
      </c>
      <c r="P1583" s="2">
        <v>6798.33</v>
      </c>
    </row>
    <row r="1584" spans="1:16" outlineLevel="1" x14ac:dyDescent="0.2">
      <c r="A1584" s="5"/>
      <c r="D1584" s="3" t="s">
        <v>733</v>
      </c>
      <c r="N1584" s="2">
        <f>SUBTOTAL(9,N1583:N1583)</f>
        <v>5</v>
      </c>
      <c r="O1584" s="2">
        <f>SUBTOTAL(9,O1583:O1583)</f>
        <v>33991.67</v>
      </c>
    </row>
    <row r="1585" spans="1:16" outlineLevel="2" x14ac:dyDescent="0.2">
      <c r="A1585" s="5">
        <v>46092</v>
      </c>
      <c r="B1585" s="2">
        <v>157399</v>
      </c>
      <c r="C1585" s="2">
        <v>1</v>
      </c>
      <c r="D1585" s="2" t="s">
        <v>70</v>
      </c>
      <c r="E1585" s="2" t="s">
        <v>374</v>
      </c>
      <c r="F1585" s="2" t="s">
        <v>55</v>
      </c>
      <c r="G1585" s="2" t="s">
        <v>23</v>
      </c>
      <c r="H1585" s="2" t="s">
        <v>23</v>
      </c>
      <c r="I1585" s="2" t="s">
        <v>23</v>
      </c>
      <c r="J1585" s="2">
        <v>86</v>
      </c>
      <c r="K1585" s="2" t="s">
        <v>73</v>
      </c>
      <c r="L1585" s="2">
        <v>916</v>
      </c>
      <c r="M1585" s="2" t="s">
        <v>375</v>
      </c>
      <c r="N1585" s="2">
        <v>53</v>
      </c>
      <c r="O1585" s="2">
        <v>442641.01</v>
      </c>
      <c r="P1585" s="2">
        <v>8351.7199999999993</v>
      </c>
    </row>
    <row r="1586" spans="1:16" outlineLevel="1" x14ac:dyDescent="0.2">
      <c r="A1586" s="5"/>
      <c r="D1586" s="3" t="s">
        <v>695</v>
      </c>
      <c r="N1586" s="2">
        <f>SUBTOTAL(9,N1585:N1585)</f>
        <v>53</v>
      </c>
      <c r="O1586" s="2">
        <f>SUBTOTAL(9,O1585:O1585)</f>
        <v>442641.01</v>
      </c>
    </row>
    <row r="1587" spans="1:16" outlineLevel="2" x14ac:dyDescent="0.2">
      <c r="A1587" s="5">
        <v>46083</v>
      </c>
      <c r="B1587" s="2">
        <v>157404</v>
      </c>
      <c r="C1587" s="2">
        <v>1</v>
      </c>
      <c r="D1587" s="2" t="s">
        <v>38</v>
      </c>
      <c r="E1587" s="2" t="s">
        <v>39</v>
      </c>
      <c r="F1587" s="2" t="s">
        <v>63</v>
      </c>
      <c r="G1587" s="2" t="s">
        <v>22</v>
      </c>
      <c r="H1587" s="2" t="s">
        <v>23</v>
      </c>
      <c r="I1587" s="2" t="s">
        <v>243</v>
      </c>
      <c r="J1587" s="2">
        <v>1</v>
      </c>
      <c r="K1587" s="2" t="s">
        <v>24</v>
      </c>
      <c r="L1587" s="2">
        <v>1846</v>
      </c>
      <c r="M1587" s="2" t="s">
        <v>134</v>
      </c>
      <c r="N1587" s="2">
        <v>348</v>
      </c>
      <c r="O1587" s="2">
        <v>25412911.649999999</v>
      </c>
      <c r="P1587" s="2">
        <v>73025.61</v>
      </c>
    </row>
    <row r="1588" spans="1:16" outlineLevel="2" x14ac:dyDescent="0.2">
      <c r="A1588" s="5">
        <v>46083</v>
      </c>
      <c r="B1588" s="2">
        <v>157404</v>
      </c>
      <c r="C1588" s="2">
        <v>2</v>
      </c>
      <c r="D1588" s="2" t="s">
        <v>38</v>
      </c>
      <c r="E1588" s="2" t="s">
        <v>39</v>
      </c>
      <c r="F1588" s="2" t="s">
        <v>63</v>
      </c>
      <c r="G1588" s="2" t="s">
        <v>22</v>
      </c>
      <c r="H1588" s="2" t="s">
        <v>23</v>
      </c>
      <c r="I1588" s="2" t="s">
        <v>116</v>
      </c>
      <c r="J1588" s="2">
        <v>1</v>
      </c>
      <c r="K1588" s="2" t="s">
        <v>24</v>
      </c>
      <c r="L1588" s="2">
        <v>1846</v>
      </c>
      <c r="M1588" s="2" t="s">
        <v>134</v>
      </c>
      <c r="N1588" s="2">
        <v>32</v>
      </c>
      <c r="O1588" s="2">
        <v>2380138.2400000002</v>
      </c>
      <c r="P1588" s="2">
        <v>74379.320000000007</v>
      </c>
    </row>
    <row r="1589" spans="1:16" outlineLevel="2" x14ac:dyDescent="0.2">
      <c r="A1589" s="5">
        <v>46083</v>
      </c>
      <c r="B1589" s="2">
        <v>157404</v>
      </c>
      <c r="C1589" s="2">
        <v>3</v>
      </c>
      <c r="D1589" s="2" t="s">
        <v>38</v>
      </c>
      <c r="E1589" s="2" t="s">
        <v>39</v>
      </c>
      <c r="F1589" s="2" t="s">
        <v>63</v>
      </c>
      <c r="G1589" s="2" t="s">
        <v>22</v>
      </c>
      <c r="H1589" s="2" t="s">
        <v>23</v>
      </c>
      <c r="I1589" s="2" t="s">
        <v>135</v>
      </c>
      <c r="J1589" s="2">
        <v>1</v>
      </c>
      <c r="K1589" s="2" t="s">
        <v>24</v>
      </c>
      <c r="L1589" s="2">
        <v>1846</v>
      </c>
      <c r="M1589" s="2" t="s">
        <v>134</v>
      </c>
      <c r="N1589" s="2">
        <v>440</v>
      </c>
      <c r="O1589" s="2">
        <v>35292148.369999997</v>
      </c>
      <c r="P1589" s="2">
        <v>80209.429999999993</v>
      </c>
    </row>
    <row r="1590" spans="1:16" outlineLevel="2" x14ac:dyDescent="0.2">
      <c r="A1590" s="5">
        <v>46083</v>
      </c>
      <c r="B1590" s="2">
        <v>157404</v>
      </c>
      <c r="C1590" s="2">
        <v>4</v>
      </c>
      <c r="D1590" s="2" t="s">
        <v>38</v>
      </c>
      <c r="E1590" s="2" t="s">
        <v>39</v>
      </c>
      <c r="F1590" s="2" t="s">
        <v>63</v>
      </c>
      <c r="G1590" s="2" t="s">
        <v>22</v>
      </c>
      <c r="H1590" s="2" t="s">
        <v>23</v>
      </c>
      <c r="I1590" s="2" t="s">
        <v>133</v>
      </c>
      <c r="J1590" s="2">
        <v>1</v>
      </c>
      <c r="K1590" s="2" t="s">
        <v>24</v>
      </c>
      <c r="L1590" s="2">
        <v>1846</v>
      </c>
      <c r="M1590" s="2" t="s">
        <v>134</v>
      </c>
      <c r="N1590" s="2">
        <v>348</v>
      </c>
      <c r="O1590" s="2">
        <v>22488152.120000001</v>
      </c>
      <c r="P1590" s="2">
        <v>64621.13</v>
      </c>
    </row>
    <row r="1591" spans="1:16" outlineLevel="1" x14ac:dyDescent="0.2">
      <c r="A1591" s="5"/>
      <c r="D1591" s="3" t="s">
        <v>721</v>
      </c>
      <c r="N1591" s="2">
        <f>SUBTOTAL(9,N1587:N1590)</f>
        <v>1168</v>
      </c>
      <c r="O1591" s="2">
        <f>SUBTOTAL(9,O1587:O1590)</f>
        <v>85573350.379999995</v>
      </c>
    </row>
    <row r="1592" spans="1:16" outlineLevel="2" x14ac:dyDescent="0.2">
      <c r="A1592" s="5">
        <v>46108</v>
      </c>
      <c r="B1592" s="2">
        <v>157405</v>
      </c>
      <c r="C1592" s="2">
        <v>2</v>
      </c>
      <c r="D1592" s="2" t="s">
        <v>107</v>
      </c>
      <c r="E1592" s="2" t="s">
        <v>55</v>
      </c>
      <c r="F1592" s="2" t="s">
        <v>23</v>
      </c>
      <c r="G1592" s="2" t="s">
        <v>23</v>
      </c>
      <c r="H1592" s="2" t="s">
        <v>23</v>
      </c>
      <c r="I1592" s="2" t="s">
        <v>23</v>
      </c>
      <c r="J1592" s="2">
        <v>1</v>
      </c>
      <c r="K1592" s="2" t="s">
        <v>24</v>
      </c>
      <c r="L1592" s="2">
        <v>2104</v>
      </c>
      <c r="M1592" s="2" t="s">
        <v>118</v>
      </c>
      <c r="N1592" s="2">
        <v>24</v>
      </c>
      <c r="O1592" s="2">
        <v>314003.78999999998</v>
      </c>
      <c r="P1592" s="2">
        <v>13083.49</v>
      </c>
    </row>
    <row r="1593" spans="1:16" outlineLevel="1" x14ac:dyDescent="0.2">
      <c r="A1593" s="5"/>
      <c r="D1593" s="3" t="s">
        <v>726</v>
      </c>
      <c r="N1593" s="2">
        <f>SUBTOTAL(9,N1592:N1592)</f>
        <v>24</v>
      </c>
      <c r="O1593" s="2">
        <f>SUBTOTAL(9,O1592:O1592)</f>
        <v>314003.78999999998</v>
      </c>
    </row>
    <row r="1594" spans="1:16" outlineLevel="2" x14ac:dyDescent="0.2">
      <c r="A1594" s="5">
        <v>46087</v>
      </c>
      <c r="B1594" s="2">
        <v>157408</v>
      </c>
      <c r="C1594" s="2">
        <v>1</v>
      </c>
      <c r="D1594" s="2" t="s">
        <v>38</v>
      </c>
      <c r="E1594" s="2" t="s">
        <v>39</v>
      </c>
      <c r="F1594" s="2" t="s">
        <v>63</v>
      </c>
      <c r="G1594" s="2" t="s">
        <v>22</v>
      </c>
      <c r="H1594" s="2" t="s">
        <v>23</v>
      </c>
      <c r="I1594" s="2" t="s">
        <v>243</v>
      </c>
      <c r="J1594" s="2">
        <v>1</v>
      </c>
      <c r="K1594" s="2" t="s">
        <v>24</v>
      </c>
      <c r="L1594" s="2">
        <v>1846</v>
      </c>
      <c r="M1594" s="2" t="s">
        <v>134</v>
      </c>
      <c r="N1594" s="2">
        <v>295</v>
      </c>
      <c r="O1594" s="2">
        <v>22951878.559999999</v>
      </c>
      <c r="P1594" s="2">
        <v>77802.98</v>
      </c>
    </row>
    <row r="1595" spans="1:16" outlineLevel="2" x14ac:dyDescent="0.2">
      <c r="A1595" s="5">
        <v>46083</v>
      </c>
      <c r="B1595" s="2">
        <v>157409</v>
      </c>
      <c r="C1595" s="2">
        <v>2</v>
      </c>
      <c r="D1595" s="2" t="s">
        <v>38</v>
      </c>
      <c r="E1595" s="2" t="s">
        <v>39</v>
      </c>
      <c r="F1595" s="2" t="s">
        <v>63</v>
      </c>
      <c r="G1595" s="2" t="s">
        <v>22</v>
      </c>
      <c r="H1595" s="2" t="s">
        <v>23</v>
      </c>
      <c r="I1595" s="2" t="s">
        <v>116</v>
      </c>
      <c r="J1595" s="2">
        <v>1</v>
      </c>
      <c r="K1595" s="2" t="s">
        <v>24</v>
      </c>
      <c r="L1595" s="2">
        <v>1846</v>
      </c>
      <c r="M1595" s="2" t="s">
        <v>134</v>
      </c>
      <c r="N1595" s="2">
        <v>144</v>
      </c>
      <c r="O1595" s="2">
        <v>11304155.09</v>
      </c>
      <c r="P1595" s="2">
        <v>78501.08</v>
      </c>
    </row>
    <row r="1596" spans="1:16" outlineLevel="2" x14ac:dyDescent="0.2">
      <c r="A1596" s="5">
        <v>46083</v>
      </c>
      <c r="B1596" s="2">
        <v>157409</v>
      </c>
      <c r="C1596" s="2">
        <v>4</v>
      </c>
      <c r="D1596" s="2" t="s">
        <v>38</v>
      </c>
      <c r="E1596" s="2" t="s">
        <v>39</v>
      </c>
      <c r="F1596" s="2" t="s">
        <v>63</v>
      </c>
      <c r="G1596" s="2" t="s">
        <v>22</v>
      </c>
      <c r="H1596" s="2" t="s">
        <v>23</v>
      </c>
      <c r="I1596" s="2" t="s">
        <v>133</v>
      </c>
      <c r="J1596" s="2">
        <v>1</v>
      </c>
      <c r="K1596" s="2" t="s">
        <v>24</v>
      </c>
      <c r="L1596" s="2">
        <v>1846</v>
      </c>
      <c r="M1596" s="2" t="s">
        <v>134</v>
      </c>
      <c r="N1596" s="2">
        <v>88</v>
      </c>
      <c r="O1596" s="2">
        <v>5641811.1200000001</v>
      </c>
      <c r="P1596" s="2">
        <v>64111.49</v>
      </c>
    </row>
    <row r="1597" spans="1:16" outlineLevel="1" x14ac:dyDescent="0.2">
      <c r="A1597" s="5"/>
      <c r="D1597" s="3" t="s">
        <v>721</v>
      </c>
      <c r="N1597" s="2">
        <f>SUBTOTAL(9,N1594:N1596)</f>
        <v>527</v>
      </c>
      <c r="O1597" s="2">
        <f>SUBTOTAL(9,O1594:O1596)</f>
        <v>39897844.769999996</v>
      </c>
    </row>
    <row r="1598" spans="1:16" outlineLevel="2" x14ac:dyDescent="0.2">
      <c r="A1598" s="5">
        <v>46139</v>
      </c>
      <c r="B1598" s="2">
        <v>157409</v>
      </c>
      <c r="C1598" s="2">
        <v>800</v>
      </c>
      <c r="D1598" s="2" t="s">
        <v>57</v>
      </c>
      <c r="E1598" s="2" t="s">
        <v>55</v>
      </c>
      <c r="F1598" s="2" t="s">
        <v>23</v>
      </c>
      <c r="G1598" s="2" t="s">
        <v>23</v>
      </c>
      <c r="H1598" s="2" t="s">
        <v>23</v>
      </c>
      <c r="I1598" s="2" t="s">
        <v>23</v>
      </c>
      <c r="J1598" s="2">
        <v>1</v>
      </c>
      <c r="K1598" s="2" t="s">
        <v>24</v>
      </c>
      <c r="L1598" s="2">
        <v>25177</v>
      </c>
      <c r="M1598" s="2" t="s">
        <v>32</v>
      </c>
      <c r="N1598" s="2">
        <v>16</v>
      </c>
      <c r="O1598" s="2">
        <v>447556.52</v>
      </c>
      <c r="P1598" s="2">
        <v>27972.28</v>
      </c>
    </row>
    <row r="1599" spans="1:16" outlineLevel="1" x14ac:dyDescent="0.2">
      <c r="A1599" s="5"/>
      <c r="D1599" s="3" t="s">
        <v>716</v>
      </c>
      <c r="N1599" s="2">
        <f>SUBTOTAL(9,N1598:N1598)</f>
        <v>16</v>
      </c>
      <c r="O1599" s="2">
        <f>SUBTOTAL(9,O1598:O1598)</f>
        <v>447556.52</v>
      </c>
    </row>
    <row r="1600" spans="1:16" outlineLevel="2" x14ac:dyDescent="0.2">
      <c r="A1600" s="5">
        <v>46232</v>
      </c>
      <c r="B1600" s="2">
        <v>157414</v>
      </c>
      <c r="C1600" s="2">
        <v>9</v>
      </c>
      <c r="D1600" s="2" t="s">
        <v>60</v>
      </c>
      <c r="E1600" s="2" t="s">
        <v>23</v>
      </c>
      <c r="F1600" s="2" t="s">
        <v>31</v>
      </c>
      <c r="G1600" s="2" t="s">
        <v>22</v>
      </c>
      <c r="H1600" s="2" t="s">
        <v>23</v>
      </c>
      <c r="I1600" s="2" t="s">
        <v>23</v>
      </c>
      <c r="J1600" s="2">
        <v>1</v>
      </c>
      <c r="K1600" s="2" t="s">
        <v>24</v>
      </c>
      <c r="L1600" s="2">
        <v>226</v>
      </c>
      <c r="M1600" s="2" t="s">
        <v>59</v>
      </c>
      <c r="N1600" s="2">
        <v>8</v>
      </c>
      <c r="O1600" s="2">
        <v>90927.88</v>
      </c>
      <c r="P1600" s="2">
        <v>11365.99</v>
      </c>
    </row>
    <row r="1601" spans="1:16" outlineLevel="1" x14ac:dyDescent="0.2">
      <c r="A1601" s="5"/>
      <c r="D1601" s="3" t="s">
        <v>728</v>
      </c>
      <c r="N1601" s="2">
        <f>SUBTOTAL(9,N1600:N1600)</f>
        <v>8</v>
      </c>
      <c r="O1601" s="2">
        <f>SUBTOTAL(9,O1600:O1600)</f>
        <v>90927.88</v>
      </c>
    </row>
    <row r="1602" spans="1:16" outlineLevel="2" x14ac:dyDescent="0.2">
      <c r="A1602" s="5">
        <v>46087</v>
      </c>
      <c r="B1602" s="2">
        <v>157416</v>
      </c>
      <c r="C1602" s="2">
        <v>315</v>
      </c>
      <c r="D1602" s="2" t="s">
        <v>45</v>
      </c>
      <c r="E1602" s="2" t="s">
        <v>228</v>
      </c>
      <c r="F1602" s="2" t="s">
        <v>55</v>
      </c>
      <c r="G1602" s="2" t="s">
        <v>23</v>
      </c>
      <c r="H1602" s="2" t="s">
        <v>23</v>
      </c>
      <c r="I1602" s="2" t="s">
        <v>23</v>
      </c>
      <c r="J1602" s="2">
        <v>2</v>
      </c>
      <c r="K1602" s="2" t="s">
        <v>48</v>
      </c>
      <c r="L1602" s="2">
        <v>1964</v>
      </c>
      <c r="M1602" s="2" t="s">
        <v>49</v>
      </c>
      <c r="N1602" s="2">
        <v>10</v>
      </c>
      <c r="O1602" s="2">
        <v>86652.1</v>
      </c>
      <c r="P1602" s="2">
        <v>8665.2099999999991</v>
      </c>
    </row>
    <row r="1603" spans="1:16" outlineLevel="1" x14ac:dyDescent="0.2">
      <c r="A1603" s="5"/>
      <c r="D1603" s="3" t="s">
        <v>733</v>
      </c>
      <c r="N1603" s="2">
        <f>SUBTOTAL(9,N1602:N1602)</f>
        <v>10</v>
      </c>
      <c r="O1603" s="2">
        <f>SUBTOTAL(9,O1602:O1602)</f>
        <v>86652.1</v>
      </c>
    </row>
    <row r="1604" spans="1:16" outlineLevel="2" x14ac:dyDescent="0.2">
      <c r="A1604" s="5">
        <v>46083</v>
      </c>
      <c r="B1604" s="2">
        <v>157418</v>
      </c>
      <c r="C1604" s="2">
        <v>1</v>
      </c>
      <c r="D1604" s="2" t="s">
        <v>207</v>
      </c>
      <c r="E1604" s="2" t="s">
        <v>23</v>
      </c>
      <c r="F1604" s="2" t="s">
        <v>47</v>
      </c>
      <c r="G1604" s="2" t="s">
        <v>22</v>
      </c>
      <c r="H1604" s="2" t="s">
        <v>208</v>
      </c>
      <c r="I1604" s="2" t="s">
        <v>23</v>
      </c>
      <c r="J1604" s="2">
        <v>41</v>
      </c>
      <c r="K1604" s="2" t="s">
        <v>129</v>
      </c>
      <c r="L1604" s="2">
        <v>25213</v>
      </c>
      <c r="M1604" s="2" t="s">
        <v>130</v>
      </c>
      <c r="N1604" s="2">
        <v>25</v>
      </c>
      <c r="O1604" s="2">
        <v>90616</v>
      </c>
      <c r="P1604" s="2">
        <v>3624.64</v>
      </c>
    </row>
    <row r="1605" spans="1:16" outlineLevel="2" x14ac:dyDescent="0.2">
      <c r="A1605" s="5">
        <v>46083</v>
      </c>
      <c r="B1605" s="2">
        <v>157418</v>
      </c>
      <c r="C1605" s="2">
        <v>2</v>
      </c>
      <c r="D1605" s="2" t="s">
        <v>207</v>
      </c>
      <c r="E1605" s="2" t="s">
        <v>23</v>
      </c>
      <c r="F1605" s="2" t="s">
        <v>47</v>
      </c>
      <c r="G1605" s="2" t="s">
        <v>22</v>
      </c>
      <c r="H1605" s="2" t="s">
        <v>209</v>
      </c>
      <c r="I1605" s="2" t="s">
        <v>23</v>
      </c>
      <c r="J1605" s="2">
        <v>41</v>
      </c>
      <c r="K1605" s="2" t="s">
        <v>129</v>
      </c>
      <c r="L1605" s="2">
        <v>25213</v>
      </c>
      <c r="M1605" s="2" t="s">
        <v>130</v>
      </c>
      <c r="N1605" s="2">
        <v>25</v>
      </c>
      <c r="O1605" s="2">
        <v>81281.75</v>
      </c>
      <c r="P1605" s="2">
        <v>3251.27</v>
      </c>
    </row>
    <row r="1606" spans="1:16" outlineLevel="2" x14ac:dyDescent="0.2">
      <c r="A1606" s="5">
        <v>46083</v>
      </c>
      <c r="B1606" s="2">
        <v>157418</v>
      </c>
      <c r="C1606" s="2">
        <v>3</v>
      </c>
      <c r="D1606" s="2" t="s">
        <v>207</v>
      </c>
      <c r="E1606" s="2" t="s">
        <v>23</v>
      </c>
      <c r="F1606" s="2" t="s">
        <v>47</v>
      </c>
      <c r="G1606" s="2" t="s">
        <v>22</v>
      </c>
      <c r="H1606" s="2" t="s">
        <v>23</v>
      </c>
      <c r="I1606" s="2" t="s">
        <v>23</v>
      </c>
      <c r="J1606" s="2">
        <v>1</v>
      </c>
      <c r="K1606" s="2" t="s">
        <v>24</v>
      </c>
      <c r="L1606" s="2">
        <v>25213</v>
      </c>
      <c r="M1606" s="2" t="s">
        <v>130</v>
      </c>
      <c r="N1606" s="2">
        <v>4</v>
      </c>
      <c r="O1606" s="2">
        <v>312452.28000000003</v>
      </c>
      <c r="P1606" s="2">
        <v>78113.070000000007</v>
      </c>
    </row>
    <row r="1607" spans="1:16" outlineLevel="2" x14ac:dyDescent="0.2">
      <c r="A1607" s="5">
        <v>46083</v>
      </c>
      <c r="B1607" s="2">
        <v>157418</v>
      </c>
      <c r="C1607" s="2">
        <v>4</v>
      </c>
      <c r="D1607" s="2" t="s">
        <v>207</v>
      </c>
      <c r="E1607" s="2" t="s">
        <v>23</v>
      </c>
      <c r="F1607" s="2" t="s">
        <v>47</v>
      </c>
      <c r="G1607" s="2" t="s">
        <v>210</v>
      </c>
      <c r="H1607" s="2" t="s">
        <v>23</v>
      </c>
      <c r="I1607" s="2" t="s">
        <v>23</v>
      </c>
      <c r="J1607" s="2">
        <v>1</v>
      </c>
      <c r="K1607" s="2" t="s">
        <v>24</v>
      </c>
      <c r="L1607" s="2">
        <v>25213</v>
      </c>
      <c r="M1607" s="2" t="s">
        <v>130</v>
      </c>
      <c r="N1607" s="2">
        <v>2</v>
      </c>
      <c r="O1607" s="2">
        <v>131956.74</v>
      </c>
      <c r="P1607" s="2">
        <v>65978.37</v>
      </c>
    </row>
    <row r="1608" spans="1:16" outlineLevel="1" x14ac:dyDescent="0.2">
      <c r="A1608" s="5"/>
      <c r="D1608" s="3" t="s">
        <v>699</v>
      </c>
      <c r="N1608" s="2">
        <f>SUBTOTAL(9,N1604:N1607)</f>
        <v>56</v>
      </c>
      <c r="O1608" s="2">
        <f>SUBTOTAL(9,O1604:O1607)</f>
        <v>616306.77</v>
      </c>
    </row>
    <row r="1609" spans="1:16" outlineLevel="2" x14ac:dyDescent="0.2">
      <c r="A1609" s="5">
        <v>46083</v>
      </c>
      <c r="B1609" s="2">
        <v>157418</v>
      </c>
      <c r="C1609" s="2">
        <v>5</v>
      </c>
      <c r="D1609" s="2" t="s">
        <v>128</v>
      </c>
      <c r="E1609" s="2" t="s">
        <v>23</v>
      </c>
      <c r="F1609" s="2" t="s">
        <v>47</v>
      </c>
      <c r="G1609" s="2" t="s">
        <v>22</v>
      </c>
      <c r="H1609" s="2" t="s">
        <v>23</v>
      </c>
      <c r="I1609" s="2" t="s">
        <v>23</v>
      </c>
      <c r="J1609" s="2">
        <v>1</v>
      </c>
      <c r="K1609" s="2" t="s">
        <v>24</v>
      </c>
      <c r="L1609" s="2">
        <v>25213</v>
      </c>
      <c r="M1609" s="2" t="s">
        <v>130</v>
      </c>
      <c r="N1609" s="2">
        <v>4</v>
      </c>
      <c r="O1609" s="2">
        <v>346056.08</v>
      </c>
      <c r="P1609" s="2">
        <v>86514.02</v>
      </c>
    </row>
    <row r="1610" spans="1:16" outlineLevel="1" x14ac:dyDescent="0.2">
      <c r="A1610" s="5"/>
      <c r="D1610" s="3" t="s">
        <v>732</v>
      </c>
      <c r="N1610" s="2">
        <f>SUBTOTAL(9,N1609:N1609)</f>
        <v>4</v>
      </c>
      <c r="O1610" s="2">
        <f>SUBTOTAL(9,O1609:O1609)</f>
        <v>346056.08</v>
      </c>
    </row>
    <row r="1611" spans="1:16" outlineLevel="2" x14ac:dyDescent="0.2">
      <c r="A1611" s="5">
        <v>46087</v>
      </c>
      <c r="B1611" s="2">
        <v>157420</v>
      </c>
      <c r="C1611" s="2">
        <v>1</v>
      </c>
      <c r="D1611" s="2" t="s">
        <v>45</v>
      </c>
      <c r="E1611" s="2" t="s">
        <v>46</v>
      </c>
      <c r="F1611" s="2" t="s">
        <v>55</v>
      </c>
      <c r="G1611" s="2" t="s">
        <v>23</v>
      </c>
      <c r="H1611" s="2" t="s">
        <v>23</v>
      </c>
      <c r="I1611" s="2" t="s">
        <v>23</v>
      </c>
      <c r="J1611" s="2">
        <v>2</v>
      </c>
      <c r="K1611" s="2" t="s">
        <v>48</v>
      </c>
      <c r="L1611" s="2">
        <v>2276</v>
      </c>
      <c r="M1611" s="2" t="s">
        <v>156</v>
      </c>
      <c r="N1611" s="2">
        <v>9</v>
      </c>
      <c r="O1611" s="2">
        <v>30941.55</v>
      </c>
      <c r="P1611" s="2">
        <v>3437.95</v>
      </c>
    </row>
    <row r="1612" spans="1:16" outlineLevel="2" x14ac:dyDescent="0.2">
      <c r="A1612" s="5">
        <v>46087</v>
      </c>
      <c r="B1612" s="2">
        <v>157420</v>
      </c>
      <c r="C1612" s="2">
        <v>302</v>
      </c>
      <c r="D1612" s="2" t="s">
        <v>45</v>
      </c>
      <c r="E1612" s="2" t="s">
        <v>46</v>
      </c>
      <c r="F1612" s="2" t="s">
        <v>55</v>
      </c>
      <c r="G1612" s="2" t="s">
        <v>23</v>
      </c>
      <c r="H1612" s="2" t="s">
        <v>23</v>
      </c>
      <c r="I1612" s="2" t="s">
        <v>23</v>
      </c>
      <c r="J1612" s="2">
        <v>2</v>
      </c>
      <c r="K1612" s="2" t="s">
        <v>48</v>
      </c>
      <c r="L1612" s="2">
        <v>2276</v>
      </c>
      <c r="M1612" s="2" t="s">
        <v>156</v>
      </c>
      <c r="N1612" s="2">
        <v>43</v>
      </c>
      <c r="O1612" s="2">
        <v>284114.09000000003</v>
      </c>
      <c r="P1612" s="2">
        <v>6607.3</v>
      </c>
    </row>
    <row r="1613" spans="1:16" outlineLevel="1" x14ac:dyDescent="0.2">
      <c r="A1613" s="5"/>
      <c r="D1613" s="3" t="s">
        <v>733</v>
      </c>
      <c r="N1613" s="2">
        <f>SUBTOTAL(9,N1611:N1612)</f>
        <v>52</v>
      </c>
      <c r="O1613" s="2">
        <f>SUBTOTAL(9,O1611:O1612)</f>
        <v>315055.64</v>
      </c>
    </row>
    <row r="1614" spans="1:16" outlineLevel="2" x14ac:dyDescent="0.2">
      <c r="A1614" s="5">
        <v>46083</v>
      </c>
      <c r="B1614" s="2">
        <v>157421</v>
      </c>
      <c r="C1614" s="2">
        <v>1</v>
      </c>
      <c r="D1614" s="2" t="s">
        <v>369</v>
      </c>
      <c r="E1614" s="2" t="s">
        <v>348</v>
      </c>
      <c r="F1614" s="2" t="s">
        <v>31</v>
      </c>
      <c r="G1614" s="2" t="s">
        <v>22</v>
      </c>
      <c r="H1614" s="2" t="s">
        <v>23</v>
      </c>
      <c r="I1614" s="2" t="s">
        <v>273</v>
      </c>
      <c r="J1614" s="2">
        <v>1</v>
      </c>
      <c r="K1614" s="2" t="s">
        <v>24</v>
      </c>
      <c r="L1614" s="2">
        <v>226</v>
      </c>
      <c r="M1614" s="2" t="s">
        <v>59</v>
      </c>
      <c r="N1614" s="2">
        <v>60</v>
      </c>
      <c r="O1614" s="2">
        <v>756371.13</v>
      </c>
      <c r="P1614" s="2">
        <v>12606.19</v>
      </c>
    </row>
    <row r="1615" spans="1:16" outlineLevel="1" x14ac:dyDescent="0.2">
      <c r="A1615" s="5"/>
      <c r="D1615" s="3" t="s">
        <v>765</v>
      </c>
      <c r="N1615" s="2">
        <f>SUBTOTAL(9,N1614:N1614)</f>
        <v>60</v>
      </c>
      <c r="O1615" s="2">
        <f>SUBTOTAL(9,O1614:O1614)</f>
        <v>756371.13</v>
      </c>
    </row>
    <row r="1616" spans="1:16" outlineLevel="2" x14ac:dyDescent="0.2">
      <c r="A1616" s="5">
        <v>46083</v>
      </c>
      <c r="B1616" s="2">
        <v>157421</v>
      </c>
      <c r="C1616" s="2">
        <v>2</v>
      </c>
      <c r="D1616" s="2" t="s">
        <v>57</v>
      </c>
      <c r="E1616" s="2" t="s">
        <v>308</v>
      </c>
      <c r="F1616" s="2" t="s">
        <v>31</v>
      </c>
      <c r="G1616" s="2" t="s">
        <v>22</v>
      </c>
      <c r="H1616" s="2" t="s">
        <v>23</v>
      </c>
      <c r="I1616" s="2" t="s">
        <v>309</v>
      </c>
      <c r="J1616" s="2">
        <v>1</v>
      </c>
      <c r="K1616" s="2" t="s">
        <v>24</v>
      </c>
      <c r="L1616" s="2">
        <v>226</v>
      </c>
      <c r="M1616" s="2" t="s">
        <v>59</v>
      </c>
      <c r="N1616" s="2">
        <v>42</v>
      </c>
      <c r="O1616" s="2">
        <v>1825517.66</v>
      </c>
      <c r="P1616" s="2">
        <v>43464.71</v>
      </c>
    </row>
    <row r="1617" spans="1:16" outlineLevel="2" x14ac:dyDescent="0.2">
      <c r="A1617" s="5">
        <v>46083</v>
      </c>
      <c r="B1617" s="2">
        <v>157421</v>
      </c>
      <c r="C1617" s="2">
        <v>3</v>
      </c>
      <c r="D1617" s="2" t="s">
        <v>57</v>
      </c>
      <c r="E1617" s="2" t="s">
        <v>308</v>
      </c>
      <c r="F1617" s="2" t="s">
        <v>31</v>
      </c>
      <c r="G1617" s="2" t="s">
        <v>22</v>
      </c>
      <c r="H1617" s="2" t="s">
        <v>23</v>
      </c>
      <c r="I1617" s="2" t="s">
        <v>345</v>
      </c>
      <c r="J1617" s="2">
        <v>1</v>
      </c>
      <c r="K1617" s="2" t="s">
        <v>24</v>
      </c>
      <c r="L1617" s="2">
        <v>226</v>
      </c>
      <c r="M1617" s="2" t="s">
        <v>59</v>
      </c>
      <c r="N1617" s="2">
        <v>42</v>
      </c>
      <c r="O1617" s="2">
        <v>1446541.49</v>
      </c>
      <c r="P1617" s="2">
        <v>34441.46</v>
      </c>
    </row>
    <row r="1618" spans="1:16" outlineLevel="1" x14ac:dyDescent="0.2">
      <c r="A1618" s="5"/>
      <c r="D1618" s="3" t="s">
        <v>716</v>
      </c>
      <c r="N1618" s="2">
        <f>SUBTOTAL(9,N1616:N1617)</f>
        <v>84</v>
      </c>
      <c r="O1618" s="2">
        <f>SUBTOTAL(9,O1616:O1617)</f>
        <v>3272059.15</v>
      </c>
    </row>
    <row r="1619" spans="1:16" outlineLevel="2" x14ac:dyDescent="0.2">
      <c r="A1619" s="5">
        <v>46083</v>
      </c>
      <c r="B1619" s="2">
        <v>157422</v>
      </c>
      <c r="C1619" s="2">
        <v>1</v>
      </c>
      <c r="D1619" s="2" t="s">
        <v>197</v>
      </c>
      <c r="E1619" s="2" t="s">
        <v>284</v>
      </c>
      <c r="F1619" s="2" t="s">
        <v>199</v>
      </c>
      <c r="G1619" s="2" t="s">
        <v>22</v>
      </c>
      <c r="H1619" s="2" t="s">
        <v>23</v>
      </c>
      <c r="I1619" s="2" t="s">
        <v>23</v>
      </c>
      <c r="J1619" s="2">
        <v>40</v>
      </c>
      <c r="K1619" s="2" t="s">
        <v>43</v>
      </c>
      <c r="L1619" s="2">
        <v>2508</v>
      </c>
      <c r="M1619" s="2" t="s">
        <v>376</v>
      </c>
      <c r="N1619" s="2">
        <v>176</v>
      </c>
      <c r="O1619" s="2">
        <v>2101257.63</v>
      </c>
      <c r="P1619" s="2">
        <v>11938.96</v>
      </c>
    </row>
    <row r="1620" spans="1:16" outlineLevel="1" x14ac:dyDescent="0.2">
      <c r="A1620" s="5"/>
      <c r="D1620" s="3" t="s">
        <v>734</v>
      </c>
      <c r="N1620" s="2">
        <f>SUBTOTAL(9,N1619:N1619)</f>
        <v>176</v>
      </c>
      <c r="O1620" s="2">
        <f>SUBTOTAL(9,O1619:O1619)</f>
        <v>2101257.63</v>
      </c>
    </row>
    <row r="1621" spans="1:16" outlineLevel="2" x14ac:dyDescent="0.2">
      <c r="A1621" s="5">
        <v>46087</v>
      </c>
      <c r="B1621" s="2">
        <v>157424</v>
      </c>
      <c r="C1621" s="2">
        <v>6</v>
      </c>
      <c r="D1621" s="2" t="s">
        <v>110</v>
      </c>
      <c r="E1621" s="2" t="s">
        <v>111</v>
      </c>
      <c r="F1621" s="2" t="s">
        <v>47</v>
      </c>
      <c r="G1621" s="2" t="s">
        <v>55</v>
      </c>
      <c r="H1621" s="2" t="s">
        <v>23</v>
      </c>
      <c r="I1621" s="2" t="s">
        <v>23</v>
      </c>
      <c r="J1621" s="2">
        <v>2</v>
      </c>
      <c r="K1621" s="2" t="s">
        <v>48</v>
      </c>
      <c r="L1621" s="2">
        <v>626</v>
      </c>
      <c r="M1621" s="2" t="s">
        <v>49</v>
      </c>
      <c r="N1621" s="2">
        <v>22</v>
      </c>
      <c r="O1621" s="2">
        <v>45765.04</v>
      </c>
      <c r="P1621" s="2">
        <v>2080.23</v>
      </c>
    </row>
    <row r="1622" spans="1:16" outlineLevel="1" x14ac:dyDescent="0.2">
      <c r="A1622" s="5"/>
      <c r="D1622" s="3" t="s">
        <v>697</v>
      </c>
      <c r="N1622" s="2">
        <f>SUBTOTAL(9,N1621:N1621)</f>
        <v>22</v>
      </c>
      <c r="O1622" s="2">
        <f>SUBTOTAL(9,O1621:O1621)</f>
        <v>45765.04</v>
      </c>
    </row>
    <row r="1623" spans="1:16" outlineLevel="2" x14ac:dyDescent="0.2">
      <c r="A1623" s="5">
        <v>46092</v>
      </c>
      <c r="B1623" s="2">
        <v>157424</v>
      </c>
      <c r="C1623" s="2">
        <v>7</v>
      </c>
      <c r="D1623" s="2" t="s">
        <v>45</v>
      </c>
      <c r="E1623" s="2" t="s">
        <v>125</v>
      </c>
      <c r="F1623" s="2" t="s">
        <v>55</v>
      </c>
      <c r="G1623" s="2" t="s">
        <v>23</v>
      </c>
      <c r="H1623" s="2" t="s">
        <v>23</v>
      </c>
      <c r="I1623" s="2" t="s">
        <v>23</v>
      </c>
      <c r="J1623" s="2">
        <v>2</v>
      </c>
      <c r="K1623" s="2" t="s">
        <v>48</v>
      </c>
      <c r="L1623" s="2">
        <v>626</v>
      </c>
      <c r="M1623" s="2" t="s">
        <v>49</v>
      </c>
      <c r="N1623" s="2">
        <v>31</v>
      </c>
      <c r="O1623" s="2">
        <v>92575</v>
      </c>
      <c r="P1623" s="2">
        <v>2986.29</v>
      </c>
    </row>
    <row r="1624" spans="1:16" outlineLevel="1" x14ac:dyDescent="0.2">
      <c r="A1624" s="5"/>
      <c r="D1624" s="3" t="s">
        <v>733</v>
      </c>
      <c r="N1624" s="2">
        <f>SUBTOTAL(9,N1623:N1623)</f>
        <v>31</v>
      </c>
      <c r="O1624" s="2">
        <f>SUBTOTAL(9,O1623:O1623)</f>
        <v>92575</v>
      </c>
    </row>
    <row r="1625" spans="1:16" outlineLevel="2" x14ac:dyDescent="0.2">
      <c r="A1625" s="5">
        <v>46148</v>
      </c>
      <c r="B1625" s="2">
        <v>157426</v>
      </c>
      <c r="C1625" s="2">
        <v>315</v>
      </c>
      <c r="D1625" s="2" t="s">
        <v>203</v>
      </c>
      <c r="E1625" s="2" t="s">
        <v>125</v>
      </c>
      <c r="F1625" s="2" t="s">
        <v>55</v>
      </c>
      <c r="G1625" s="2" t="s">
        <v>23</v>
      </c>
      <c r="H1625" s="2" t="s">
        <v>23</v>
      </c>
      <c r="I1625" s="2" t="s">
        <v>23</v>
      </c>
      <c r="J1625" s="2">
        <v>2</v>
      </c>
      <c r="K1625" s="2" t="s">
        <v>48</v>
      </c>
      <c r="L1625" s="2">
        <v>25223</v>
      </c>
      <c r="M1625" s="2" t="s">
        <v>97</v>
      </c>
      <c r="N1625" s="2">
        <v>8</v>
      </c>
      <c r="O1625" s="2">
        <v>34921.519999999997</v>
      </c>
      <c r="P1625" s="2">
        <v>4365.1899999999996</v>
      </c>
    </row>
    <row r="1626" spans="1:16" outlineLevel="1" x14ac:dyDescent="0.2">
      <c r="A1626" s="5"/>
      <c r="D1626" s="3" t="s">
        <v>735</v>
      </c>
      <c r="N1626" s="2">
        <f>SUBTOTAL(9,N1625:N1625)</f>
        <v>8</v>
      </c>
      <c r="O1626" s="2">
        <f>SUBTOTAL(9,O1625:O1625)</f>
        <v>34921.519999999997</v>
      </c>
    </row>
    <row r="1627" spans="1:16" outlineLevel="2" x14ac:dyDescent="0.2">
      <c r="A1627" s="5">
        <v>46087</v>
      </c>
      <c r="B1627" s="2">
        <v>157429</v>
      </c>
      <c r="C1627" s="2">
        <v>1</v>
      </c>
      <c r="D1627" s="2" t="s">
        <v>110</v>
      </c>
      <c r="E1627" s="2" t="s">
        <v>111</v>
      </c>
      <c r="F1627" s="2" t="s">
        <v>55</v>
      </c>
      <c r="G1627" s="2" t="s">
        <v>23</v>
      </c>
      <c r="H1627" s="2" t="s">
        <v>23</v>
      </c>
      <c r="I1627" s="2" t="s">
        <v>23</v>
      </c>
      <c r="J1627" s="2">
        <v>2</v>
      </c>
      <c r="K1627" s="2" t="s">
        <v>48</v>
      </c>
      <c r="L1627" s="2">
        <v>600</v>
      </c>
      <c r="M1627" s="2" t="s">
        <v>112</v>
      </c>
      <c r="N1627" s="2">
        <v>6</v>
      </c>
      <c r="O1627" s="2">
        <v>12226.8</v>
      </c>
      <c r="P1627" s="2">
        <v>2037.8</v>
      </c>
    </row>
    <row r="1628" spans="1:16" outlineLevel="1" x14ac:dyDescent="0.2">
      <c r="A1628" s="5"/>
      <c r="D1628" s="3" t="s">
        <v>697</v>
      </c>
      <c r="N1628" s="2">
        <f>SUBTOTAL(9,N1627:N1627)</f>
        <v>6</v>
      </c>
      <c r="O1628" s="2">
        <f>SUBTOTAL(9,O1627:O1627)</f>
        <v>12226.8</v>
      </c>
    </row>
    <row r="1629" spans="1:16" outlineLevel="2" x14ac:dyDescent="0.2">
      <c r="A1629" s="5">
        <v>46100</v>
      </c>
      <c r="B1629" s="2">
        <v>157440</v>
      </c>
      <c r="C1629" s="2">
        <v>1</v>
      </c>
      <c r="D1629" s="2" t="s">
        <v>67</v>
      </c>
      <c r="E1629" s="2" t="s">
        <v>377</v>
      </c>
      <c r="F1629" s="2" t="s">
        <v>55</v>
      </c>
      <c r="G1629" s="2" t="s">
        <v>23</v>
      </c>
      <c r="H1629" s="2" t="s">
        <v>23</v>
      </c>
      <c r="I1629" s="2" t="s">
        <v>23</v>
      </c>
      <c r="J1629" s="2">
        <v>1</v>
      </c>
      <c r="K1629" s="2" t="s">
        <v>24</v>
      </c>
      <c r="L1629" s="2">
        <v>25162</v>
      </c>
      <c r="M1629" s="2" t="s">
        <v>378</v>
      </c>
      <c r="N1629" s="2">
        <v>43</v>
      </c>
      <c r="O1629" s="2">
        <v>559379.29</v>
      </c>
      <c r="P1629" s="2">
        <v>13008.82</v>
      </c>
    </row>
    <row r="1630" spans="1:16" outlineLevel="1" x14ac:dyDescent="0.2">
      <c r="A1630" s="5"/>
      <c r="D1630" s="3" t="s">
        <v>720</v>
      </c>
      <c r="N1630" s="2">
        <f>SUBTOTAL(9,N1629:N1629)</f>
        <v>43</v>
      </c>
      <c r="O1630" s="2">
        <f>SUBTOTAL(9,O1629:O1629)</f>
        <v>559379.29</v>
      </c>
    </row>
    <row r="1631" spans="1:16" outlineLevel="2" x14ac:dyDescent="0.2">
      <c r="A1631" s="5">
        <v>46087</v>
      </c>
      <c r="B1631" s="2">
        <v>157441</v>
      </c>
      <c r="C1631" s="2">
        <v>2</v>
      </c>
      <c r="D1631" s="2" t="s">
        <v>203</v>
      </c>
      <c r="E1631" s="2" t="s">
        <v>238</v>
      </c>
      <c r="F1631" s="2" t="s">
        <v>55</v>
      </c>
      <c r="G1631" s="2" t="s">
        <v>23</v>
      </c>
      <c r="H1631" s="2" t="s">
        <v>23</v>
      </c>
      <c r="I1631" s="2" t="s">
        <v>23</v>
      </c>
      <c r="J1631" s="2">
        <v>2</v>
      </c>
      <c r="K1631" s="2" t="s">
        <v>48</v>
      </c>
      <c r="L1631" s="2">
        <v>600</v>
      </c>
      <c r="M1631" s="2" t="s">
        <v>112</v>
      </c>
      <c r="N1631" s="2">
        <v>5</v>
      </c>
      <c r="O1631" s="2">
        <v>8788.84</v>
      </c>
      <c r="P1631" s="2">
        <v>1757.77</v>
      </c>
    </row>
    <row r="1632" spans="1:16" outlineLevel="1" x14ac:dyDescent="0.2">
      <c r="A1632" s="5"/>
      <c r="D1632" s="3" t="s">
        <v>735</v>
      </c>
      <c r="N1632" s="2">
        <f>SUBTOTAL(9,N1631:N1631)</f>
        <v>5</v>
      </c>
      <c r="O1632" s="2">
        <f>SUBTOTAL(9,O1631:O1631)</f>
        <v>8788.84</v>
      </c>
    </row>
    <row r="1633" spans="1:16" outlineLevel="2" x14ac:dyDescent="0.2">
      <c r="A1633" s="5">
        <v>46092</v>
      </c>
      <c r="B1633" s="2">
        <v>157443</v>
      </c>
      <c r="C1633" s="2">
        <v>310</v>
      </c>
      <c r="D1633" s="2" t="s">
        <v>67</v>
      </c>
      <c r="E1633" s="2" t="s">
        <v>68</v>
      </c>
      <c r="F1633" s="2" t="s">
        <v>55</v>
      </c>
      <c r="G1633" s="2" t="s">
        <v>23</v>
      </c>
      <c r="H1633" s="2" t="s">
        <v>23</v>
      </c>
      <c r="I1633" s="2" t="s">
        <v>23</v>
      </c>
      <c r="J1633" s="2">
        <v>2</v>
      </c>
      <c r="K1633" s="2" t="s">
        <v>48</v>
      </c>
      <c r="L1633" s="2">
        <v>25178</v>
      </c>
      <c r="M1633" s="2" t="s">
        <v>379</v>
      </c>
      <c r="N1633" s="2">
        <v>4</v>
      </c>
      <c r="O1633" s="2">
        <v>23086.2</v>
      </c>
      <c r="P1633" s="2">
        <v>5771.55</v>
      </c>
    </row>
    <row r="1634" spans="1:16" outlineLevel="1" x14ac:dyDescent="0.2">
      <c r="A1634" s="5"/>
      <c r="D1634" s="3" t="s">
        <v>720</v>
      </c>
      <c r="N1634" s="2">
        <f>SUBTOTAL(9,N1633:N1633)</f>
        <v>4</v>
      </c>
      <c r="O1634" s="2">
        <f>SUBTOTAL(9,O1633:O1633)</f>
        <v>23086.2</v>
      </c>
    </row>
    <row r="1635" spans="1:16" outlineLevel="2" x14ac:dyDescent="0.2">
      <c r="A1635" s="5">
        <v>46101</v>
      </c>
      <c r="B1635" s="2">
        <v>157444</v>
      </c>
      <c r="C1635" s="2">
        <v>315</v>
      </c>
      <c r="D1635" s="2" t="s">
        <v>186</v>
      </c>
      <c r="E1635" s="2" t="s">
        <v>30</v>
      </c>
      <c r="F1635" s="2" t="s">
        <v>55</v>
      </c>
      <c r="G1635" s="2" t="s">
        <v>23</v>
      </c>
      <c r="H1635" s="2" t="s">
        <v>23</v>
      </c>
      <c r="I1635" s="2" t="s">
        <v>23</v>
      </c>
      <c r="J1635" s="2">
        <v>1</v>
      </c>
      <c r="K1635" s="2" t="s">
        <v>24</v>
      </c>
      <c r="L1635" s="2">
        <v>600</v>
      </c>
      <c r="M1635" s="2" t="s">
        <v>112</v>
      </c>
      <c r="N1635" s="2">
        <v>10</v>
      </c>
      <c r="O1635" s="2">
        <v>148252.87</v>
      </c>
      <c r="P1635" s="2">
        <v>14825.29</v>
      </c>
    </row>
    <row r="1636" spans="1:16" outlineLevel="1" x14ac:dyDescent="0.2">
      <c r="A1636" s="5"/>
      <c r="D1636" s="3" t="s">
        <v>731</v>
      </c>
      <c r="N1636" s="2">
        <f>SUBTOTAL(9,N1635:N1635)</f>
        <v>10</v>
      </c>
      <c r="O1636" s="2">
        <f>SUBTOTAL(9,O1635:O1635)</f>
        <v>148252.87</v>
      </c>
    </row>
    <row r="1637" spans="1:16" outlineLevel="2" x14ac:dyDescent="0.2">
      <c r="A1637" s="5">
        <v>46085</v>
      </c>
      <c r="B1637" s="2">
        <v>157446</v>
      </c>
      <c r="C1637" s="2">
        <v>1</v>
      </c>
      <c r="D1637" s="2" t="s">
        <v>207</v>
      </c>
      <c r="E1637" s="2" t="s">
        <v>23</v>
      </c>
      <c r="F1637" s="2" t="s">
        <v>47</v>
      </c>
      <c r="G1637" s="2" t="s">
        <v>22</v>
      </c>
      <c r="H1637" s="2" t="s">
        <v>208</v>
      </c>
      <c r="I1637" s="2" t="s">
        <v>23</v>
      </c>
      <c r="J1637" s="2">
        <v>41</v>
      </c>
      <c r="K1637" s="2" t="s">
        <v>129</v>
      </c>
      <c r="L1637" s="2">
        <v>25213</v>
      </c>
      <c r="M1637" s="2" t="s">
        <v>130</v>
      </c>
      <c r="N1637" s="2">
        <v>50</v>
      </c>
      <c r="O1637" s="2">
        <v>181232</v>
      </c>
      <c r="P1637" s="2">
        <v>3624.64</v>
      </c>
    </row>
    <row r="1638" spans="1:16" outlineLevel="2" x14ac:dyDescent="0.2">
      <c r="A1638" s="5">
        <v>46085</v>
      </c>
      <c r="B1638" s="2">
        <v>157446</v>
      </c>
      <c r="C1638" s="2">
        <v>2</v>
      </c>
      <c r="D1638" s="2" t="s">
        <v>207</v>
      </c>
      <c r="E1638" s="2" t="s">
        <v>23</v>
      </c>
      <c r="F1638" s="2" t="s">
        <v>47</v>
      </c>
      <c r="G1638" s="2" t="s">
        <v>22</v>
      </c>
      <c r="H1638" s="2" t="s">
        <v>209</v>
      </c>
      <c r="I1638" s="2" t="s">
        <v>23</v>
      </c>
      <c r="J1638" s="2">
        <v>41</v>
      </c>
      <c r="K1638" s="2" t="s">
        <v>129</v>
      </c>
      <c r="L1638" s="2">
        <v>25213</v>
      </c>
      <c r="M1638" s="2" t="s">
        <v>130</v>
      </c>
      <c r="N1638" s="2">
        <v>25</v>
      </c>
      <c r="O1638" s="2">
        <v>67265.69</v>
      </c>
      <c r="P1638" s="2">
        <v>2690.63</v>
      </c>
    </row>
    <row r="1639" spans="1:16" outlineLevel="1" x14ac:dyDescent="0.2">
      <c r="A1639" s="5"/>
      <c r="D1639" s="3" t="s">
        <v>699</v>
      </c>
      <c r="N1639" s="2">
        <f>SUBTOTAL(9,N1637:N1638)</f>
        <v>75</v>
      </c>
      <c r="O1639" s="2">
        <f>SUBTOTAL(9,O1637:O1638)</f>
        <v>248497.69</v>
      </c>
    </row>
    <row r="1640" spans="1:16" outlineLevel="2" x14ac:dyDescent="0.2">
      <c r="A1640" s="5">
        <v>46085</v>
      </c>
      <c r="B1640" s="2">
        <v>157446</v>
      </c>
      <c r="C1640" s="2">
        <v>3</v>
      </c>
      <c r="D1640" s="2" t="s">
        <v>128</v>
      </c>
      <c r="E1640" s="2" t="s">
        <v>23</v>
      </c>
      <c r="F1640" s="2" t="s">
        <v>47</v>
      </c>
      <c r="G1640" s="2" t="s">
        <v>22</v>
      </c>
      <c r="H1640" s="2" t="s">
        <v>23</v>
      </c>
      <c r="I1640" s="2" t="s">
        <v>23</v>
      </c>
      <c r="J1640" s="2">
        <v>41</v>
      </c>
      <c r="K1640" s="2" t="s">
        <v>129</v>
      </c>
      <c r="L1640" s="2">
        <v>25213</v>
      </c>
      <c r="M1640" s="2" t="s">
        <v>130</v>
      </c>
      <c r="N1640" s="2">
        <v>50</v>
      </c>
      <c r="O1640" s="2">
        <v>179738.48</v>
      </c>
      <c r="P1640" s="2">
        <v>3594.77</v>
      </c>
    </row>
    <row r="1641" spans="1:16" outlineLevel="2" x14ac:dyDescent="0.2">
      <c r="A1641" s="5">
        <v>46085</v>
      </c>
      <c r="B1641" s="2">
        <v>157446</v>
      </c>
      <c r="C1641" s="2">
        <v>4</v>
      </c>
      <c r="D1641" s="2" t="s">
        <v>128</v>
      </c>
      <c r="E1641" s="2" t="s">
        <v>23</v>
      </c>
      <c r="F1641" s="2" t="s">
        <v>47</v>
      </c>
      <c r="G1641" s="2" t="s">
        <v>22</v>
      </c>
      <c r="H1641" s="2" t="s">
        <v>23</v>
      </c>
      <c r="I1641" s="2" t="s">
        <v>23</v>
      </c>
      <c r="J1641" s="2">
        <v>1</v>
      </c>
      <c r="K1641" s="2" t="s">
        <v>24</v>
      </c>
      <c r="L1641" s="2">
        <v>25213</v>
      </c>
      <c r="M1641" s="2" t="s">
        <v>130</v>
      </c>
      <c r="N1641" s="2">
        <v>4</v>
      </c>
      <c r="O1641" s="2">
        <v>344189.2</v>
      </c>
      <c r="P1641" s="2">
        <v>86047.3</v>
      </c>
    </row>
    <row r="1642" spans="1:16" outlineLevel="1" x14ac:dyDescent="0.2">
      <c r="A1642" s="5"/>
      <c r="D1642" s="3" t="s">
        <v>732</v>
      </c>
      <c r="N1642" s="2">
        <f>SUBTOTAL(9,N1640:N1641)</f>
        <v>54</v>
      </c>
      <c r="O1642" s="2">
        <f>SUBTOTAL(9,O1640:O1641)</f>
        <v>523927.68000000005</v>
      </c>
    </row>
    <row r="1643" spans="1:16" outlineLevel="2" x14ac:dyDescent="0.2">
      <c r="A1643" s="5">
        <v>46085</v>
      </c>
      <c r="B1643" s="2">
        <v>157446</v>
      </c>
      <c r="C1643" s="2">
        <v>5</v>
      </c>
      <c r="D1643" s="2" t="s">
        <v>207</v>
      </c>
      <c r="E1643" s="2" t="s">
        <v>23</v>
      </c>
      <c r="F1643" s="2" t="s">
        <v>47</v>
      </c>
      <c r="G1643" s="2" t="s">
        <v>210</v>
      </c>
      <c r="H1643" s="2" t="s">
        <v>23</v>
      </c>
      <c r="I1643" s="2" t="s">
        <v>23</v>
      </c>
      <c r="J1643" s="2">
        <v>1</v>
      </c>
      <c r="K1643" s="2" t="s">
        <v>24</v>
      </c>
      <c r="L1643" s="2">
        <v>25213</v>
      </c>
      <c r="M1643" s="2" t="s">
        <v>130</v>
      </c>
      <c r="N1643" s="2">
        <v>2</v>
      </c>
      <c r="O1643" s="2">
        <v>120755.46</v>
      </c>
      <c r="P1643" s="2">
        <v>60377.73</v>
      </c>
    </row>
    <row r="1644" spans="1:16" outlineLevel="1" x14ac:dyDescent="0.2">
      <c r="A1644" s="5"/>
      <c r="D1644" s="3" t="s">
        <v>699</v>
      </c>
      <c r="N1644" s="2">
        <f>SUBTOTAL(9,N1643:N1643)</f>
        <v>2</v>
      </c>
      <c r="O1644" s="2">
        <f>SUBTOTAL(9,O1643:O1643)</f>
        <v>120755.46</v>
      </c>
    </row>
    <row r="1645" spans="1:16" outlineLevel="2" x14ac:dyDescent="0.2">
      <c r="A1645" s="5">
        <v>46085</v>
      </c>
      <c r="B1645" s="2">
        <v>157447</v>
      </c>
      <c r="C1645" s="2">
        <v>1</v>
      </c>
      <c r="D1645" s="2" t="s">
        <v>45</v>
      </c>
      <c r="E1645" s="2" t="s">
        <v>125</v>
      </c>
      <c r="F1645" s="2" t="s">
        <v>47</v>
      </c>
      <c r="G1645" s="2" t="s">
        <v>22</v>
      </c>
      <c r="H1645" s="2" t="s">
        <v>23</v>
      </c>
      <c r="I1645" s="2" t="s">
        <v>23</v>
      </c>
      <c r="J1645" s="2">
        <v>41</v>
      </c>
      <c r="K1645" s="2" t="s">
        <v>129</v>
      </c>
      <c r="L1645" s="2">
        <v>1964</v>
      </c>
      <c r="M1645" s="2" t="s">
        <v>49</v>
      </c>
      <c r="N1645" s="2">
        <v>30</v>
      </c>
      <c r="O1645" s="2">
        <v>243154.5</v>
      </c>
      <c r="P1645" s="2">
        <v>8105.15</v>
      </c>
    </row>
    <row r="1646" spans="1:16" outlineLevel="1" x14ac:dyDescent="0.2">
      <c r="A1646" s="5"/>
      <c r="D1646" s="3" t="s">
        <v>733</v>
      </c>
      <c r="N1646" s="2">
        <f>SUBTOTAL(9,N1645:N1645)</f>
        <v>30</v>
      </c>
      <c r="O1646" s="2">
        <f>SUBTOTAL(9,O1645:O1645)</f>
        <v>243154.5</v>
      </c>
    </row>
    <row r="1647" spans="1:16" outlineLevel="2" x14ac:dyDescent="0.2">
      <c r="A1647" s="5">
        <v>46085</v>
      </c>
      <c r="B1647" s="2">
        <v>157447</v>
      </c>
      <c r="C1647" s="2">
        <v>2</v>
      </c>
      <c r="D1647" s="2" t="s">
        <v>226</v>
      </c>
      <c r="E1647" s="2" t="s">
        <v>151</v>
      </c>
      <c r="F1647" s="2" t="s">
        <v>47</v>
      </c>
      <c r="G1647" s="2" t="s">
        <v>22</v>
      </c>
      <c r="H1647" s="2" t="s">
        <v>23</v>
      </c>
      <c r="I1647" s="2" t="s">
        <v>23</v>
      </c>
      <c r="J1647" s="2">
        <v>2</v>
      </c>
      <c r="K1647" s="2" t="s">
        <v>48</v>
      </c>
      <c r="L1647" s="2">
        <v>1964</v>
      </c>
      <c r="M1647" s="2" t="s">
        <v>49</v>
      </c>
      <c r="N1647" s="2">
        <v>16</v>
      </c>
      <c r="O1647" s="2">
        <v>153951.79999999999</v>
      </c>
      <c r="P1647" s="2">
        <v>9621.99</v>
      </c>
    </row>
    <row r="1648" spans="1:16" outlineLevel="2" x14ac:dyDescent="0.2">
      <c r="A1648" s="5">
        <v>46085</v>
      </c>
      <c r="B1648" s="2">
        <v>157447</v>
      </c>
      <c r="C1648" s="2">
        <v>3</v>
      </c>
      <c r="D1648" s="2" t="s">
        <v>226</v>
      </c>
      <c r="E1648" s="2" t="s">
        <v>227</v>
      </c>
      <c r="F1648" s="2" t="s">
        <v>47</v>
      </c>
      <c r="G1648" s="2" t="s">
        <v>22</v>
      </c>
      <c r="H1648" s="2" t="s">
        <v>23</v>
      </c>
      <c r="I1648" s="2" t="s">
        <v>23</v>
      </c>
      <c r="J1648" s="2">
        <v>41</v>
      </c>
      <c r="K1648" s="2" t="s">
        <v>129</v>
      </c>
      <c r="L1648" s="2">
        <v>1964</v>
      </c>
      <c r="M1648" s="2" t="s">
        <v>49</v>
      </c>
      <c r="N1648" s="2">
        <v>80</v>
      </c>
      <c r="O1648" s="2">
        <v>1737735.68</v>
      </c>
      <c r="P1648" s="2">
        <v>21721.7</v>
      </c>
    </row>
    <row r="1649" spans="1:16" outlineLevel="1" x14ac:dyDescent="0.2">
      <c r="A1649" s="5"/>
      <c r="D1649" s="3" t="s">
        <v>736</v>
      </c>
      <c r="N1649" s="2">
        <f>SUBTOTAL(9,N1647:N1648)</f>
        <v>96</v>
      </c>
      <c r="O1649" s="2">
        <f>SUBTOTAL(9,O1647:O1648)</f>
        <v>1891687.48</v>
      </c>
    </row>
    <row r="1650" spans="1:16" outlineLevel="2" x14ac:dyDescent="0.2">
      <c r="A1650" s="5">
        <v>46085</v>
      </c>
      <c r="B1650" s="2">
        <v>157447</v>
      </c>
      <c r="C1650" s="2">
        <v>4</v>
      </c>
      <c r="D1650" s="2" t="s">
        <v>45</v>
      </c>
      <c r="E1650" s="2" t="s">
        <v>228</v>
      </c>
      <c r="F1650" s="2" t="s">
        <v>47</v>
      </c>
      <c r="G1650" s="2" t="s">
        <v>22</v>
      </c>
      <c r="H1650" s="2" t="s">
        <v>23</v>
      </c>
      <c r="I1650" s="2" t="s">
        <v>23</v>
      </c>
      <c r="J1650" s="2">
        <v>41</v>
      </c>
      <c r="K1650" s="2" t="s">
        <v>129</v>
      </c>
      <c r="L1650" s="2">
        <v>1964</v>
      </c>
      <c r="M1650" s="2" t="s">
        <v>49</v>
      </c>
      <c r="N1650" s="2">
        <v>40</v>
      </c>
      <c r="O1650" s="2">
        <v>622906.4</v>
      </c>
      <c r="P1650" s="2">
        <v>15572.66</v>
      </c>
    </row>
    <row r="1651" spans="1:16" outlineLevel="2" x14ac:dyDescent="0.2">
      <c r="A1651" s="5">
        <v>46085</v>
      </c>
      <c r="B1651" s="2">
        <v>157447</v>
      </c>
      <c r="C1651" s="2">
        <v>5</v>
      </c>
      <c r="D1651" s="2" t="s">
        <v>45</v>
      </c>
      <c r="E1651" s="2" t="s">
        <v>295</v>
      </c>
      <c r="F1651" s="2" t="s">
        <v>47</v>
      </c>
      <c r="G1651" s="2" t="s">
        <v>22</v>
      </c>
      <c r="H1651" s="2" t="s">
        <v>23</v>
      </c>
      <c r="I1651" s="2" t="s">
        <v>23</v>
      </c>
      <c r="J1651" s="2">
        <v>41</v>
      </c>
      <c r="K1651" s="2" t="s">
        <v>129</v>
      </c>
      <c r="L1651" s="2">
        <v>1964</v>
      </c>
      <c r="M1651" s="2" t="s">
        <v>49</v>
      </c>
      <c r="N1651" s="2">
        <v>20</v>
      </c>
      <c r="O1651" s="2">
        <v>303985.68</v>
      </c>
      <c r="P1651" s="2">
        <v>15199.28</v>
      </c>
    </row>
    <row r="1652" spans="1:16" outlineLevel="1" x14ac:dyDescent="0.2">
      <c r="A1652" s="5"/>
      <c r="D1652" s="3" t="s">
        <v>733</v>
      </c>
      <c r="N1652" s="2">
        <f>SUBTOTAL(9,N1650:N1651)</f>
        <v>60</v>
      </c>
      <c r="O1652" s="2">
        <f>SUBTOTAL(9,O1650:O1651)</f>
        <v>926892.08000000007</v>
      </c>
    </row>
    <row r="1653" spans="1:16" outlineLevel="2" x14ac:dyDescent="0.2">
      <c r="A1653" s="5">
        <v>46085</v>
      </c>
      <c r="B1653" s="2">
        <v>157449</v>
      </c>
      <c r="C1653" s="2">
        <v>1</v>
      </c>
      <c r="D1653" s="2" t="s">
        <v>140</v>
      </c>
      <c r="E1653" s="2" t="s">
        <v>248</v>
      </c>
      <c r="F1653" s="2" t="s">
        <v>55</v>
      </c>
      <c r="G1653" s="2" t="s">
        <v>23</v>
      </c>
      <c r="H1653" s="2" t="s">
        <v>23</v>
      </c>
      <c r="I1653" s="2" t="s">
        <v>23</v>
      </c>
      <c r="J1653" s="2">
        <v>1</v>
      </c>
      <c r="K1653" s="2" t="s">
        <v>24</v>
      </c>
      <c r="L1653" s="2">
        <v>1833</v>
      </c>
      <c r="M1653" s="2" t="s">
        <v>142</v>
      </c>
      <c r="N1653" s="2">
        <v>12</v>
      </c>
      <c r="O1653" s="2">
        <v>167269.67000000001</v>
      </c>
      <c r="P1653" s="2">
        <v>13939.14</v>
      </c>
    </row>
    <row r="1654" spans="1:16" outlineLevel="1" x14ac:dyDescent="0.2">
      <c r="A1654" s="5"/>
      <c r="D1654" s="3" t="s">
        <v>696</v>
      </c>
      <c r="N1654" s="2">
        <f>SUBTOTAL(9,N1653:N1653)</f>
        <v>12</v>
      </c>
      <c r="O1654" s="2">
        <f>SUBTOTAL(9,O1653:O1653)</f>
        <v>167269.67000000001</v>
      </c>
    </row>
    <row r="1655" spans="1:16" outlineLevel="2" x14ac:dyDescent="0.2">
      <c r="A1655" s="5">
        <v>46089</v>
      </c>
      <c r="B1655" s="2">
        <v>157450</v>
      </c>
      <c r="C1655" s="2">
        <v>306</v>
      </c>
      <c r="D1655" s="2" t="s">
        <v>110</v>
      </c>
      <c r="E1655" s="2" t="s">
        <v>111</v>
      </c>
      <c r="F1655" s="2" t="s">
        <v>55</v>
      </c>
      <c r="G1655" s="2" t="s">
        <v>23</v>
      </c>
      <c r="H1655" s="2" t="s">
        <v>23</v>
      </c>
      <c r="I1655" s="2" t="s">
        <v>23</v>
      </c>
      <c r="J1655" s="2">
        <v>2</v>
      </c>
      <c r="K1655" s="2" t="s">
        <v>48</v>
      </c>
      <c r="L1655" s="2">
        <v>25095</v>
      </c>
      <c r="M1655" s="2" t="s">
        <v>216</v>
      </c>
      <c r="N1655" s="2">
        <v>20</v>
      </c>
      <c r="O1655" s="2">
        <v>12752.8</v>
      </c>
      <c r="P1655" s="2">
        <v>637.64</v>
      </c>
    </row>
    <row r="1656" spans="1:16" outlineLevel="1" x14ac:dyDescent="0.2">
      <c r="A1656" s="5"/>
      <c r="D1656" s="3" t="s">
        <v>697</v>
      </c>
      <c r="N1656" s="2">
        <f>SUBTOTAL(9,N1655:N1655)</f>
        <v>20</v>
      </c>
      <c r="O1656" s="2">
        <f>SUBTOTAL(9,O1655:O1655)</f>
        <v>12752.8</v>
      </c>
    </row>
    <row r="1657" spans="1:16" outlineLevel="2" x14ac:dyDescent="0.2">
      <c r="A1657" s="5">
        <v>46099</v>
      </c>
      <c r="B1657" s="2">
        <v>157450</v>
      </c>
      <c r="C1657" s="2">
        <v>307</v>
      </c>
      <c r="D1657" s="2" t="s">
        <v>54</v>
      </c>
      <c r="E1657" s="2" t="s">
        <v>20</v>
      </c>
      <c r="F1657" s="2" t="s">
        <v>55</v>
      </c>
      <c r="G1657" s="2" t="s">
        <v>23</v>
      </c>
      <c r="H1657" s="2" t="s">
        <v>23</v>
      </c>
      <c r="I1657" s="2" t="s">
        <v>23</v>
      </c>
      <c r="J1657" s="2">
        <v>1</v>
      </c>
      <c r="K1657" s="2" t="s">
        <v>24</v>
      </c>
      <c r="L1657" s="2">
        <v>25095</v>
      </c>
      <c r="M1657" s="2" t="s">
        <v>216</v>
      </c>
      <c r="N1657" s="2">
        <v>8</v>
      </c>
      <c r="O1657" s="2">
        <v>34971.120000000003</v>
      </c>
      <c r="P1657" s="2">
        <v>4371.3900000000003</v>
      </c>
    </row>
    <row r="1658" spans="1:16" outlineLevel="2" x14ac:dyDescent="0.2">
      <c r="A1658" s="5">
        <v>46087</v>
      </c>
      <c r="B1658" s="2">
        <v>157450</v>
      </c>
      <c r="C1658" s="2">
        <v>315</v>
      </c>
      <c r="D1658" s="2" t="s">
        <v>54</v>
      </c>
      <c r="E1658" s="2" t="s">
        <v>20</v>
      </c>
      <c r="F1658" s="2" t="s">
        <v>55</v>
      </c>
      <c r="G1658" s="2" t="s">
        <v>23</v>
      </c>
      <c r="H1658" s="2" t="s">
        <v>23</v>
      </c>
      <c r="I1658" s="2" t="s">
        <v>23</v>
      </c>
      <c r="J1658" s="2">
        <v>2</v>
      </c>
      <c r="K1658" s="2" t="s">
        <v>48</v>
      </c>
      <c r="L1658" s="2">
        <v>25095</v>
      </c>
      <c r="M1658" s="2" t="s">
        <v>216</v>
      </c>
      <c r="N1658" s="2">
        <v>16</v>
      </c>
      <c r="O1658" s="2">
        <v>64341.599999999999</v>
      </c>
      <c r="P1658" s="2">
        <v>4021.35</v>
      </c>
    </row>
    <row r="1659" spans="1:16" outlineLevel="1" x14ac:dyDescent="0.2">
      <c r="A1659" s="5"/>
      <c r="D1659" s="3" t="s">
        <v>719</v>
      </c>
      <c r="N1659" s="2">
        <f>SUBTOTAL(9,N1657:N1658)</f>
        <v>24</v>
      </c>
      <c r="O1659" s="2">
        <f>SUBTOTAL(9,O1657:O1658)</f>
        <v>99312.72</v>
      </c>
    </row>
    <row r="1660" spans="1:16" outlineLevel="2" x14ac:dyDescent="0.2">
      <c r="A1660" s="5">
        <v>46087</v>
      </c>
      <c r="B1660" s="2">
        <v>157450</v>
      </c>
      <c r="C1660" s="2">
        <v>316</v>
      </c>
      <c r="D1660" s="2" t="s">
        <v>110</v>
      </c>
      <c r="E1660" s="2" t="s">
        <v>111</v>
      </c>
      <c r="F1660" s="2" t="s">
        <v>55</v>
      </c>
      <c r="G1660" s="2" t="s">
        <v>23</v>
      </c>
      <c r="H1660" s="2" t="s">
        <v>23</v>
      </c>
      <c r="I1660" s="2" t="s">
        <v>23</v>
      </c>
      <c r="J1660" s="2">
        <v>2</v>
      </c>
      <c r="K1660" s="2" t="s">
        <v>48</v>
      </c>
      <c r="L1660" s="2">
        <v>25095</v>
      </c>
      <c r="M1660" s="2" t="s">
        <v>216</v>
      </c>
      <c r="N1660" s="2">
        <v>6</v>
      </c>
      <c r="O1660" s="2">
        <v>17827.419999999998</v>
      </c>
      <c r="P1660" s="2">
        <v>2971.24</v>
      </c>
    </row>
    <row r="1661" spans="1:16" outlineLevel="1" x14ac:dyDescent="0.2">
      <c r="A1661" s="5"/>
      <c r="D1661" s="3" t="s">
        <v>697</v>
      </c>
      <c r="N1661" s="2">
        <f>SUBTOTAL(9,N1660:N1660)</f>
        <v>6</v>
      </c>
      <c r="O1661" s="2">
        <f>SUBTOTAL(9,O1660:O1660)</f>
        <v>17827.419999999998</v>
      </c>
    </row>
    <row r="1662" spans="1:16" outlineLevel="2" x14ac:dyDescent="0.2">
      <c r="A1662" s="5">
        <v>46086</v>
      </c>
      <c r="B1662" s="2">
        <v>157453</v>
      </c>
      <c r="C1662" s="2">
        <v>4</v>
      </c>
      <c r="D1662" s="2" t="s">
        <v>38</v>
      </c>
      <c r="E1662" s="2" t="s">
        <v>39</v>
      </c>
      <c r="F1662" s="2" t="s">
        <v>63</v>
      </c>
      <c r="G1662" s="2" t="s">
        <v>22</v>
      </c>
      <c r="H1662" s="2" t="s">
        <v>23</v>
      </c>
      <c r="I1662" s="2" t="s">
        <v>133</v>
      </c>
      <c r="J1662" s="2">
        <v>1</v>
      </c>
      <c r="K1662" s="2" t="s">
        <v>24</v>
      </c>
      <c r="L1662" s="2">
        <v>1846</v>
      </c>
      <c r="M1662" s="2" t="s">
        <v>134</v>
      </c>
      <c r="N1662" s="2">
        <v>176</v>
      </c>
      <c r="O1662" s="2">
        <v>13193815.84</v>
      </c>
      <c r="P1662" s="2">
        <v>74964.86</v>
      </c>
    </row>
    <row r="1663" spans="1:16" outlineLevel="1" x14ac:dyDescent="0.2">
      <c r="A1663" s="5"/>
      <c r="D1663" s="3" t="s">
        <v>721</v>
      </c>
      <c r="N1663" s="2">
        <f>SUBTOTAL(9,N1662:N1662)</f>
        <v>176</v>
      </c>
      <c r="O1663" s="2">
        <f>SUBTOTAL(9,O1662:O1662)</f>
        <v>13193815.84</v>
      </c>
    </row>
    <row r="1664" spans="1:16" outlineLevel="2" x14ac:dyDescent="0.2">
      <c r="A1664" s="5">
        <v>46085</v>
      </c>
      <c r="B1664" s="2">
        <v>157467</v>
      </c>
      <c r="C1664" s="2">
        <v>1</v>
      </c>
      <c r="D1664" s="2" t="s">
        <v>197</v>
      </c>
      <c r="E1664" s="2" t="s">
        <v>284</v>
      </c>
      <c r="F1664" s="2" t="s">
        <v>199</v>
      </c>
      <c r="G1664" s="2" t="s">
        <v>22</v>
      </c>
      <c r="H1664" s="2" t="s">
        <v>23</v>
      </c>
      <c r="I1664" s="2" t="s">
        <v>23</v>
      </c>
      <c r="J1664" s="2">
        <v>2</v>
      </c>
      <c r="K1664" s="2" t="s">
        <v>48</v>
      </c>
      <c r="L1664" s="2">
        <v>182</v>
      </c>
      <c r="M1664" s="2" t="s">
        <v>263</v>
      </c>
      <c r="N1664" s="2">
        <v>0</v>
      </c>
      <c r="O1664" s="2">
        <v>0.03</v>
      </c>
      <c r="P1664" s="2">
        <v>0</v>
      </c>
    </row>
    <row r="1665" spans="1:16" outlineLevel="1" x14ac:dyDescent="0.2">
      <c r="A1665" s="5"/>
      <c r="D1665" s="3" t="s">
        <v>734</v>
      </c>
      <c r="N1665" s="2">
        <f>SUBTOTAL(9,N1664:N1664)</f>
        <v>0</v>
      </c>
      <c r="O1665" s="2">
        <f>SUBTOTAL(9,O1664:O1664)</f>
        <v>0.03</v>
      </c>
      <c r="P1665" s="2">
        <v>0</v>
      </c>
    </row>
    <row r="1666" spans="1:16" outlineLevel="2" x14ac:dyDescent="0.2">
      <c r="A1666" s="5">
        <v>46086</v>
      </c>
      <c r="B1666" s="2">
        <v>157471</v>
      </c>
      <c r="C1666" s="2">
        <v>1</v>
      </c>
      <c r="D1666" s="2" t="s">
        <v>380</v>
      </c>
      <c r="E1666" s="2" t="s">
        <v>284</v>
      </c>
      <c r="F1666" s="2" t="s">
        <v>245</v>
      </c>
      <c r="G1666" s="2" t="s">
        <v>22</v>
      </c>
      <c r="H1666" s="2" t="s">
        <v>23</v>
      </c>
      <c r="I1666" s="2" t="s">
        <v>23</v>
      </c>
      <c r="J1666" s="2">
        <v>2</v>
      </c>
      <c r="K1666" s="2" t="s">
        <v>48</v>
      </c>
      <c r="L1666" s="2">
        <v>183</v>
      </c>
      <c r="M1666" s="2" t="s">
        <v>381</v>
      </c>
      <c r="N1666" s="2">
        <v>507</v>
      </c>
      <c r="O1666" s="2">
        <v>11505206.810000001</v>
      </c>
      <c r="P1666" s="2">
        <v>22692.720000000001</v>
      </c>
    </row>
    <row r="1667" spans="1:16" outlineLevel="1" x14ac:dyDescent="0.2">
      <c r="A1667" s="5"/>
      <c r="D1667" s="3" t="s">
        <v>767</v>
      </c>
      <c r="N1667" s="2">
        <f>SUBTOTAL(9,N1666:N1666)</f>
        <v>507</v>
      </c>
      <c r="O1667" s="2">
        <f>SUBTOTAL(9,O1666:O1666)</f>
        <v>11505206.810000001</v>
      </c>
      <c r="P1667" s="2">
        <f>+O1667/N1667</f>
        <v>22692.715601577911</v>
      </c>
    </row>
    <row r="1668" spans="1:16" outlineLevel="2" x14ac:dyDescent="0.2">
      <c r="A1668" s="5">
        <v>46085</v>
      </c>
      <c r="B1668" s="2">
        <v>157472</v>
      </c>
      <c r="C1668" s="2">
        <v>1</v>
      </c>
      <c r="D1668" s="2" t="s">
        <v>83</v>
      </c>
      <c r="E1668" s="2" t="s">
        <v>348</v>
      </c>
      <c r="F1668" s="2" t="s">
        <v>31</v>
      </c>
      <c r="G1668" s="2" t="s">
        <v>22</v>
      </c>
      <c r="H1668" s="2" t="s">
        <v>23</v>
      </c>
      <c r="I1668" s="2" t="s">
        <v>313</v>
      </c>
      <c r="J1668" s="2">
        <v>1</v>
      </c>
      <c r="K1668" s="2" t="s">
        <v>24</v>
      </c>
      <c r="L1668" s="2">
        <v>226</v>
      </c>
      <c r="M1668" s="2" t="s">
        <v>59</v>
      </c>
      <c r="N1668" s="2">
        <v>84</v>
      </c>
      <c r="O1668" s="2">
        <v>2554181.73</v>
      </c>
      <c r="P1668" s="2">
        <v>30406.93</v>
      </c>
    </row>
    <row r="1669" spans="1:16" outlineLevel="1" x14ac:dyDescent="0.2">
      <c r="A1669" s="5"/>
      <c r="D1669" s="3" t="s">
        <v>701</v>
      </c>
      <c r="N1669" s="2">
        <f>SUBTOTAL(9,N1668:N1668)</f>
        <v>84</v>
      </c>
      <c r="O1669" s="2">
        <f>SUBTOTAL(9,O1668:O1668)</f>
        <v>2554181.73</v>
      </c>
      <c r="P1669" s="2">
        <f>+O1669/N1669</f>
        <v>30406.925357142856</v>
      </c>
    </row>
    <row r="1670" spans="1:16" outlineLevel="2" x14ac:dyDescent="0.2">
      <c r="A1670" s="5">
        <v>46085</v>
      </c>
      <c r="B1670" s="2">
        <v>157472</v>
      </c>
      <c r="C1670" s="2">
        <v>2</v>
      </c>
      <c r="D1670" s="2" t="s">
        <v>336</v>
      </c>
      <c r="E1670" s="2" t="s">
        <v>382</v>
      </c>
      <c r="F1670" s="2" t="s">
        <v>31</v>
      </c>
      <c r="G1670" s="2" t="s">
        <v>22</v>
      </c>
      <c r="H1670" s="2" t="s">
        <v>23</v>
      </c>
      <c r="I1670" s="2" t="s">
        <v>371</v>
      </c>
      <c r="J1670" s="2">
        <v>1</v>
      </c>
      <c r="K1670" s="2" t="s">
        <v>24</v>
      </c>
      <c r="L1670" s="2">
        <v>226</v>
      </c>
      <c r="M1670" s="2" t="s">
        <v>59</v>
      </c>
      <c r="N1670" s="2">
        <v>40</v>
      </c>
      <c r="O1670" s="2">
        <v>1412595.84</v>
      </c>
      <c r="P1670" s="2">
        <v>35314.9</v>
      </c>
    </row>
    <row r="1671" spans="1:16" outlineLevel="1" x14ac:dyDescent="0.2">
      <c r="A1671" s="5"/>
      <c r="D1671" s="3" t="s">
        <v>753</v>
      </c>
      <c r="N1671" s="2">
        <f>SUBTOTAL(9,N1670:N1670)</f>
        <v>40</v>
      </c>
      <c r="O1671" s="2">
        <f>SUBTOTAL(9,O1670:O1670)</f>
        <v>1412595.84</v>
      </c>
      <c r="P1671" s="2">
        <f>+O1671/N1671</f>
        <v>35314.896000000001</v>
      </c>
    </row>
    <row r="1672" spans="1:16" outlineLevel="2" x14ac:dyDescent="0.2">
      <c r="A1672" s="5">
        <v>46085</v>
      </c>
      <c r="B1672" s="2">
        <v>157472</v>
      </c>
      <c r="C1672" s="2">
        <v>3</v>
      </c>
      <c r="D1672" s="2" t="s">
        <v>369</v>
      </c>
      <c r="E1672" s="2" t="s">
        <v>370</v>
      </c>
      <c r="F1672" s="2" t="s">
        <v>31</v>
      </c>
      <c r="G1672" s="2" t="s">
        <v>22</v>
      </c>
      <c r="H1672" s="2" t="s">
        <v>23</v>
      </c>
      <c r="I1672" s="2" t="s">
        <v>180</v>
      </c>
      <c r="J1672" s="2">
        <v>1</v>
      </c>
      <c r="K1672" s="2" t="s">
        <v>24</v>
      </c>
      <c r="L1672" s="2">
        <v>226</v>
      </c>
      <c r="M1672" s="2" t="s">
        <v>59</v>
      </c>
      <c r="N1672" s="2">
        <v>56</v>
      </c>
      <c r="O1672" s="2">
        <v>1547878.97</v>
      </c>
      <c r="P1672" s="2">
        <v>27640.7</v>
      </c>
    </row>
    <row r="1673" spans="1:16" outlineLevel="1" x14ac:dyDescent="0.2">
      <c r="A1673" s="5"/>
      <c r="D1673" s="3" t="s">
        <v>765</v>
      </c>
      <c r="N1673" s="2">
        <f>SUBTOTAL(9,N1672:N1672)</f>
        <v>56</v>
      </c>
      <c r="O1673" s="2">
        <f>SUBTOTAL(9,O1672:O1672)</f>
        <v>1547878.97</v>
      </c>
      <c r="P1673" s="2">
        <f>+O1673/N1673</f>
        <v>27640.695892857144</v>
      </c>
    </row>
    <row r="1674" spans="1:16" outlineLevel="2" x14ac:dyDescent="0.2">
      <c r="A1674" s="5">
        <v>46085</v>
      </c>
      <c r="B1674" s="2">
        <v>157472</v>
      </c>
      <c r="C1674" s="2">
        <v>4</v>
      </c>
      <c r="D1674" s="2" t="s">
        <v>107</v>
      </c>
      <c r="E1674" s="2" t="s">
        <v>363</v>
      </c>
      <c r="F1674" s="2" t="s">
        <v>31</v>
      </c>
      <c r="G1674" s="2" t="s">
        <v>349</v>
      </c>
      <c r="H1674" s="2" t="s">
        <v>23</v>
      </c>
      <c r="I1674" s="2" t="s">
        <v>23</v>
      </c>
      <c r="J1674" s="2">
        <v>11</v>
      </c>
      <c r="K1674" s="2" t="s">
        <v>257</v>
      </c>
      <c r="L1674" s="2">
        <v>226</v>
      </c>
      <c r="M1674" s="2" t="s">
        <v>59</v>
      </c>
      <c r="N1674" s="2">
        <v>65</v>
      </c>
      <c r="O1674" s="2">
        <v>1679728.25</v>
      </c>
      <c r="P1674" s="2">
        <v>25841.97</v>
      </c>
    </row>
    <row r="1675" spans="1:16" outlineLevel="1" x14ac:dyDescent="0.2">
      <c r="A1675" s="5"/>
      <c r="D1675" s="3" t="s">
        <v>726</v>
      </c>
      <c r="N1675" s="2">
        <f>SUBTOTAL(9,N1674:N1674)</f>
        <v>65</v>
      </c>
      <c r="O1675" s="2">
        <f>SUBTOTAL(9,O1674:O1674)</f>
        <v>1679728.25</v>
      </c>
      <c r="P1675" s="2">
        <f>+O1675/N1675</f>
        <v>25841.973076923077</v>
      </c>
    </row>
    <row r="1676" spans="1:16" outlineLevel="2" x14ac:dyDescent="0.2">
      <c r="A1676" s="5">
        <v>46085</v>
      </c>
      <c r="B1676" s="2">
        <v>157472</v>
      </c>
      <c r="C1676" s="2">
        <v>5</v>
      </c>
      <c r="D1676" s="2" t="s">
        <v>60</v>
      </c>
      <c r="E1676" s="2" t="s">
        <v>346</v>
      </c>
      <c r="F1676" s="2" t="s">
        <v>31</v>
      </c>
      <c r="G1676" s="2" t="s">
        <v>22</v>
      </c>
      <c r="H1676" s="2" t="s">
        <v>23</v>
      </c>
      <c r="I1676" s="2" t="s">
        <v>23</v>
      </c>
      <c r="J1676" s="2">
        <v>78</v>
      </c>
      <c r="K1676" s="2" t="s">
        <v>212</v>
      </c>
      <c r="L1676" s="2">
        <v>226</v>
      </c>
      <c r="M1676" s="2" t="s">
        <v>59</v>
      </c>
      <c r="N1676" s="2">
        <v>91</v>
      </c>
      <c r="O1676" s="2">
        <v>2030382.14</v>
      </c>
      <c r="P1676" s="2">
        <v>22311.89</v>
      </c>
    </row>
    <row r="1677" spans="1:16" outlineLevel="2" x14ac:dyDescent="0.2">
      <c r="A1677" s="5">
        <v>46085</v>
      </c>
      <c r="B1677" s="2">
        <v>157472</v>
      </c>
      <c r="C1677" s="2">
        <v>6</v>
      </c>
      <c r="D1677" s="2" t="s">
        <v>60</v>
      </c>
      <c r="E1677" s="2" t="s">
        <v>364</v>
      </c>
      <c r="F1677" s="2" t="s">
        <v>31</v>
      </c>
      <c r="G1677" s="2" t="s">
        <v>22</v>
      </c>
      <c r="H1677" s="2" t="s">
        <v>23</v>
      </c>
      <c r="I1677" s="2" t="s">
        <v>23</v>
      </c>
      <c r="J1677" s="2">
        <v>78</v>
      </c>
      <c r="K1677" s="2" t="s">
        <v>212</v>
      </c>
      <c r="L1677" s="2">
        <v>226</v>
      </c>
      <c r="M1677" s="2" t="s">
        <v>59</v>
      </c>
      <c r="N1677" s="2">
        <v>91</v>
      </c>
      <c r="O1677" s="2">
        <v>2025714.91</v>
      </c>
      <c r="P1677" s="2">
        <v>22260.6</v>
      </c>
    </row>
    <row r="1678" spans="1:16" outlineLevel="1" x14ac:dyDescent="0.2">
      <c r="A1678" s="5"/>
      <c r="D1678" s="3" t="s">
        <v>728</v>
      </c>
      <c r="N1678" s="2">
        <f>SUBTOTAL(9,N1676:N1677)</f>
        <v>182</v>
      </c>
      <c r="O1678" s="2">
        <f>SUBTOTAL(9,O1676:O1677)</f>
        <v>4056097.05</v>
      </c>
      <c r="P1678" s="2">
        <f>+O1678/N1678</f>
        <v>22286.247527472526</v>
      </c>
    </row>
    <row r="1679" spans="1:16" outlineLevel="2" x14ac:dyDescent="0.2">
      <c r="A1679" s="5">
        <v>46157</v>
      </c>
      <c r="B1679" s="2">
        <v>157474</v>
      </c>
      <c r="C1679" s="2">
        <v>300</v>
      </c>
      <c r="D1679" s="2" t="s">
        <v>67</v>
      </c>
      <c r="E1679" s="2" t="s">
        <v>68</v>
      </c>
      <c r="F1679" s="2" t="s">
        <v>47</v>
      </c>
      <c r="G1679" s="2" t="s">
        <v>22</v>
      </c>
      <c r="H1679" s="2" t="s">
        <v>23</v>
      </c>
      <c r="I1679" s="2" t="s">
        <v>23</v>
      </c>
      <c r="J1679" s="2">
        <v>2</v>
      </c>
      <c r="K1679" s="2" t="s">
        <v>48</v>
      </c>
      <c r="L1679" s="2">
        <v>25178</v>
      </c>
      <c r="M1679" s="2" t="s">
        <v>379</v>
      </c>
      <c r="N1679" s="2">
        <v>56</v>
      </c>
      <c r="O1679" s="2">
        <v>285522</v>
      </c>
      <c r="P1679" s="2">
        <v>5098.6099999999997</v>
      </c>
    </row>
    <row r="1680" spans="1:16" outlineLevel="1" x14ac:dyDescent="0.2">
      <c r="A1680" s="5"/>
      <c r="D1680" s="3" t="s">
        <v>720</v>
      </c>
      <c r="N1680" s="2">
        <f>SUBTOTAL(9,N1679:N1679)</f>
        <v>56</v>
      </c>
      <c r="O1680" s="2">
        <f>SUBTOTAL(9,O1679:O1679)</f>
        <v>285522</v>
      </c>
      <c r="P1680" s="2">
        <f>+O1680/N1680</f>
        <v>5098.6071428571431</v>
      </c>
    </row>
    <row r="1681" spans="1:16" outlineLevel="2" x14ac:dyDescent="0.2">
      <c r="A1681" s="5">
        <v>46087</v>
      </c>
      <c r="B1681" s="2">
        <v>157476</v>
      </c>
      <c r="C1681" s="2">
        <v>1</v>
      </c>
      <c r="D1681" s="2" t="s">
        <v>45</v>
      </c>
      <c r="E1681" s="2" t="s">
        <v>46</v>
      </c>
      <c r="F1681" s="2" t="s">
        <v>55</v>
      </c>
      <c r="G1681" s="2" t="s">
        <v>23</v>
      </c>
      <c r="H1681" s="2" t="s">
        <v>23</v>
      </c>
      <c r="I1681" s="2" t="s">
        <v>23</v>
      </c>
      <c r="J1681" s="2">
        <v>2</v>
      </c>
      <c r="K1681" s="2" t="s">
        <v>48</v>
      </c>
      <c r="L1681" s="2">
        <v>600</v>
      </c>
      <c r="M1681" s="2" t="s">
        <v>112</v>
      </c>
      <c r="N1681" s="2">
        <v>6</v>
      </c>
      <c r="O1681" s="2">
        <v>31828.98</v>
      </c>
      <c r="P1681" s="2">
        <v>5304.83</v>
      </c>
    </row>
    <row r="1682" spans="1:16" outlineLevel="1" x14ac:dyDescent="0.2">
      <c r="A1682" s="5"/>
      <c r="D1682" s="3" t="s">
        <v>733</v>
      </c>
      <c r="N1682" s="2">
        <f>SUBTOTAL(9,N1681:N1681)</f>
        <v>6</v>
      </c>
      <c r="O1682" s="2">
        <f>SUBTOTAL(9,O1681:O1681)</f>
        <v>31828.98</v>
      </c>
      <c r="P1682" s="2">
        <f>+O1682/N1682</f>
        <v>5304.83</v>
      </c>
    </row>
    <row r="1683" spans="1:16" outlineLevel="2" x14ac:dyDescent="0.2">
      <c r="A1683" s="5">
        <v>46113</v>
      </c>
      <c r="B1683" s="2">
        <v>157477</v>
      </c>
      <c r="C1683" s="2">
        <v>315</v>
      </c>
      <c r="D1683" s="2" t="s">
        <v>203</v>
      </c>
      <c r="E1683" s="2" t="s">
        <v>125</v>
      </c>
      <c r="F1683" s="2" t="s">
        <v>55</v>
      </c>
      <c r="G1683" s="2" t="s">
        <v>23</v>
      </c>
      <c r="H1683" s="2" t="s">
        <v>23</v>
      </c>
      <c r="I1683" s="2" t="s">
        <v>23</v>
      </c>
      <c r="J1683" s="2">
        <v>2</v>
      </c>
      <c r="K1683" s="2" t="s">
        <v>48</v>
      </c>
      <c r="L1683" s="2">
        <v>626</v>
      </c>
      <c r="M1683" s="2" t="s">
        <v>49</v>
      </c>
      <c r="N1683" s="2">
        <v>0</v>
      </c>
      <c r="O1683" s="2">
        <v>-0.03</v>
      </c>
      <c r="P1683" s="2">
        <v>0</v>
      </c>
    </row>
    <row r="1684" spans="1:16" outlineLevel="2" x14ac:dyDescent="0.2">
      <c r="A1684" s="5">
        <v>46089</v>
      </c>
      <c r="B1684" s="2">
        <v>157479</v>
      </c>
      <c r="C1684" s="2">
        <v>302</v>
      </c>
      <c r="D1684" s="2" t="s">
        <v>203</v>
      </c>
      <c r="E1684" s="2" t="s">
        <v>125</v>
      </c>
      <c r="F1684" s="2" t="s">
        <v>55</v>
      </c>
      <c r="G1684" s="2" t="s">
        <v>23</v>
      </c>
      <c r="H1684" s="2" t="s">
        <v>23</v>
      </c>
      <c r="I1684" s="2" t="s">
        <v>23</v>
      </c>
      <c r="J1684" s="2">
        <v>2</v>
      </c>
      <c r="K1684" s="2" t="s">
        <v>48</v>
      </c>
      <c r="L1684" s="2">
        <v>492</v>
      </c>
      <c r="M1684" s="2" t="s">
        <v>269</v>
      </c>
      <c r="N1684" s="2">
        <v>6</v>
      </c>
      <c r="O1684" s="2">
        <v>3825.84</v>
      </c>
      <c r="P1684" s="2">
        <v>637.64</v>
      </c>
    </row>
    <row r="1685" spans="1:16" outlineLevel="1" x14ac:dyDescent="0.2">
      <c r="A1685" s="5"/>
      <c r="D1685" s="3" t="s">
        <v>735</v>
      </c>
      <c r="N1685" s="2">
        <f>SUBTOTAL(9,N1683:N1684)</f>
        <v>6</v>
      </c>
      <c r="O1685" s="2">
        <f>SUBTOTAL(9,O1683:O1684)</f>
        <v>3825.81</v>
      </c>
      <c r="P1685" s="2">
        <f>+O1685/N1685</f>
        <v>637.63499999999999</v>
      </c>
    </row>
    <row r="1686" spans="1:16" outlineLevel="2" x14ac:dyDescent="0.2">
      <c r="A1686" s="5">
        <v>46092</v>
      </c>
      <c r="B1686" s="2">
        <v>157481</v>
      </c>
      <c r="C1686" s="2">
        <v>2</v>
      </c>
      <c r="D1686" s="2" t="s">
        <v>45</v>
      </c>
      <c r="E1686" s="2" t="s">
        <v>125</v>
      </c>
      <c r="F1686" s="2" t="s">
        <v>55</v>
      </c>
      <c r="G1686" s="2" t="s">
        <v>23</v>
      </c>
      <c r="H1686" s="2" t="s">
        <v>23</v>
      </c>
      <c r="I1686" s="2" t="s">
        <v>23</v>
      </c>
      <c r="J1686" s="2">
        <v>2</v>
      </c>
      <c r="K1686" s="2" t="s">
        <v>48</v>
      </c>
      <c r="L1686" s="2">
        <v>2276</v>
      </c>
      <c r="M1686" s="2" t="s">
        <v>156</v>
      </c>
      <c r="N1686" s="2">
        <v>10</v>
      </c>
      <c r="O1686" s="2">
        <v>40913.58</v>
      </c>
      <c r="P1686" s="2">
        <v>4091.36</v>
      </c>
    </row>
    <row r="1687" spans="1:16" outlineLevel="2" x14ac:dyDescent="0.2">
      <c r="A1687" s="5">
        <v>46094</v>
      </c>
      <c r="B1687" s="2">
        <v>157486</v>
      </c>
      <c r="C1687" s="2">
        <v>2</v>
      </c>
      <c r="D1687" s="2" t="s">
        <v>45</v>
      </c>
      <c r="E1687" s="2" t="s">
        <v>125</v>
      </c>
      <c r="F1687" s="2" t="s">
        <v>55</v>
      </c>
      <c r="G1687" s="2" t="s">
        <v>23</v>
      </c>
      <c r="H1687" s="2" t="s">
        <v>23</v>
      </c>
      <c r="I1687" s="2" t="s">
        <v>23</v>
      </c>
      <c r="J1687" s="2">
        <v>2</v>
      </c>
      <c r="K1687" s="2" t="s">
        <v>48</v>
      </c>
      <c r="L1687" s="2">
        <v>25221</v>
      </c>
      <c r="M1687" s="2" t="s">
        <v>383</v>
      </c>
      <c r="N1687" s="2">
        <v>1</v>
      </c>
      <c r="O1687" s="2">
        <v>2504.52</v>
      </c>
      <c r="P1687" s="2">
        <v>2504.52</v>
      </c>
    </row>
    <row r="1688" spans="1:16" outlineLevel="1" x14ac:dyDescent="0.2">
      <c r="A1688" s="5"/>
      <c r="D1688" s="3" t="s">
        <v>733</v>
      </c>
      <c r="N1688" s="2">
        <f>SUBTOTAL(9,N1686:N1687)</f>
        <v>11</v>
      </c>
      <c r="O1688" s="2">
        <f>SUBTOTAL(9,O1686:O1687)</f>
        <v>43418.1</v>
      </c>
      <c r="P1688" s="2">
        <f>+O1688/N1688</f>
        <v>3947.1</v>
      </c>
    </row>
    <row r="1689" spans="1:16" outlineLevel="2" x14ac:dyDescent="0.2">
      <c r="A1689" s="5">
        <v>46092</v>
      </c>
      <c r="B1689" s="2">
        <v>157487</v>
      </c>
      <c r="C1689" s="2">
        <v>1</v>
      </c>
      <c r="D1689" s="2" t="s">
        <v>140</v>
      </c>
      <c r="E1689" s="2" t="s">
        <v>55</v>
      </c>
      <c r="F1689" s="2" t="s">
        <v>23</v>
      </c>
      <c r="G1689" s="2" t="s">
        <v>23</v>
      </c>
      <c r="H1689" s="2" t="s">
        <v>23</v>
      </c>
      <c r="I1689" s="2" t="s">
        <v>23</v>
      </c>
      <c r="J1689" s="2">
        <v>1</v>
      </c>
      <c r="K1689" s="2" t="s">
        <v>24</v>
      </c>
      <c r="L1689" s="2">
        <v>1833</v>
      </c>
      <c r="M1689" s="2" t="s">
        <v>142</v>
      </c>
      <c r="N1689" s="2">
        <v>6</v>
      </c>
      <c r="O1689" s="2">
        <v>43030.26</v>
      </c>
      <c r="P1689" s="2">
        <v>7171.71</v>
      </c>
    </row>
    <row r="1690" spans="1:16" outlineLevel="1" x14ac:dyDescent="0.2">
      <c r="A1690" s="5"/>
      <c r="D1690" s="3" t="s">
        <v>696</v>
      </c>
      <c r="N1690" s="2">
        <f>SUBTOTAL(9,N1689:N1689)</f>
        <v>6</v>
      </c>
      <c r="O1690" s="2">
        <f>SUBTOTAL(9,O1689:O1689)</f>
        <v>43030.26</v>
      </c>
      <c r="P1690" s="2">
        <f>+O1690/N1690</f>
        <v>7171.71</v>
      </c>
    </row>
    <row r="1691" spans="1:16" outlineLevel="2" x14ac:dyDescent="0.2">
      <c r="A1691" s="5">
        <v>46087</v>
      </c>
      <c r="B1691" s="2">
        <v>157492</v>
      </c>
      <c r="C1691" s="2">
        <v>1</v>
      </c>
      <c r="D1691" s="2" t="s">
        <v>45</v>
      </c>
      <c r="E1691" s="2" t="s">
        <v>227</v>
      </c>
      <c r="F1691" s="2" t="s">
        <v>47</v>
      </c>
      <c r="G1691" s="2" t="s">
        <v>22</v>
      </c>
      <c r="H1691" s="2" t="s">
        <v>23</v>
      </c>
      <c r="I1691" s="2" t="s">
        <v>23</v>
      </c>
      <c r="J1691" s="2">
        <v>41</v>
      </c>
      <c r="K1691" s="2" t="s">
        <v>129</v>
      </c>
      <c r="L1691" s="2">
        <v>1964</v>
      </c>
      <c r="M1691" s="2" t="s">
        <v>49</v>
      </c>
      <c r="N1691" s="2">
        <v>40</v>
      </c>
      <c r="O1691" s="2">
        <v>573434.1</v>
      </c>
      <c r="P1691" s="2">
        <v>14335.85</v>
      </c>
    </row>
    <row r="1692" spans="1:16" outlineLevel="1" x14ac:dyDescent="0.2">
      <c r="A1692" s="5"/>
      <c r="D1692" s="3" t="s">
        <v>733</v>
      </c>
      <c r="N1692" s="2">
        <f>SUBTOTAL(9,N1691:N1691)</f>
        <v>40</v>
      </c>
      <c r="O1692" s="2">
        <f>SUBTOTAL(9,O1691:O1691)</f>
        <v>573434.1</v>
      </c>
      <c r="P1692" s="2">
        <f>+O1692/N1692</f>
        <v>14335.852499999999</v>
      </c>
    </row>
    <row r="1693" spans="1:16" outlineLevel="2" x14ac:dyDescent="0.2">
      <c r="A1693" s="5">
        <v>46087</v>
      </c>
      <c r="B1693" s="2">
        <v>157492</v>
      </c>
      <c r="C1693" s="2">
        <v>2</v>
      </c>
      <c r="D1693" s="2" t="s">
        <v>226</v>
      </c>
      <c r="E1693" s="2" t="s">
        <v>227</v>
      </c>
      <c r="F1693" s="2" t="s">
        <v>47</v>
      </c>
      <c r="G1693" s="2" t="s">
        <v>22</v>
      </c>
      <c r="H1693" s="2" t="s">
        <v>23</v>
      </c>
      <c r="I1693" s="2" t="s">
        <v>23</v>
      </c>
      <c r="J1693" s="2">
        <v>41</v>
      </c>
      <c r="K1693" s="2" t="s">
        <v>129</v>
      </c>
      <c r="L1693" s="2">
        <v>1964</v>
      </c>
      <c r="M1693" s="2" t="s">
        <v>49</v>
      </c>
      <c r="N1693" s="2">
        <v>32</v>
      </c>
      <c r="O1693" s="2">
        <v>675678.71</v>
      </c>
      <c r="P1693" s="2">
        <v>21114.959999999999</v>
      </c>
    </row>
    <row r="1694" spans="1:16" outlineLevel="1" x14ac:dyDescent="0.2">
      <c r="A1694" s="5"/>
      <c r="D1694" s="3" t="s">
        <v>736</v>
      </c>
      <c r="N1694" s="2">
        <f>SUBTOTAL(9,N1693:N1693)</f>
        <v>32</v>
      </c>
      <c r="O1694" s="2">
        <f>SUBTOTAL(9,O1693:O1693)</f>
        <v>675678.71</v>
      </c>
      <c r="P1694" s="2">
        <f>+O1694/N1694</f>
        <v>21114.959687499999</v>
      </c>
    </row>
    <row r="1695" spans="1:16" outlineLevel="2" x14ac:dyDescent="0.2">
      <c r="A1695" s="5">
        <v>46087</v>
      </c>
      <c r="B1695" s="2">
        <v>157492</v>
      </c>
      <c r="C1695" s="2">
        <v>3</v>
      </c>
      <c r="D1695" s="2" t="s">
        <v>45</v>
      </c>
      <c r="E1695" s="2" t="s">
        <v>125</v>
      </c>
      <c r="F1695" s="2" t="s">
        <v>47</v>
      </c>
      <c r="G1695" s="2" t="s">
        <v>22</v>
      </c>
      <c r="H1695" s="2" t="s">
        <v>23</v>
      </c>
      <c r="I1695" s="2" t="s">
        <v>23</v>
      </c>
      <c r="J1695" s="2">
        <v>41</v>
      </c>
      <c r="K1695" s="2" t="s">
        <v>129</v>
      </c>
      <c r="L1695" s="2">
        <v>1964</v>
      </c>
      <c r="M1695" s="2" t="s">
        <v>49</v>
      </c>
      <c r="N1695" s="2">
        <v>25</v>
      </c>
      <c r="O1695" s="2">
        <v>203562.18</v>
      </c>
      <c r="P1695" s="2">
        <v>8142.49</v>
      </c>
    </row>
    <row r="1696" spans="1:16" outlineLevel="2" x14ac:dyDescent="0.2">
      <c r="A1696" s="5">
        <v>46087</v>
      </c>
      <c r="B1696" s="2">
        <v>157492</v>
      </c>
      <c r="C1696" s="2">
        <v>4</v>
      </c>
      <c r="D1696" s="2" t="s">
        <v>45</v>
      </c>
      <c r="E1696" s="2" t="s">
        <v>228</v>
      </c>
      <c r="F1696" s="2" t="s">
        <v>47</v>
      </c>
      <c r="G1696" s="2" t="s">
        <v>22</v>
      </c>
      <c r="H1696" s="2" t="s">
        <v>23</v>
      </c>
      <c r="I1696" s="2" t="s">
        <v>23</v>
      </c>
      <c r="J1696" s="2">
        <v>41</v>
      </c>
      <c r="K1696" s="2" t="s">
        <v>129</v>
      </c>
      <c r="L1696" s="2">
        <v>1964</v>
      </c>
      <c r="M1696" s="2" t="s">
        <v>49</v>
      </c>
      <c r="N1696" s="2">
        <v>2</v>
      </c>
      <c r="O1696" s="2">
        <v>29278.44</v>
      </c>
      <c r="P1696" s="2">
        <v>14639.22</v>
      </c>
    </row>
    <row r="1697" spans="1:16" outlineLevel="1" x14ac:dyDescent="0.2">
      <c r="A1697" s="5"/>
      <c r="D1697" s="3" t="s">
        <v>733</v>
      </c>
      <c r="N1697" s="2">
        <f>SUBTOTAL(9,N1695:N1696)</f>
        <v>27</v>
      </c>
      <c r="O1697" s="2">
        <f>SUBTOTAL(9,O1695:O1696)</f>
        <v>232840.62</v>
      </c>
      <c r="P1697" s="2">
        <f>+O1697/N1697</f>
        <v>8623.7266666666674</v>
      </c>
    </row>
    <row r="1698" spans="1:16" outlineLevel="2" x14ac:dyDescent="0.2">
      <c r="A1698" s="5">
        <v>46087</v>
      </c>
      <c r="B1698" s="2">
        <v>157492</v>
      </c>
      <c r="C1698" s="2">
        <v>5</v>
      </c>
      <c r="D1698" s="2" t="s">
        <v>226</v>
      </c>
      <c r="E1698" s="2" t="s">
        <v>67</v>
      </c>
      <c r="F1698" s="2" t="s">
        <v>47</v>
      </c>
      <c r="G1698" s="2" t="s">
        <v>22</v>
      </c>
      <c r="H1698" s="2" t="s">
        <v>23</v>
      </c>
      <c r="I1698" s="2" t="s">
        <v>23</v>
      </c>
      <c r="J1698" s="2">
        <v>2</v>
      </c>
      <c r="K1698" s="2" t="s">
        <v>48</v>
      </c>
      <c r="L1698" s="2">
        <v>1964</v>
      </c>
      <c r="M1698" s="2" t="s">
        <v>49</v>
      </c>
      <c r="N1698" s="2">
        <v>2</v>
      </c>
      <c r="O1698" s="2">
        <v>22744.37</v>
      </c>
      <c r="P1698" s="2">
        <v>11372.19</v>
      </c>
    </row>
    <row r="1699" spans="1:16" outlineLevel="1" x14ac:dyDescent="0.2">
      <c r="A1699" s="5"/>
      <c r="D1699" s="3" t="s">
        <v>736</v>
      </c>
      <c r="N1699" s="2">
        <f>SUBTOTAL(9,N1698:N1698)</f>
        <v>2</v>
      </c>
      <c r="O1699" s="2">
        <f>SUBTOTAL(9,O1698:O1698)</f>
        <v>22744.37</v>
      </c>
      <c r="P1699" s="2">
        <f>+O1699/N1699</f>
        <v>11372.184999999999</v>
      </c>
    </row>
    <row r="1700" spans="1:16" outlineLevel="2" x14ac:dyDescent="0.2">
      <c r="A1700" s="5">
        <v>46087</v>
      </c>
      <c r="B1700" s="2">
        <v>157493</v>
      </c>
      <c r="C1700" s="2">
        <v>1</v>
      </c>
      <c r="D1700" s="2" t="s">
        <v>336</v>
      </c>
      <c r="E1700" s="2" t="s">
        <v>370</v>
      </c>
      <c r="F1700" s="2" t="s">
        <v>31</v>
      </c>
      <c r="G1700" s="2" t="s">
        <v>22</v>
      </c>
      <c r="H1700" s="2" t="s">
        <v>23</v>
      </c>
      <c r="I1700" s="2" t="s">
        <v>313</v>
      </c>
      <c r="J1700" s="2">
        <v>88</v>
      </c>
      <c r="K1700" s="2" t="s">
        <v>255</v>
      </c>
      <c r="L1700" s="2">
        <v>226</v>
      </c>
      <c r="M1700" s="2" t="s">
        <v>59</v>
      </c>
      <c r="N1700" s="2">
        <v>36</v>
      </c>
      <c r="O1700" s="2">
        <v>1271612.53</v>
      </c>
      <c r="P1700" s="2">
        <v>35322.57</v>
      </c>
    </row>
    <row r="1701" spans="1:16" outlineLevel="1" x14ac:dyDescent="0.2">
      <c r="A1701" s="5"/>
      <c r="D1701" s="3" t="s">
        <v>753</v>
      </c>
      <c r="N1701" s="2">
        <f>SUBTOTAL(9,N1700:N1700)</f>
        <v>36</v>
      </c>
      <c r="O1701" s="2">
        <f>SUBTOTAL(9,O1700:O1700)</f>
        <v>1271612.53</v>
      </c>
      <c r="P1701" s="2">
        <f>+O1701/N1701</f>
        <v>35322.570277777777</v>
      </c>
    </row>
    <row r="1702" spans="1:16" outlineLevel="2" x14ac:dyDescent="0.2">
      <c r="A1702" s="5">
        <v>46087</v>
      </c>
      <c r="B1702" s="2">
        <v>157494</v>
      </c>
      <c r="C1702" s="2">
        <v>1</v>
      </c>
      <c r="D1702" s="2" t="s">
        <v>207</v>
      </c>
      <c r="E1702" s="2" t="s">
        <v>23</v>
      </c>
      <c r="F1702" s="2" t="s">
        <v>47</v>
      </c>
      <c r="G1702" s="2" t="s">
        <v>22</v>
      </c>
      <c r="H1702" s="2" t="s">
        <v>23</v>
      </c>
      <c r="I1702" s="2" t="s">
        <v>23</v>
      </c>
      <c r="J1702" s="2">
        <v>1</v>
      </c>
      <c r="K1702" s="2" t="s">
        <v>24</v>
      </c>
      <c r="L1702" s="2">
        <v>25213</v>
      </c>
      <c r="M1702" s="2" t="s">
        <v>130</v>
      </c>
      <c r="N1702" s="2">
        <v>5</v>
      </c>
      <c r="O1702" s="2">
        <v>390565.35</v>
      </c>
      <c r="P1702" s="2">
        <v>78113.070000000007</v>
      </c>
    </row>
    <row r="1703" spans="1:16" outlineLevel="1" x14ac:dyDescent="0.2">
      <c r="A1703" s="5"/>
      <c r="D1703" s="3" t="s">
        <v>699</v>
      </c>
      <c r="N1703" s="2">
        <f>SUBTOTAL(9,N1702:N1702)</f>
        <v>5</v>
      </c>
      <c r="O1703" s="2">
        <f>SUBTOTAL(9,O1702:O1702)</f>
        <v>390565.35</v>
      </c>
      <c r="P1703" s="2">
        <f>+O1703/N1703</f>
        <v>78113.069999999992</v>
      </c>
    </row>
    <row r="1704" spans="1:16" outlineLevel="2" x14ac:dyDescent="0.2">
      <c r="A1704" s="5">
        <v>46087</v>
      </c>
      <c r="B1704" s="2">
        <v>157494</v>
      </c>
      <c r="C1704" s="2">
        <v>2</v>
      </c>
      <c r="D1704" s="2" t="s">
        <v>128</v>
      </c>
      <c r="E1704" s="2" t="s">
        <v>23</v>
      </c>
      <c r="F1704" s="2" t="s">
        <v>47</v>
      </c>
      <c r="G1704" s="2" t="s">
        <v>22</v>
      </c>
      <c r="H1704" s="2" t="s">
        <v>23</v>
      </c>
      <c r="I1704" s="2" t="s">
        <v>23</v>
      </c>
      <c r="J1704" s="2">
        <v>1</v>
      </c>
      <c r="K1704" s="2" t="s">
        <v>24</v>
      </c>
      <c r="L1704" s="2">
        <v>25213</v>
      </c>
      <c r="M1704" s="2" t="s">
        <v>130</v>
      </c>
      <c r="N1704" s="2">
        <v>2</v>
      </c>
      <c r="O1704" s="2">
        <v>173028.04</v>
      </c>
      <c r="P1704" s="2">
        <v>86514.02</v>
      </c>
    </row>
    <row r="1705" spans="1:16" outlineLevel="2" x14ac:dyDescent="0.2">
      <c r="A1705" s="5">
        <v>46087</v>
      </c>
      <c r="B1705" s="2">
        <v>157494</v>
      </c>
      <c r="C1705" s="2">
        <v>3</v>
      </c>
      <c r="D1705" s="2" t="s">
        <v>128</v>
      </c>
      <c r="E1705" s="2" t="s">
        <v>23</v>
      </c>
      <c r="F1705" s="2" t="s">
        <v>47</v>
      </c>
      <c r="G1705" s="2" t="s">
        <v>22</v>
      </c>
      <c r="H1705" s="2" t="s">
        <v>23</v>
      </c>
      <c r="I1705" s="2" t="s">
        <v>23</v>
      </c>
      <c r="J1705" s="2">
        <v>41</v>
      </c>
      <c r="K1705" s="2" t="s">
        <v>129</v>
      </c>
      <c r="L1705" s="2">
        <v>25213</v>
      </c>
      <c r="M1705" s="2" t="s">
        <v>130</v>
      </c>
      <c r="N1705" s="2">
        <v>25</v>
      </c>
      <c r="O1705" s="2">
        <v>90616</v>
      </c>
      <c r="P1705" s="2">
        <v>3624.64</v>
      </c>
    </row>
    <row r="1706" spans="1:16" outlineLevel="1" x14ac:dyDescent="0.2">
      <c r="A1706" s="5"/>
      <c r="D1706" s="3" t="s">
        <v>732</v>
      </c>
      <c r="N1706" s="2">
        <f>SUBTOTAL(9,N1704:N1705)</f>
        <v>27</v>
      </c>
      <c r="O1706" s="2">
        <f>SUBTOTAL(9,O1704:O1705)</f>
        <v>263644.04000000004</v>
      </c>
      <c r="P1706" s="2">
        <f>+O1706/N1706</f>
        <v>9764.5940740740753</v>
      </c>
    </row>
    <row r="1707" spans="1:16" outlineLevel="2" x14ac:dyDescent="0.2">
      <c r="A1707" s="5">
        <v>46087</v>
      </c>
      <c r="B1707" s="2">
        <v>157494</v>
      </c>
      <c r="C1707" s="2">
        <v>4</v>
      </c>
      <c r="D1707" s="2" t="s">
        <v>207</v>
      </c>
      <c r="E1707" s="2" t="s">
        <v>23</v>
      </c>
      <c r="F1707" s="2" t="s">
        <v>47</v>
      </c>
      <c r="G1707" s="2" t="s">
        <v>22</v>
      </c>
      <c r="H1707" s="2" t="s">
        <v>208</v>
      </c>
      <c r="I1707" s="2" t="s">
        <v>23</v>
      </c>
      <c r="J1707" s="2">
        <v>41</v>
      </c>
      <c r="K1707" s="2" t="s">
        <v>129</v>
      </c>
      <c r="L1707" s="2">
        <v>25213</v>
      </c>
      <c r="M1707" s="2" t="s">
        <v>130</v>
      </c>
      <c r="N1707" s="2">
        <v>50</v>
      </c>
      <c r="O1707" s="2">
        <v>172831.02</v>
      </c>
      <c r="P1707" s="2">
        <v>3456.62</v>
      </c>
    </row>
    <row r="1708" spans="1:16" outlineLevel="1" x14ac:dyDescent="0.2">
      <c r="A1708" s="5"/>
      <c r="D1708" s="3" t="s">
        <v>699</v>
      </c>
      <c r="N1708" s="2">
        <f>SUBTOTAL(9,N1707:N1707)</f>
        <v>50</v>
      </c>
      <c r="O1708" s="2">
        <f>SUBTOTAL(9,O1707:O1707)</f>
        <v>172831.02</v>
      </c>
      <c r="P1708" s="2">
        <f>+O1708/N1708</f>
        <v>3456.6203999999998</v>
      </c>
    </row>
    <row r="1709" spans="1:16" outlineLevel="2" x14ac:dyDescent="0.2">
      <c r="A1709" s="5">
        <v>46087</v>
      </c>
      <c r="B1709" s="2">
        <v>157495</v>
      </c>
      <c r="C1709" s="2">
        <v>1</v>
      </c>
      <c r="D1709" s="2" t="s">
        <v>197</v>
      </c>
      <c r="E1709" s="2" t="s">
        <v>384</v>
      </c>
      <c r="F1709" s="2" t="s">
        <v>199</v>
      </c>
      <c r="G1709" s="2" t="s">
        <v>22</v>
      </c>
      <c r="H1709" s="2" t="s">
        <v>23</v>
      </c>
      <c r="I1709" s="2" t="s">
        <v>23</v>
      </c>
      <c r="J1709" s="2">
        <v>2</v>
      </c>
      <c r="K1709" s="2" t="s">
        <v>48</v>
      </c>
      <c r="L1709" s="2">
        <v>600</v>
      </c>
      <c r="M1709" s="2" t="s">
        <v>112</v>
      </c>
      <c r="N1709" s="2">
        <v>56</v>
      </c>
      <c r="O1709" s="2">
        <v>898205.1</v>
      </c>
      <c r="P1709" s="2">
        <v>16039.38</v>
      </c>
    </row>
    <row r="1710" spans="1:16" outlineLevel="2" x14ac:dyDescent="0.2">
      <c r="A1710" s="5">
        <v>46087</v>
      </c>
      <c r="B1710" s="2">
        <v>157495</v>
      </c>
      <c r="C1710" s="2">
        <v>2</v>
      </c>
      <c r="D1710" s="2" t="s">
        <v>197</v>
      </c>
      <c r="E1710" s="2" t="s">
        <v>88</v>
      </c>
      <c r="F1710" s="2" t="s">
        <v>199</v>
      </c>
      <c r="G1710" s="2" t="s">
        <v>22</v>
      </c>
      <c r="H1710" s="2" t="s">
        <v>23</v>
      </c>
      <c r="I1710" s="2" t="s">
        <v>23</v>
      </c>
      <c r="J1710" s="2">
        <v>2</v>
      </c>
      <c r="K1710" s="2" t="s">
        <v>48</v>
      </c>
      <c r="L1710" s="2">
        <v>600</v>
      </c>
      <c r="M1710" s="2" t="s">
        <v>112</v>
      </c>
      <c r="N1710" s="2">
        <v>16</v>
      </c>
      <c r="O1710" s="2">
        <v>179154.64</v>
      </c>
      <c r="P1710" s="2">
        <v>11197.17</v>
      </c>
    </row>
    <row r="1711" spans="1:16" outlineLevel="1" x14ac:dyDescent="0.2">
      <c r="A1711" s="5"/>
      <c r="D1711" s="3" t="s">
        <v>734</v>
      </c>
      <c r="N1711" s="2">
        <f>SUBTOTAL(9,N1709:N1710)</f>
        <v>72</v>
      </c>
      <c r="O1711" s="2">
        <f>SUBTOTAL(9,O1709:O1710)</f>
        <v>1077359.74</v>
      </c>
      <c r="P1711" s="2">
        <f>+O1711/N1711</f>
        <v>14963.329722222223</v>
      </c>
    </row>
    <row r="1712" spans="1:16" outlineLevel="2" x14ac:dyDescent="0.2">
      <c r="A1712" s="5">
        <v>46087</v>
      </c>
      <c r="B1712" s="2">
        <v>157496</v>
      </c>
      <c r="C1712" s="2">
        <v>1</v>
      </c>
      <c r="D1712" s="2" t="s">
        <v>140</v>
      </c>
      <c r="E1712" s="2" t="s">
        <v>55</v>
      </c>
      <c r="F1712" s="2" t="s">
        <v>23</v>
      </c>
      <c r="G1712" s="2" t="s">
        <v>22</v>
      </c>
      <c r="H1712" s="2" t="s">
        <v>23</v>
      </c>
      <c r="I1712" s="2" t="s">
        <v>23</v>
      </c>
      <c r="J1712" s="2">
        <v>1</v>
      </c>
      <c r="K1712" s="2" t="s">
        <v>24</v>
      </c>
      <c r="L1712" s="2">
        <v>1833</v>
      </c>
      <c r="M1712" s="2" t="s">
        <v>142</v>
      </c>
      <c r="N1712" s="2">
        <v>4</v>
      </c>
      <c r="O1712" s="2">
        <v>30553.72</v>
      </c>
      <c r="P1712" s="2">
        <v>7638.43</v>
      </c>
    </row>
    <row r="1713" spans="1:16" outlineLevel="1" x14ac:dyDescent="0.2">
      <c r="A1713" s="5"/>
      <c r="D1713" s="3" t="s">
        <v>696</v>
      </c>
      <c r="N1713" s="2">
        <f>SUBTOTAL(9,N1712:N1712)</f>
        <v>4</v>
      </c>
      <c r="O1713" s="2">
        <f>SUBTOTAL(9,O1712:O1712)</f>
        <v>30553.72</v>
      </c>
      <c r="P1713" s="2">
        <f>+O1713/N1713</f>
        <v>7638.43</v>
      </c>
    </row>
    <row r="1714" spans="1:16" outlineLevel="2" x14ac:dyDescent="0.2">
      <c r="A1714" s="5">
        <v>46092</v>
      </c>
      <c r="B1714" s="2">
        <v>157497</v>
      </c>
      <c r="C1714" s="2">
        <v>1</v>
      </c>
      <c r="D1714" s="2" t="s">
        <v>54</v>
      </c>
      <c r="E1714" s="2" t="s">
        <v>30</v>
      </c>
      <c r="F1714" s="2" t="s">
        <v>55</v>
      </c>
      <c r="G1714" s="2" t="s">
        <v>23</v>
      </c>
      <c r="H1714" s="2" t="s">
        <v>23</v>
      </c>
      <c r="I1714" s="2" t="s">
        <v>23</v>
      </c>
      <c r="J1714" s="2">
        <v>2</v>
      </c>
      <c r="K1714" s="2" t="s">
        <v>48</v>
      </c>
      <c r="L1714" s="2">
        <v>626</v>
      </c>
      <c r="M1714" s="2" t="s">
        <v>49</v>
      </c>
      <c r="N1714" s="2">
        <v>25</v>
      </c>
      <c r="O1714" s="2">
        <v>109284.75</v>
      </c>
      <c r="P1714" s="2">
        <v>4371.3900000000003</v>
      </c>
    </row>
    <row r="1715" spans="1:16" outlineLevel="1" x14ac:dyDescent="0.2">
      <c r="A1715" s="5"/>
      <c r="D1715" s="3" t="s">
        <v>719</v>
      </c>
      <c r="N1715" s="2">
        <f>SUBTOTAL(9,N1714:N1714)</f>
        <v>25</v>
      </c>
      <c r="O1715" s="2">
        <f>SUBTOTAL(9,O1714:O1714)</f>
        <v>109284.75</v>
      </c>
      <c r="P1715" s="2">
        <f>+O1715/N1715</f>
        <v>4371.3900000000003</v>
      </c>
    </row>
    <row r="1716" spans="1:16" outlineLevel="2" x14ac:dyDescent="0.2">
      <c r="A1716" s="5">
        <v>46092</v>
      </c>
      <c r="B1716" s="2">
        <v>157499</v>
      </c>
      <c r="C1716" s="2">
        <v>500</v>
      </c>
      <c r="D1716" s="2" t="s">
        <v>45</v>
      </c>
      <c r="E1716" s="2" t="s">
        <v>46</v>
      </c>
      <c r="F1716" s="2" t="s">
        <v>55</v>
      </c>
      <c r="G1716" s="2" t="s">
        <v>23</v>
      </c>
      <c r="H1716" s="2" t="s">
        <v>23</v>
      </c>
      <c r="I1716" s="2" t="s">
        <v>23</v>
      </c>
      <c r="J1716" s="2">
        <v>2</v>
      </c>
      <c r="K1716" s="2" t="s">
        <v>48</v>
      </c>
      <c r="L1716" s="2">
        <v>25109</v>
      </c>
      <c r="M1716" s="2" t="s">
        <v>385</v>
      </c>
      <c r="N1716" s="2">
        <v>7</v>
      </c>
      <c r="O1716" s="2">
        <v>43667.89</v>
      </c>
      <c r="P1716" s="2">
        <v>6238.27</v>
      </c>
    </row>
    <row r="1717" spans="1:16" outlineLevel="1" x14ac:dyDescent="0.2">
      <c r="A1717" s="5"/>
      <c r="D1717" s="3" t="s">
        <v>733</v>
      </c>
      <c r="N1717" s="2">
        <f>SUBTOTAL(9,N1716:N1716)</f>
        <v>7</v>
      </c>
      <c r="O1717" s="2">
        <f>SUBTOTAL(9,O1716:O1716)</f>
        <v>43667.89</v>
      </c>
      <c r="P1717" s="2">
        <f>+O1717/N1717</f>
        <v>6238.2699999999995</v>
      </c>
    </row>
    <row r="1718" spans="1:16" outlineLevel="2" x14ac:dyDescent="0.2">
      <c r="A1718" s="5">
        <v>46092</v>
      </c>
      <c r="B1718" s="2">
        <v>157500</v>
      </c>
      <c r="C1718" s="2">
        <v>310</v>
      </c>
      <c r="D1718" s="2" t="s">
        <v>203</v>
      </c>
      <c r="E1718" s="2" t="s">
        <v>238</v>
      </c>
      <c r="F1718" s="2" t="s">
        <v>55</v>
      </c>
      <c r="G1718" s="2" t="s">
        <v>23</v>
      </c>
      <c r="H1718" s="2" t="s">
        <v>23</v>
      </c>
      <c r="I1718" s="2" t="s">
        <v>23</v>
      </c>
      <c r="J1718" s="2">
        <v>2</v>
      </c>
      <c r="K1718" s="2" t="s">
        <v>48</v>
      </c>
      <c r="L1718" s="2">
        <v>492</v>
      </c>
      <c r="M1718" s="2" t="s">
        <v>269</v>
      </c>
      <c r="N1718" s="2">
        <v>1</v>
      </c>
      <c r="O1718" s="2">
        <v>1571.08</v>
      </c>
      <c r="P1718" s="2">
        <v>1571.08</v>
      </c>
    </row>
    <row r="1719" spans="1:16" outlineLevel="1" x14ac:dyDescent="0.2">
      <c r="A1719" s="5"/>
      <c r="D1719" s="3" t="s">
        <v>735</v>
      </c>
      <c r="N1719" s="2">
        <f>SUBTOTAL(9,N1718:N1718)</f>
        <v>1</v>
      </c>
      <c r="O1719" s="2">
        <f>SUBTOTAL(9,O1718:O1718)</f>
        <v>1571.08</v>
      </c>
      <c r="P1719" s="2">
        <f>+O1719/N1719</f>
        <v>1571.08</v>
      </c>
    </row>
    <row r="1720" spans="1:16" outlineLevel="2" x14ac:dyDescent="0.2">
      <c r="A1720" s="5">
        <v>46099</v>
      </c>
      <c r="B1720" s="2">
        <v>157501</v>
      </c>
      <c r="C1720" s="2">
        <v>303</v>
      </c>
      <c r="D1720" s="2" t="s">
        <v>54</v>
      </c>
      <c r="E1720" s="2" t="s">
        <v>30</v>
      </c>
      <c r="F1720" s="2" t="s">
        <v>55</v>
      </c>
      <c r="G1720" s="2" t="s">
        <v>23</v>
      </c>
      <c r="H1720" s="2" t="s">
        <v>23</v>
      </c>
      <c r="I1720" s="2" t="s">
        <v>23</v>
      </c>
      <c r="J1720" s="2">
        <v>1</v>
      </c>
      <c r="K1720" s="2" t="s">
        <v>24</v>
      </c>
      <c r="L1720" s="2">
        <v>2316</v>
      </c>
      <c r="M1720" s="2" t="s">
        <v>206</v>
      </c>
      <c r="N1720" s="2">
        <v>4</v>
      </c>
      <c r="O1720" s="2">
        <v>18419</v>
      </c>
      <c r="P1720" s="2">
        <v>4604.75</v>
      </c>
    </row>
    <row r="1721" spans="1:16" outlineLevel="1" x14ac:dyDescent="0.2">
      <c r="A1721" s="5"/>
      <c r="D1721" s="3" t="s">
        <v>719</v>
      </c>
      <c r="N1721" s="2">
        <f>SUBTOTAL(9,N1720:N1720)</f>
        <v>4</v>
      </c>
      <c r="O1721" s="2">
        <f>SUBTOTAL(9,O1720:O1720)</f>
        <v>18419</v>
      </c>
      <c r="P1721" s="2">
        <f>+O1721/N1721</f>
        <v>4604.75</v>
      </c>
    </row>
    <row r="1722" spans="1:16" outlineLevel="2" x14ac:dyDescent="0.2">
      <c r="A1722" s="5">
        <v>46101</v>
      </c>
      <c r="B1722" s="2">
        <v>157512</v>
      </c>
      <c r="C1722" s="2">
        <v>3</v>
      </c>
      <c r="D1722" s="2" t="s">
        <v>119</v>
      </c>
      <c r="E1722" s="2" t="s">
        <v>120</v>
      </c>
      <c r="F1722" s="2" t="s">
        <v>121</v>
      </c>
      <c r="G1722" s="2" t="s">
        <v>22</v>
      </c>
      <c r="H1722" s="2" t="s">
        <v>23</v>
      </c>
      <c r="I1722" s="2" t="s">
        <v>23</v>
      </c>
      <c r="J1722" s="2">
        <v>1</v>
      </c>
      <c r="K1722" s="2" t="s">
        <v>24</v>
      </c>
      <c r="L1722" s="2">
        <v>25227</v>
      </c>
      <c r="M1722" s="2" t="s">
        <v>123</v>
      </c>
      <c r="N1722" s="2">
        <v>34</v>
      </c>
      <c r="O1722" s="2">
        <v>1321873.3</v>
      </c>
      <c r="P1722" s="2">
        <v>38878.629999999997</v>
      </c>
    </row>
    <row r="1723" spans="1:16" outlineLevel="1" x14ac:dyDescent="0.2">
      <c r="A1723" s="5"/>
      <c r="D1723" s="3" t="s">
        <v>708</v>
      </c>
      <c r="N1723" s="2">
        <f>SUBTOTAL(9,N1722:N1722)</f>
        <v>34</v>
      </c>
      <c r="O1723" s="2">
        <f>SUBTOTAL(9,O1722:O1722)</f>
        <v>1321873.3</v>
      </c>
      <c r="P1723" s="2">
        <f>+O1723/N1723</f>
        <v>38878.626470588235</v>
      </c>
    </row>
    <row r="1724" spans="1:16" outlineLevel="2" x14ac:dyDescent="0.2">
      <c r="A1724" s="5">
        <v>46089</v>
      </c>
      <c r="B1724" s="2">
        <v>157515</v>
      </c>
      <c r="C1724" s="2">
        <v>309</v>
      </c>
      <c r="D1724" s="2" t="s">
        <v>45</v>
      </c>
      <c r="E1724" s="2" t="s">
        <v>228</v>
      </c>
      <c r="F1724" s="2" t="s">
        <v>55</v>
      </c>
      <c r="G1724" s="2" t="s">
        <v>23</v>
      </c>
      <c r="H1724" s="2" t="s">
        <v>23</v>
      </c>
      <c r="I1724" s="2" t="s">
        <v>23</v>
      </c>
      <c r="J1724" s="2">
        <v>2</v>
      </c>
      <c r="K1724" s="2" t="s">
        <v>48</v>
      </c>
      <c r="L1724" s="2">
        <v>1964</v>
      </c>
      <c r="M1724" s="2" t="s">
        <v>49</v>
      </c>
      <c r="N1724" s="2">
        <v>8</v>
      </c>
      <c r="O1724" s="2">
        <v>57373.68</v>
      </c>
      <c r="P1724" s="2">
        <v>7171.71</v>
      </c>
    </row>
    <row r="1725" spans="1:16" outlineLevel="1" x14ac:dyDescent="0.2">
      <c r="A1725" s="5"/>
      <c r="D1725" s="3" t="s">
        <v>733</v>
      </c>
      <c r="N1725" s="2">
        <f>SUBTOTAL(9,N1724:N1724)</f>
        <v>8</v>
      </c>
      <c r="O1725" s="2">
        <f>SUBTOTAL(9,O1724:O1724)</f>
        <v>57373.68</v>
      </c>
      <c r="P1725" s="2">
        <f>+O1725/N1725</f>
        <v>7171.71</v>
      </c>
    </row>
    <row r="1726" spans="1:16" outlineLevel="2" x14ac:dyDescent="0.2">
      <c r="A1726" s="5">
        <v>46092</v>
      </c>
      <c r="B1726" s="2">
        <v>157519</v>
      </c>
      <c r="C1726" s="2">
        <v>1</v>
      </c>
      <c r="D1726" s="2" t="s">
        <v>140</v>
      </c>
      <c r="E1726" s="2" t="s">
        <v>141</v>
      </c>
      <c r="F1726" s="2" t="s">
        <v>55</v>
      </c>
      <c r="G1726" s="2" t="s">
        <v>23</v>
      </c>
      <c r="H1726" s="2" t="s">
        <v>23</v>
      </c>
      <c r="I1726" s="2" t="s">
        <v>23</v>
      </c>
      <c r="J1726" s="2">
        <v>1</v>
      </c>
      <c r="K1726" s="2" t="s">
        <v>24</v>
      </c>
      <c r="L1726" s="2">
        <v>1833</v>
      </c>
      <c r="M1726" s="2" t="s">
        <v>142</v>
      </c>
      <c r="N1726" s="2">
        <v>20</v>
      </c>
      <c r="O1726" s="2">
        <v>487873.27</v>
      </c>
      <c r="P1726" s="2">
        <v>24393.66</v>
      </c>
    </row>
    <row r="1727" spans="1:16" outlineLevel="1" x14ac:dyDescent="0.2">
      <c r="A1727" s="5"/>
      <c r="D1727" s="3" t="s">
        <v>696</v>
      </c>
      <c r="N1727" s="2">
        <f>SUBTOTAL(9,N1726:N1726)</f>
        <v>20</v>
      </c>
      <c r="O1727" s="2">
        <f>SUBTOTAL(9,O1726:O1726)</f>
        <v>487873.27</v>
      </c>
      <c r="P1727" s="2">
        <f>+O1727/N1727</f>
        <v>24393.663500000002</v>
      </c>
    </row>
    <row r="1728" spans="1:16" outlineLevel="2" x14ac:dyDescent="0.2">
      <c r="A1728" s="5">
        <v>46086</v>
      </c>
      <c r="B1728" s="2">
        <v>157520</v>
      </c>
      <c r="C1728" s="2">
        <v>1</v>
      </c>
      <c r="D1728" s="2" t="s">
        <v>75</v>
      </c>
      <c r="E1728" s="2" t="s">
        <v>99</v>
      </c>
      <c r="F1728" s="2" t="s">
        <v>40</v>
      </c>
      <c r="G1728" s="2" t="s">
        <v>22</v>
      </c>
      <c r="H1728" s="2" t="s">
        <v>23</v>
      </c>
      <c r="I1728" s="2" t="s">
        <v>100</v>
      </c>
      <c r="J1728" s="2">
        <v>1</v>
      </c>
      <c r="K1728" s="2" t="s">
        <v>24</v>
      </c>
      <c r="L1728" s="2">
        <v>2024</v>
      </c>
      <c r="M1728" s="2" t="s">
        <v>76</v>
      </c>
      <c r="N1728" s="2">
        <v>161</v>
      </c>
      <c r="O1728" s="2">
        <v>4845463.3099999996</v>
      </c>
      <c r="P1728" s="2">
        <v>30096.05</v>
      </c>
    </row>
    <row r="1729" spans="1:16" outlineLevel="2" x14ac:dyDescent="0.2">
      <c r="A1729" s="5">
        <v>46086</v>
      </c>
      <c r="B1729" s="2">
        <v>157520</v>
      </c>
      <c r="C1729" s="2">
        <v>2</v>
      </c>
      <c r="D1729" s="2" t="s">
        <v>75</v>
      </c>
      <c r="E1729" s="2" t="s">
        <v>99</v>
      </c>
      <c r="F1729" s="2" t="s">
        <v>108</v>
      </c>
      <c r="G1729" s="2" t="s">
        <v>22</v>
      </c>
      <c r="H1729" s="2" t="s">
        <v>23</v>
      </c>
      <c r="I1729" s="2" t="s">
        <v>109</v>
      </c>
      <c r="J1729" s="2">
        <v>1</v>
      </c>
      <c r="K1729" s="2" t="s">
        <v>24</v>
      </c>
      <c r="L1729" s="2">
        <v>2024</v>
      </c>
      <c r="M1729" s="2" t="s">
        <v>76</v>
      </c>
      <c r="N1729" s="2">
        <v>160</v>
      </c>
      <c r="O1729" s="2">
        <v>5227535.38</v>
      </c>
      <c r="P1729" s="2">
        <v>32672.1</v>
      </c>
    </row>
    <row r="1730" spans="1:16" outlineLevel="2" x14ac:dyDescent="0.2">
      <c r="A1730" s="5">
        <v>46099</v>
      </c>
      <c r="B1730" s="2">
        <v>157520</v>
      </c>
      <c r="C1730" s="2">
        <v>4</v>
      </c>
      <c r="D1730" s="2" t="s">
        <v>75</v>
      </c>
      <c r="E1730" s="2" t="s">
        <v>99</v>
      </c>
      <c r="F1730" s="2" t="s">
        <v>108</v>
      </c>
      <c r="G1730" s="2" t="s">
        <v>22</v>
      </c>
      <c r="H1730" s="2" t="s">
        <v>23</v>
      </c>
      <c r="I1730" s="2" t="s">
        <v>152</v>
      </c>
      <c r="J1730" s="2">
        <v>1</v>
      </c>
      <c r="K1730" s="2" t="s">
        <v>24</v>
      </c>
      <c r="L1730" s="2">
        <v>2024</v>
      </c>
      <c r="M1730" s="2" t="s">
        <v>76</v>
      </c>
      <c r="N1730" s="2">
        <v>80</v>
      </c>
      <c r="O1730" s="2">
        <v>2405006.23</v>
      </c>
      <c r="P1730" s="2">
        <v>30062.58</v>
      </c>
    </row>
    <row r="1731" spans="1:16" outlineLevel="2" x14ac:dyDescent="0.2">
      <c r="A1731" s="5">
        <v>46089</v>
      </c>
      <c r="B1731" s="2">
        <v>157552</v>
      </c>
      <c r="C1731" s="2">
        <v>1</v>
      </c>
      <c r="D1731" s="2" t="s">
        <v>75</v>
      </c>
      <c r="E1731" s="2" t="s">
        <v>99</v>
      </c>
      <c r="F1731" s="2" t="s">
        <v>108</v>
      </c>
      <c r="G1731" s="2" t="s">
        <v>22</v>
      </c>
      <c r="H1731" s="2" t="s">
        <v>23</v>
      </c>
      <c r="I1731" s="2" t="s">
        <v>100</v>
      </c>
      <c r="J1731" s="2">
        <v>1</v>
      </c>
      <c r="K1731" s="2" t="s">
        <v>24</v>
      </c>
      <c r="L1731" s="2">
        <v>2024</v>
      </c>
      <c r="M1731" s="2" t="s">
        <v>76</v>
      </c>
      <c r="N1731" s="2">
        <v>160</v>
      </c>
      <c r="O1731" s="2">
        <v>4612945.24</v>
      </c>
      <c r="P1731" s="2">
        <v>28830.91</v>
      </c>
    </row>
    <row r="1732" spans="1:16" outlineLevel="2" x14ac:dyDescent="0.2">
      <c r="A1732" s="5">
        <v>46087</v>
      </c>
      <c r="B1732" s="2">
        <v>157552</v>
      </c>
      <c r="C1732" s="2">
        <v>2</v>
      </c>
      <c r="D1732" s="2" t="s">
        <v>75</v>
      </c>
      <c r="E1732" s="2" t="s">
        <v>99</v>
      </c>
      <c r="F1732" s="2" t="s">
        <v>108</v>
      </c>
      <c r="G1732" s="2" t="s">
        <v>22</v>
      </c>
      <c r="H1732" s="2" t="s">
        <v>23</v>
      </c>
      <c r="I1732" s="2" t="s">
        <v>109</v>
      </c>
      <c r="J1732" s="2">
        <v>1</v>
      </c>
      <c r="K1732" s="2" t="s">
        <v>24</v>
      </c>
      <c r="L1732" s="2">
        <v>2024</v>
      </c>
      <c r="M1732" s="2" t="s">
        <v>76</v>
      </c>
      <c r="N1732" s="2">
        <v>338</v>
      </c>
      <c r="O1732" s="2">
        <v>10065760.17</v>
      </c>
      <c r="P1732" s="2">
        <v>29780.36</v>
      </c>
    </row>
    <row r="1733" spans="1:16" outlineLevel="2" x14ac:dyDescent="0.2">
      <c r="A1733" s="5">
        <v>46089</v>
      </c>
      <c r="B1733" s="2">
        <v>157552</v>
      </c>
      <c r="C1733" s="2">
        <v>3</v>
      </c>
      <c r="D1733" s="2" t="s">
        <v>75</v>
      </c>
      <c r="E1733" s="2" t="s">
        <v>99</v>
      </c>
      <c r="F1733" s="2" t="s">
        <v>108</v>
      </c>
      <c r="G1733" s="2" t="s">
        <v>22</v>
      </c>
      <c r="H1733" s="2" t="s">
        <v>23</v>
      </c>
      <c r="I1733" s="2" t="s">
        <v>101</v>
      </c>
      <c r="J1733" s="2">
        <v>1</v>
      </c>
      <c r="K1733" s="2" t="s">
        <v>24</v>
      </c>
      <c r="L1733" s="2">
        <v>2024</v>
      </c>
      <c r="M1733" s="2" t="s">
        <v>76</v>
      </c>
      <c r="N1733" s="2">
        <v>240</v>
      </c>
      <c r="O1733" s="2">
        <v>7339580.6399999997</v>
      </c>
      <c r="P1733" s="2">
        <v>30581.59</v>
      </c>
    </row>
    <row r="1734" spans="1:16" outlineLevel="1" x14ac:dyDescent="0.2">
      <c r="A1734" s="5"/>
      <c r="D1734" s="3" t="s">
        <v>729</v>
      </c>
      <c r="N1734" s="2">
        <f>SUBTOTAL(9,N1728:N1733)</f>
        <v>1139</v>
      </c>
      <c r="O1734" s="2">
        <f>SUBTOTAL(9,O1728:O1733)</f>
        <v>34496290.969999999</v>
      </c>
      <c r="P1734" s="2">
        <f>+O1734/N1734</f>
        <v>30286.471439859524</v>
      </c>
    </row>
    <row r="1735" spans="1:16" outlineLevel="2" x14ac:dyDescent="0.2">
      <c r="A1735" s="5">
        <v>46089</v>
      </c>
      <c r="B1735" s="2">
        <v>157553</v>
      </c>
      <c r="C1735" s="2">
        <v>1</v>
      </c>
      <c r="D1735" s="2" t="s">
        <v>175</v>
      </c>
      <c r="E1735" s="2" t="s">
        <v>337</v>
      </c>
      <c r="F1735" s="2" t="s">
        <v>40</v>
      </c>
      <c r="G1735" s="2" t="s">
        <v>22</v>
      </c>
      <c r="H1735" s="2" t="s">
        <v>23</v>
      </c>
      <c r="I1735" s="2" t="s">
        <v>23</v>
      </c>
      <c r="J1735" s="2">
        <v>5</v>
      </c>
      <c r="K1735" s="2" t="s">
        <v>27</v>
      </c>
      <c r="L1735" s="2">
        <v>2521</v>
      </c>
      <c r="M1735" s="2" t="s">
        <v>82</v>
      </c>
      <c r="N1735" s="2">
        <v>50</v>
      </c>
      <c r="O1735" s="2">
        <v>1240343.5900000001</v>
      </c>
      <c r="P1735" s="2">
        <v>24806.87</v>
      </c>
    </row>
    <row r="1736" spans="1:16" outlineLevel="1" x14ac:dyDescent="0.2">
      <c r="A1736" s="5"/>
      <c r="D1736" s="3" t="s">
        <v>725</v>
      </c>
      <c r="N1736" s="2">
        <f>SUBTOTAL(9,N1735:N1735)</f>
        <v>50</v>
      </c>
      <c r="O1736" s="2">
        <f>SUBTOTAL(9,O1735:O1735)</f>
        <v>1240343.5900000001</v>
      </c>
      <c r="P1736" s="2">
        <f>+O1736/N1736</f>
        <v>24806.871800000001</v>
      </c>
    </row>
    <row r="1737" spans="1:16" outlineLevel="2" x14ac:dyDescent="0.2">
      <c r="A1737" s="5">
        <v>46086</v>
      </c>
      <c r="B1737" s="2">
        <v>157554</v>
      </c>
      <c r="C1737" s="2">
        <v>1</v>
      </c>
      <c r="D1737" s="2" t="s">
        <v>131</v>
      </c>
      <c r="E1737" s="2" t="s">
        <v>132</v>
      </c>
      <c r="F1737" s="2" t="s">
        <v>40</v>
      </c>
      <c r="G1737" s="2" t="s">
        <v>22</v>
      </c>
      <c r="H1737" s="2" t="s">
        <v>23</v>
      </c>
      <c r="I1737" s="2" t="s">
        <v>23</v>
      </c>
      <c r="J1737" s="2">
        <v>1</v>
      </c>
      <c r="K1737" s="2" t="s">
        <v>24</v>
      </c>
      <c r="L1737" s="2">
        <v>2521</v>
      </c>
      <c r="M1737" s="2" t="s">
        <v>82</v>
      </c>
      <c r="N1737" s="2">
        <v>227</v>
      </c>
      <c r="O1737" s="2">
        <v>6877685.9100000001</v>
      </c>
      <c r="P1737" s="2">
        <v>30298.18</v>
      </c>
    </row>
    <row r="1738" spans="1:16" outlineLevel="1" x14ac:dyDescent="0.2">
      <c r="A1738" s="5"/>
      <c r="D1738" s="3" t="s">
        <v>713</v>
      </c>
      <c r="N1738" s="2">
        <f>SUBTOTAL(9,N1737:N1737)</f>
        <v>227</v>
      </c>
      <c r="O1738" s="2">
        <f>SUBTOTAL(9,O1737:O1737)</f>
        <v>6877685.9100000001</v>
      </c>
      <c r="P1738" s="2">
        <f>+O1738/N1738</f>
        <v>30298.175814977974</v>
      </c>
    </row>
    <row r="1739" spans="1:16" outlineLevel="2" x14ac:dyDescent="0.2">
      <c r="A1739" s="5">
        <v>46094</v>
      </c>
      <c r="B1739" s="2">
        <v>157555</v>
      </c>
      <c r="C1739" s="2">
        <v>1</v>
      </c>
      <c r="D1739" s="2" t="s">
        <v>160</v>
      </c>
      <c r="E1739" s="2" t="s">
        <v>222</v>
      </c>
      <c r="F1739" s="2" t="s">
        <v>40</v>
      </c>
      <c r="G1739" s="2" t="s">
        <v>22</v>
      </c>
      <c r="H1739" s="2" t="s">
        <v>23</v>
      </c>
      <c r="I1739" s="2" t="s">
        <v>23</v>
      </c>
      <c r="J1739" s="2">
        <v>1</v>
      </c>
      <c r="K1739" s="2" t="s">
        <v>24</v>
      </c>
      <c r="L1739" s="2">
        <v>25202</v>
      </c>
      <c r="M1739" s="2" t="s">
        <v>307</v>
      </c>
      <c r="N1739" s="2">
        <v>23</v>
      </c>
      <c r="O1739" s="2">
        <v>59470.79</v>
      </c>
      <c r="P1739" s="2">
        <v>2585.69</v>
      </c>
    </row>
    <row r="1740" spans="1:16" outlineLevel="2" x14ac:dyDescent="0.2">
      <c r="A1740" s="5">
        <v>46094</v>
      </c>
      <c r="B1740" s="2">
        <v>157555</v>
      </c>
      <c r="C1740" s="2">
        <v>200</v>
      </c>
      <c r="D1740" s="2" t="s">
        <v>160</v>
      </c>
      <c r="E1740" s="2" t="s">
        <v>26</v>
      </c>
      <c r="F1740" s="2" t="s">
        <v>23</v>
      </c>
      <c r="G1740" s="2" t="s">
        <v>22</v>
      </c>
      <c r="H1740" s="2" t="s">
        <v>23</v>
      </c>
      <c r="I1740" s="2" t="s">
        <v>23</v>
      </c>
      <c r="J1740" s="2">
        <v>5</v>
      </c>
      <c r="K1740" s="2" t="s">
        <v>27</v>
      </c>
      <c r="L1740" s="2">
        <v>25202</v>
      </c>
      <c r="M1740" s="2" t="s">
        <v>307</v>
      </c>
      <c r="N1740" s="2">
        <v>20</v>
      </c>
      <c r="O1740" s="2">
        <v>138767.01</v>
      </c>
      <c r="P1740" s="2">
        <v>6938.35</v>
      </c>
    </row>
    <row r="1741" spans="1:16" outlineLevel="1" x14ac:dyDescent="0.2">
      <c r="A1741" s="5"/>
      <c r="D1741" s="3" t="s">
        <v>709</v>
      </c>
      <c r="N1741" s="2">
        <f>SUBTOTAL(9,N1739:N1740)</f>
        <v>43</v>
      </c>
      <c r="O1741" s="2">
        <f>SUBTOTAL(9,O1739:O1740)</f>
        <v>198237.80000000002</v>
      </c>
      <c r="P1741" s="2">
        <f>+O1741/N1741</f>
        <v>4610.1813953488372</v>
      </c>
    </row>
    <row r="1742" spans="1:16" outlineLevel="2" x14ac:dyDescent="0.2">
      <c r="A1742" s="5">
        <v>46092</v>
      </c>
      <c r="B1742" s="2">
        <v>157598</v>
      </c>
      <c r="C1742" s="2">
        <v>1</v>
      </c>
      <c r="D1742" s="2" t="s">
        <v>38</v>
      </c>
      <c r="E1742" s="2" t="s">
        <v>39</v>
      </c>
      <c r="F1742" s="2" t="s">
        <v>63</v>
      </c>
      <c r="G1742" s="2" t="s">
        <v>22</v>
      </c>
      <c r="H1742" s="2" t="s">
        <v>23</v>
      </c>
      <c r="I1742" s="2" t="s">
        <v>243</v>
      </c>
      <c r="J1742" s="2">
        <v>1</v>
      </c>
      <c r="K1742" s="2" t="s">
        <v>24</v>
      </c>
      <c r="L1742" s="2">
        <v>1846</v>
      </c>
      <c r="M1742" s="2" t="s">
        <v>134</v>
      </c>
      <c r="N1742" s="2">
        <v>173</v>
      </c>
      <c r="O1742" s="2">
        <v>13808527.76</v>
      </c>
      <c r="P1742" s="2">
        <v>79818.080000000002</v>
      </c>
    </row>
    <row r="1743" spans="1:16" outlineLevel="2" x14ac:dyDescent="0.2">
      <c r="A1743" s="5">
        <v>46090</v>
      </c>
      <c r="B1743" s="2">
        <v>157598</v>
      </c>
      <c r="C1743" s="2">
        <v>3</v>
      </c>
      <c r="D1743" s="2" t="s">
        <v>38</v>
      </c>
      <c r="E1743" s="2" t="s">
        <v>39</v>
      </c>
      <c r="F1743" s="2" t="s">
        <v>63</v>
      </c>
      <c r="G1743" s="2" t="s">
        <v>22</v>
      </c>
      <c r="H1743" s="2" t="s">
        <v>23</v>
      </c>
      <c r="I1743" s="2" t="s">
        <v>135</v>
      </c>
      <c r="J1743" s="2">
        <v>1</v>
      </c>
      <c r="K1743" s="2" t="s">
        <v>24</v>
      </c>
      <c r="L1743" s="2">
        <v>1846</v>
      </c>
      <c r="M1743" s="2" t="s">
        <v>134</v>
      </c>
      <c r="N1743" s="2">
        <v>180</v>
      </c>
      <c r="O1743" s="2">
        <v>15255850.359999999</v>
      </c>
      <c r="P1743" s="2">
        <v>84754.72</v>
      </c>
    </row>
    <row r="1744" spans="1:16" outlineLevel="2" x14ac:dyDescent="0.2">
      <c r="A1744" s="5">
        <v>46090</v>
      </c>
      <c r="B1744" s="2">
        <v>157598</v>
      </c>
      <c r="C1744" s="2">
        <v>4</v>
      </c>
      <c r="D1744" s="2" t="s">
        <v>38</v>
      </c>
      <c r="E1744" s="2" t="s">
        <v>39</v>
      </c>
      <c r="F1744" s="2" t="s">
        <v>63</v>
      </c>
      <c r="G1744" s="2" t="s">
        <v>22</v>
      </c>
      <c r="H1744" s="2" t="s">
        <v>23</v>
      </c>
      <c r="I1744" s="2" t="s">
        <v>133</v>
      </c>
      <c r="J1744" s="2">
        <v>1</v>
      </c>
      <c r="K1744" s="2" t="s">
        <v>24</v>
      </c>
      <c r="L1744" s="2">
        <v>1846</v>
      </c>
      <c r="M1744" s="2" t="s">
        <v>134</v>
      </c>
      <c r="N1744" s="2">
        <v>352</v>
      </c>
      <c r="O1744" s="2">
        <v>27297911.93</v>
      </c>
      <c r="P1744" s="2">
        <v>77550.89</v>
      </c>
    </row>
    <row r="1745" spans="1:16" outlineLevel="2" x14ac:dyDescent="0.2">
      <c r="A1745" s="5">
        <v>46090</v>
      </c>
      <c r="B1745" s="2">
        <v>157599</v>
      </c>
      <c r="C1745" s="2">
        <v>1</v>
      </c>
      <c r="D1745" s="2" t="s">
        <v>38</v>
      </c>
      <c r="E1745" s="2" t="s">
        <v>39</v>
      </c>
      <c r="F1745" s="2" t="s">
        <v>63</v>
      </c>
      <c r="G1745" s="2" t="s">
        <v>22</v>
      </c>
      <c r="H1745" s="2" t="s">
        <v>23</v>
      </c>
      <c r="I1745" s="2" t="s">
        <v>243</v>
      </c>
      <c r="J1745" s="2">
        <v>1</v>
      </c>
      <c r="K1745" s="2" t="s">
        <v>24</v>
      </c>
      <c r="L1745" s="2">
        <v>2586</v>
      </c>
      <c r="M1745" s="2" t="s">
        <v>65</v>
      </c>
      <c r="N1745" s="2">
        <v>176</v>
      </c>
      <c r="O1745" s="2">
        <v>13595065.85</v>
      </c>
      <c r="P1745" s="2">
        <v>77244.69</v>
      </c>
    </row>
    <row r="1746" spans="1:16" outlineLevel="2" x14ac:dyDescent="0.2">
      <c r="A1746" s="5">
        <v>46090</v>
      </c>
      <c r="B1746" s="2">
        <v>157599</v>
      </c>
      <c r="C1746" s="2">
        <v>2</v>
      </c>
      <c r="D1746" s="2" t="s">
        <v>38</v>
      </c>
      <c r="E1746" s="2" t="s">
        <v>39</v>
      </c>
      <c r="F1746" s="2" t="s">
        <v>63</v>
      </c>
      <c r="G1746" s="2" t="s">
        <v>22</v>
      </c>
      <c r="H1746" s="2" t="s">
        <v>23</v>
      </c>
      <c r="I1746" s="2" t="s">
        <v>116</v>
      </c>
      <c r="J1746" s="2">
        <v>1</v>
      </c>
      <c r="K1746" s="2" t="s">
        <v>24</v>
      </c>
      <c r="L1746" s="2">
        <v>2586</v>
      </c>
      <c r="M1746" s="2" t="s">
        <v>65</v>
      </c>
      <c r="N1746" s="2">
        <v>528</v>
      </c>
      <c r="O1746" s="2">
        <v>44442128.5</v>
      </c>
      <c r="P1746" s="2">
        <v>84170.7</v>
      </c>
    </row>
    <row r="1747" spans="1:16" outlineLevel="2" x14ac:dyDescent="0.2">
      <c r="A1747" s="5">
        <v>46090</v>
      </c>
      <c r="B1747" s="2">
        <v>157599</v>
      </c>
      <c r="C1747" s="2">
        <v>3</v>
      </c>
      <c r="D1747" s="2" t="s">
        <v>38</v>
      </c>
      <c r="E1747" s="2" t="s">
        <v>39</v>
      </c>
      <c r="F1747" s="2" t="s">
        <v>63</v>
      </c>
      <c r="G1747" s="2" t="s">
        <v>22</v>
      </c>
      <c r="H1747" s="2" t="s">
        <v>23</v>
      </c>
      <c r="I1747" s="2" t="s">
        <v>135</v>
      </c>
      <c r="J1747" s="2">
        <v>1</v>
      </c>
      <c r="K1747" s="2" t="s">
        <v>24</v>
      </c>
      <c r="L1747" s="2">
        <v>2586</v>
      </c>
      <c r="M1747" s="2" t="s">
        <v>65</v>
      </c>
      <c r="N1747" s="2">
        <v>128</v>
      </c>
      <c r="O1747" s="2">
        <v>10714420.189999999</v>
      </c>
      <c r="P1747" s="2">
        <v>83706.41</v>
      </c>
    </row>
    <row r="1748" spans="1:16" outlineLevel="2" x14ac:dyDescent="0.2">
      <c r="A1748" s="5">
        <v>46090</v>
      </c>
      <c r="B1748" s="2">
        <v>157599</v>
      </c>
      <c r="C1748" s="2">
        <v>4</v>
      </c>
      <c r="D1748" s="2" t="s">
        <v>38</v>
      </c>
      <c r="E1748" s="2" t="s">
        <v>39</v>
      </c>
      <c r="F1748" s="2" t="s">
        <v>63</v>
      </c>
      <c r="G1748" s="2" t="s">
        <v>22</v>
      </c>
      <c r="H1748" s="2" t="s">
        <v>23</v>
      </c>
      <c r="I1748" s="2" t="s">
        <v>133</v>
      </c>
      <c r="J1748" s="2">
        <v>1</v>
      </c>
      <c r="K1748" s="2" t="s">
        <v>24</v>
      </c>
      <c r="L1748" s="2">
        <v>2586</v>
      </c>
      <c r="M1748" s="2" t="s">
        <v>65</v>
      </c>
      <c r="N1748" s="2">
        <v>653</v>
      </c>
      <c r="O1748" s="2">
        <v>50988343.609999999</v>
      </c>
      <c r="P1748" s="2">
        <v>78083.22</v>
      </c>
    </row>
    <row r="1749" spans="1:16" outlineLevel="2" x14ac:dyDescent="0.2">
      <c r="A1749" s="5">
        <v>46090</v>
      </c>
      <c r="B1749" s="2">
        <v>157599</v>
      </c>
      <c r="C1749" s="2">
        <v>5</v>
      </c>
      <c r="D1749" s="2" t="s">
        <v>38</v>
      </c>
      <c r="E1749" s="2" t="s">
        <v>39</v>
      </c>
      <c r="F1749" s="2" t="s">
        <v>63</v>
      </c>
      <c r="G1749" s="2" t="s">
        <v>22</v>
      </c>
      <c r="H1749" s="2" t="s">
        <v>23</v>
      </c>
      <c r="I1749" s="2" t="s">
        <v>23</v>
      </c>
      <c r="J1749" s="2">
        <v>124</v>
      </c>
      <c r="K1749" s="2" t="s">
        <v>155</v>
      </c>
      <c r="L1749" s="2">
        <v>2586</v>
      </c>
      <c r="M1749" s="2" t="s">
        <v>65</v>
      </c>
      <c r="N1749" s="2">
        <v>60</v>
      </c>
      <c r="O1749" s="2">
        <v>5022822</v>
      </c>
      <c r="P1749" s="2">
        <v>83713.7</v>
      </c>
    </row>
    <row r="1750" spans="1:16" outlineLevel="2" x14ac:dyDescent="0.2">
      <c r="A1750" s="5">
        <v>46090</v>
      </c>
      <c r="B1750" s="2">
        <v>157600</v>
      </c>
      <c r="C1750" s="2">
        <v>2</v>
      </c>
      <c r="D1750" s="2" t="s">
        <v>38</v>
      </c>
      <c r="E1750" s="2" t="s">
        <v>39</v>
      </c>
      <c r="F1750" s="2" t="s">
        <v>290</v>
      </c>
      <c r="G1750" s="2" t="s">
        <v>349</v>
      </c>
      <c r="H1750" s="2" t="s">
        <v>23</v>
      </c>
      <c r="I1750" s="2" t="s">
        <v>23</v>
      </c>
      <c r="J1750" s="2">
        <v>40</v>
      </c>
      <c r="K1750" s="2" t="s">
        <v>43</v>
      </c>
      <c r="L1750" s="2">
        <v>2552</v>
      </c>
      <c r="M1750" s="2" t="s">
        <v>386</v>
      </c>
      <c r="N1750" s="2">
        <v>238</v>
      </c>
      <c r="O1750" s="2">
        <v>10918975</v>
      </c>
      <c r="P1750" s="2">
        <v>45878.05</v>
      </c>
    </row>
    <row r="1751" spans="1:16" outlineLevel="1" x14ac:dyDescent="0.2">
      <c r="A1751" s="5"/>
      <c r="D1751" s="3" t="s">
        <v>721</v>
      </c>
      <c r="N1751" s="2">
        <f>SUBTOTAL(9,N1742:N1750)</f>
        <v>2488</v>
      </c>
      <c r="O1751" s="2">
        <f>SUBTOTAL(9,O1742:O1750)</f>
        <v>192044045.19999999</v>
      </c>
      <c r="P1751" s="2">
        <f>+O1751/N1751</f>
        <v>77188.121061093247</v>
      </c>
    </row>
    <row r="1752" spans="1:16" outlineLevel="2" x14ac:dyDescent="0.2">
      <c r="A1752" s="5">
        <v>46089</v>
      </c>
      <c r="B1752" s="2">
        <v>157601</v>
      </c>
      <c r="C1752" s="2">
        <v>1</v>
      </c>
      <c r="D1752" s="2" t="s">
        <v>229</v>
      </c>
      <c r="E1752" s="2" t="s">
        <v>230</v>
      </c>
      <c r="F1752" s="2" t="s">
        <v>40</v>
      </c>
      <c r="G1752" s="2" t="s">
        <v>22</v>
      </c>
      <c r="H1752" s="2" t="s">
        <v>23</v>
      </c>
      <c r="I1752" s="2" t="s">
        <v>101</v>
      </c>
      <c r="J1752" s="2">
        <v>1</v>
      </c>
      <c r="K1752" s="2" t="s">
        <v>24</v>
      </c>
      <c r="L1752" s="2">
        <v>331</v>
      </c>
      <c r="M1752" s="2" t="s">
        <v>356</v>
      </c>
      <c r="N1752" s="2">
        <v>216</v>
      </c>
      <c r="O1752" s="2">
        <v>2265954.9500000002</v>
      </c>
      <c r="P1752" s="2">
        <v>10490.53</v>
      </c>
    </row>
    <row r="1753" spans="1:16" outlineLevel="2" x14ac:dyDescent="0.2">
      <c r="A1753" s="5">
        <v>46089</v>
      </c>
      <c r="B1753" s="2">
        <v>157601</v>
      </c>
      <c r="C1753" s="2">
        <v>4</v>
      </c>
      <c r="D1753" s="2" t="s">
        <v>229</v>
      </c>
      <c r="E1753" s="2" t="s">
        <v>230</v>
      </c>
      <c r="F1753" s="2" t="s">
        <v>40</v>
      </c>
      <c r="G1753" s="2" t="s">
        <v>22</v>
      </c>
      <c r="H1753" s="2" t="s">
        <v>23</v>
      </c>
      <c r="I1753" s="2" t="s">
        <v>79</v>
      </c>
      <c r="J1753" s="2">
        <v>1</v>
      </c>
      <c r="K1753" s="2" t="s">
        <v>24</v>
      </c>
      <c r="L1753" s="2">
        <v>331</v>
      </c>
      <c r="M1753" s="2" t="s">
        <v>356</v>
      </c>
      <c r="N1753" s="2">
        <v>647</v>
      </c>
      <c r="O1753" s="2">
        <v>7795866.4000000004</v>
      </c>
      <c r="P1753" s="2">
        <v>12049.25</v>
      </c>
    </row>
    <row r="1754" spans="1:16" outlineLevel="1" x14ac:dyDescent="0.2">
      <c r="A1754" s="5"/>
      <c r="D1754" s="3" t="s">
        <v>737</v>
      </c>
      <c r="N1754" s="2">
        <f>SUBTOTAL(9,N1752:N1753)</f>
        <v>863</v>
      </c>
      <c r="O1754" s="2">
        <f>SUBTOTAL(9,O1752:O1753)</f>
        <v>10061821.350000001</v>
      </c>
      <c r="P1754" s="2">
        <f>+O1754/N1754</f>
        <v>11659.120915411357</v>
      </c>
    </row>
    <row r="1755" spans="1:16" outlineLevel="2" x14ac:dyDescent="0.2">
      <c r="A1755" s="5">
        <v>46097</v>
      </c>
      <c r="B1755" s="2">
        <v>157606</v>
      </c>
      <c r="C1755" s="2">
        <v>2</v>
      </c>
      <c r="D1755" s="2" t="s">
        <v>29</v>
      </c>
      <c r="E1755" s="2" t="s">
        <v>55</v>
      </c>
      <c r="F1755" s="2" t="s">
        <v>23</v>
      </c>
      <c r="G1755" s="2" t="s">
        <v>23</v>
      </c>
      <c r="H1755" s="2" t="s">
        <v>23</v>
      </c>
      <c r="I1755" s="2" t="s">
        <v>23</v>
      </c>
      <c r="J1755" s="2">
        <v>1</v>
      </c>
      <c r="K1755" s="2" t="s">
        <v>24</v>
      </c>
      <c r="L1755" s="2">
        <v>25177</v>
      </c>
      <c r="M1755" s="2" t="s">
        <v>32</v>
      </c>
      <c r="N1755" s="2">
        <v>163</v>
      </c>
      <c r="O1755" s="2">
        <v>661640.32999999996</v>
      </c>
      <c r="P1755" s="2">
        <v>4059.14</v>
      </c>
    </row>
    <row r="1756" spans="1:16" outlineLevel="2" x14ac:dyDescent="0.2">
      <c r="A1756" s="5">
        <v>46097</v>
      </c>
      <c r="B1756" s="2">
        <v>157606</v>
      </c>
      <c r="C1756" s="2">
        <v>3</v>
      </c>
      <c r="D1756" s="2" t="s">
        <v>29</v>
      </c>
      <c r="E1756" s="2" t="s">
        <v>55</v>
      </c>
      <c r="F1756" s="2" t="s">
        <v>23</v>
      </c>
      <c r="G1756" s="2" t="s">
        <v>23</v>
      </c>
      <c r="H1756" s="2" t="s">
        <v>23</v>
      </c>
      <c r="I1756" s="2" t="s">
        <v>23</v>
      </c>
      <c r="J1756" s="2">
        <v>1</v>
      </c>
      <c r="K1756" s="2" t="s">
        <v>24</v>
      </c>
      <c r="L1756" s="2">
        <v>25177</v>
      </c>
      <c r="M1756" s="2" t="s">
        <v>32</v>
      </c>
      <c r="N1756" s="2">
        <v>5</v>
      </c>
      <c r="O1756" s="2">
        <v>40525.75</v>
      </c>
      <c r="P1756" s="2">
        <v>8105.15</v>
      </c>
    </row>
    <row r="1757" spans="1:16" outlineLevel="1" x14ac:dyDescent="0.2">
      <c r="A1757" s="5"/>
      <c r="D1757" s="3" t="s">
        <v>703</v>
      </c>
      <c r="N1757" s="2">
        <f>SUBTOTAL(9,N1755:N1756)</f>
        <v>168</v>
      </c>
      <c r="O1757" s="2">
        <f>SUBTOTAL(9,O1755:O1756)</f>
        <v>702166.08</v>
      </c>
      <c r="P1757" s="2">
        <f>+O1757/N1757</f>
        <v>4179.5599999999995</v>
      </c>
    </row>
    <row r="1758" spans="1:16" outlineLevel="2" x14ac:dyDescent="0.2">
      <c r="A1758" s="5">
        <v>46089</v>
      </c>
      <c r="B1758" s="2">
        <v>157610</v>
      </c>
      <c r="C1758" s="2">
        <v>301</v>
      </c>
      <c r="D1758" s="2" t="s">
        <v>203</v>
      </c>
      <c r="E1758" s="2" t="s">
        <v>125</v>
      </c>
      <c r="F1758" s="2" t="s">
        <v>55</v>
      </c>
      <c r="G1758" s="2" t="s">
        <v>23</v>
      </c>
      <c r="H1758" s="2" t="s">
        <v>23</v>
      </c>
      <c r="I1758" s="2" t="s">
        <v>23</v>
      </c>
      <c r="J1758" s="2">
        <v>2</v>
      </c>
      <c r="K1758" s="2" t="s">
        <v>48</v>
      </c>
      <c r="L1758" s="2">
        <v>492</v>
      </c>
      <c r="M1758" s="2" t="s">
        <v>269</v>
      </c>
      <c r="N1758" s="2">
        <v>8</v>
      </c>
      <c r="O1758" s="2">
        <v>5101.12</v>
      </c>
      <c r="P1758" s="2">
        <v>637.64</v>
      </c>
    </row>
    <row r="1759" spans="1:16" outlineLevel="1" x14ac:dyDescent="0.2">
      <c r="A1759" s="5"/>
      <c r="D1759" s="3" t="s">
        <v>735</v>
      </c>
      <c r="N1759" s="2">
        <f>SUBTOTAL(9,N1758:N1758)</f>
        <v>8</v>
      </c>
      <c r="O1759" s="2">
        <f>SUBTOTAL(9,O1758:O1758)</f>
        <v>5101.12</v>
      </c>
      <c r="P1759" s="2">
        <f>+O1759/N1759</f>
        <v>637.64</v>
      </c>
    </row>
    <row r="1760" spans="1:16" outlineLevel="2" x14ac:dyDescent="0.2">
      <c r="A1760" s="5">
        <v>46101</v>
      </c>
      <c r="B1760" s="2">
        <v>157614</v>
      </c>
      <c r="C1760" s="2">
        <v>1</v>
      </c>
      <c r="D1760" s="2" t="s">
        <v>60</v>
      </c>
      <c r="E1760" s="2" t="s">
        <v>387</v>
      </c>
      <c r="F1760" s="2" t="s">
        <v>55</v>
      </c>
      <c r="G1760" s="2" t="s">
        <v>23</v>
      </c>
      <c r="H1760" s="2" t="s">
        <v>23</v>
      </c>
      <c r="I1760" s="2" t="s">
        <v>23</v>
      </c>
      <c r="J1760" s="2">
        <v>1</v>
      </c>
      <c r="K1760" s="2" t="s">
        <v>24</v>
      </c>
      <c r="L1760" s="2">
        <v>600</v>
      </c>
      <c r="M1760" s="2" t="s">
        <v>112</v>
      </c>
      <c r="N1760" s="2">
        <v>5</v>
      </c>
      <c r="O1760" s="2">
        <v>118001.2</v>
      </c>
      <c r="P1760" s="2">
        <v>23600.240000000002</v>
      </c>
    </row>
    <row r="1761" spans="1:16" outlineLevel="1" x14ac:dyDescent="0.2">
      <c r="A1761" s="5"/>
      <c r="D1761" s="3" t="s">
        <v>728</v>
      </c>
      <c r="N1761" s="2">
        <f>SUBTOTAL(9,N1760:N1760)</f>
        <v>5</v>
      </c>
      <c r="O1761" s="2">
        <f>SUBTOTAL(9,O1760:O1760)</f>
        <v>118001.2</v>
      </c>
      <c r="P1761" s="2">
        <f>+O1761/N1761</f>
        <v>23600.239999999998</v>
      </c>
    </row>
    <row r="1762" spans="1:16" outlineLevel="2" x14ac:dyDescent="0.2">
      <c r="A1762" s="5">
        <v>46094</v>
      </c>
      <c r="B1762" s="2">
        <v>157620</v>
      </c>
      <c r="C1762" s="2">
        <v>1</v>
      </c>
      <c r="D1762" s="2" t="s">
        <v>140</v>
      </c>
      <c r="E1762" s="2" t="s">
        <v>55</v>
      </c>
      <c r="F1762" s="2" t="s">
        <v>23</v>
      </c>
      <c r="G1762" s="2" t="s">
        <v>23</v>
      </c>
      <c r="H1762" s="2" t="s">
        <v>23</v>
      </c>
      <c r="I1762" s="2" t="s">
        <v>23</v>
      </c>
      <c r="J1762" s="2">
        <v>1</v>
      </c>
      <c r="K1762" s="2" t="s">
        <v>24</v>
      </c>
      <c r="L1762" s="2">
        <v>1833</v>
      </c>
      <c r="M1762" s="2" t="s">
        <v>142</v>
      </c>
      <c r="N1762" s="2">
        <v>5</v>
      </c>
      <c r="O1762" s="2">
        <v>115200.9</v>
      </c>
      <c r="P1762" s="2">
        <v>23040.18</v>
      </c>
    </row>
    <row r="1763" spans="1:16" outlineLevel="1" x14ac:dyDescent="0.2">
      <c r="A1763" s="5"/>
      <c r="D1763" s="3" t="s">
        <v>696</v>
      </c>
      <c r="N1763" s="2">
        <f>SUBTOTAL(9,N1762:N1762)</f>
        <v>5</v>
      </c>
      <c r="O1763" s="2">
        <f>SUBTOTAL(9,O1762:O1762)</f>
        <v>115200.9</v>
      </c>
      <c r="P1763" s="2">
        <f>+O1763/N1763</f>
        <v>23040.18</v>
      </c>
    </row>
    <row r="1764" spans="1:16" outlineLevel="2" x14ac:dyDescent="0.2">
      <c r="A1764" s="5">
        <v>46090</v>
      </c>
      <c r="B1764" s="2">
        <v>157621</v>
      </c>
      <c r="C1764" s="2">
        <v>1</v>
      </c>
      <c r="D1764" s="2" t="s">
        <v>207</v>
      </c>
      <c r="E1764" s="2" t="s">
        <v>23</v>
      </c>
      <c r="F1764" s="2" t="s">
        <v>47</v>
      </c>
      <c r="G1764" s="2" t="s">
        <v>22</v>
      </c>
      <c r="H1764" s="2" t="s">
        <v>208</v>
      </c>
      <c r="I1764" s="2" t="s">
        <v>23</v>
      </c>
      <c r="J1764" s="2">
        <v>41</v>
      </c>
      <c r="K1764" s="2" t="s">
        <v>129</v>
      </c>
      <c r="L1764" s="2">
        <v>25213</v>
      </c>
      <c r="M1764" s="2" t="s">
        <v>130</v>
      </c>
      <c r="N1764" s="2">
        <v>50</v>
      </c>
      <c r="O1764" s="2">
        <v>181232</v>
      </c>
      <c r="P1764" s="2">
        <v>3624.64</v>
      </c>
    </row>
    <row r="1765" spans="1:16" outlineLevel="2" x14ac:dyDescent="0.2">
      <c r="A1765" s="5">
        <v>46090</v>
      </c>
      <c r="B1765" s="2">
        <v>157621</v>
      </c>
      <c r="C1765" s="2">
        <v>2</v>
      </c>
      <c r="D1765" s="2" t="s">
        <v>207</v>
      </c>
      <c r="E1765" s="2" t="s">
        <v>23</v>
      </c>
      <c r="F1765" s="2" t="s">
        <v>47</v>
      </c>
      <c r="G1765" s="2" t="s">
        <v>22</v>
      </c>
      <c r="H1765" s="2" t="s">
        <v>209</v>
      </c>
      <c r="I1765" s="2" t="s">
        <v>23</v>
      </c>
      <c r="J1765" s="2">
        <v>41</v>
      </c>
      <c r="K1765" s="2" t="s">
        <v>129</v>
      </c>
      <c r="L1765" s="2">
        <v>25213</v>
      </c>
      <c r="M1765" s="2" t="s">
        <v>130</v>
      </c>
      <c r="N1765" s="2">
        <v>25</v>
      </c>
      <c r="O1765" s="2">
        <v>81281.75</v>
      </c>
      <c r="P1765" s="2">
        <v>3251.27</v>
      </c>
    </row>
    <row r="1766" spans="1:16" outlineLevel="1" x14ac:dyDescent="0.2">
      <c r="A1766" s="5"/>
      <c r="D1766" s="3" t="s">
        <v>699</v>
      </c>
      <c r="N1766" s="2">
        <f>SUBTOTAL(9,N1764:N1765)</f>
        <v>75</v>
      </c>
      <c r="O1766" s="2">
        <f>SUBTOTAL(9,O1764:O1765)</f>
        <v>262513.75</v>
      </c>
      <c r="P1766" s="2">
        <f>+O1766/N1766</f>
        <v>3500.1833333333334</v>
      </c>
    </row>
    <row r="1767" spans="1:16" outlineLevel="2" x14ac:dyDescent="0.2">
      <c r="A1767" s="5">
        <v>46090</v>
      </c>
      <c r="B1767" s="2">
        <v>157621</v>
      </c>
      <c r="C1767" s="2">
        <v>3</v>
      </c>
      <c r="D1767" s="2" t="s">
        <v>128</v>
      </c>
      <c r="E1767" s="2" t="s">
        <v>23</v>
      </c>
      <c r="F1767" s="2" t="s">
        <v>47</v>
      </c>
      <c r="G1767" s="2" t="s">
        <v>22</v>
      </c>
      <c r="H1767" s="2" t="s">
        <v>23</v>
      </c>
      <c r="I1767" s="2" t="s">
        <v>23</v>
      </c>
      <c r="J1767" s="2">
        <v>41</v>
      </c>
      <c r="K1767" s="2" t="s">
        <v>129</v>
      </c>
      <c r="L1767" s="2">
        <v>25213</v>
      </c>
      <c r="M1767" s="2" t="s">
        <v>130</v>
      </c>
      <c r="N1767" s="2">
        <v>50</v>
      </c>
      <c r="O1767" s="2">
        <v>180671.93</v>
      </c>
      <c r="P1767" s="2">
        <v>3613.44</v>
      </c>
    </row>
    <row r="1768" spans="1:16" outlineLevel="1" x14ac:dyDescent="0.2">
      <c r="A1768" s="5"/>
      <c r="D1768" s="3" t="s">
        <v>732</v>
      </c>
      <c r="N1768" s="2">
        <f>SUBTOTAL(9,N1767:N1767)</f>
        <v>50</v>
      </c>
      <c r="O1768" s="2">
        <f>SUBTOTAL(9,O1767:O1767)</f>
        <v>180671.93</v>
      </c>
      <c r="P1768" s="2">
        <f>+O1768/N1768</f>
        <v>3613.4386</v>
      </c>
    </row>
    <row r="1769" spans="1:16" outlineLevel="2" x14ac:dyDescent="0.2">
      <c r="A1769" s="5">
        <v>46090</v>
      </c>
      <c r="B1769" s="2">
        <v>157622</v>
      </c>
      <c r="C1769" s="2">
        <v>1</v>
      </c>
      <c r="D1769" s="2" t="s">
        <v>140</v>
      </c>
      <c r="E1769" s="2" t="s">
        <v>141</v>
      </c>
      <c r="F1769" s="2" t="s">
        <v>108</v>
      </c>
      <c r="G1769" s="2" t="s">
        <v>22</v>
      </c>
      <c r="H1769" s="2" t="s">
        <v>23</v>
      </c>
      <c r="I1769" s="2" t="s">
        <v>23</v>
      </c>
      <c r="J1769" s="2">
        <v>1</v>
      </c>
      <c r="K1769" s="2" t="s">
        <v>24</v>
      </c>
      <c r="L1769" s="2">
        <v>1833</v>
      </c>
      <c r="M1769" s="2" t="s">
        <v>142</v>
      </c>
      <c r="N1769" s="2">
        <v>40</v>
      </c>
      <c r="O1769" s="2">
        <v>1308642.24</v>
      </c>
      <c r="P1769" s="2">
        <v>32716.06</v>
      </c>
    </row>
    <row r="1770" spans="1:16" outlineLevel="2" x14ac:dyDescent="0.2">
      <c r="A1770" s="5">
        <v>46090</v>
      </c>
      <c r="B1770" s="2">
        <v>157622</v>
      </c>
      <c r="C1770" s="2">
        <v>2</v>
      </c>
      <c r="D1770" s="2" t="s">
        <v>140</v>
      </c>
      <c r="E1770" s="2" t="s">
        <v>248</v>
      </c>
      <c r="F1770" s="2" t="s">
        <v>40</v>
      </c>
      <c r="G1770" s="2" t="s">
        <v>22</v>
      </c>
      <c r="H1770" s="2" t="s">
        <v>23</v>
      </c>
      <c r="I1770" s="2" t="s">
        <v>23</v>
      </c>
      <c r="J1770" s="2">
        <v>1</v>
      </c>
      <c r="K1770" s="2" t="s">
        <v>24</v>
      </c>
      <c r="L1770" s="2">
        <v>1833</v>
      </c>
      <c r="M1770" s="2" t="s">
        <v>142</v>
      </c>
      <c r="N1770" s="2">
        <v>1</v>
      </c>
      <c r="O1770" s="2">
        <v>31441.13</v>
      </c>
      <c r="P1770" s="2">
        <v>31441.13</v>
      </c>
    </row>
    <row r="1771" spans="1:16" outlineLevel="1" x14ac:dyDescent="0.2">
      <c r="A1771" s="5"/>
      <c r="D1771" s="3" t="s">
        <v>696</v>
      </c>
      <c r="N1771" s="2">
        <f>SUBTOTAL(9,N1769:N1770)</f>
        <v>41</v>
      </c>
      <c r="O1771" s="2">
        <f>SUBTOTAL(9,O1769:O1770)</f>
        <v>1340083.3699999999</v>
      </c>
      <c r="P1771" s="2">
        <f>+O1771/N1771</f>
        <v>32684.960243902435</v>
      </c>
    </row>
    <row r="1772" spans="1:16" outlineLevel="2" x14ac:dyDescent="0.2">
      <c r="A1772" s="5">
        <v>46090</v>
      </c>
      <c r="B1772" s="2">
        <v>157623</v>
      </c>
      <c r="C1772" s="2">
        <v>1</v>
      </c>
      <c r="D1772" s="2" t="s">
        <v>60</v>
      </c>
      <c r="E1772" s="2" t="s">
        <v>346</v>
      </c>
      <c r="F1772" s="2" t="s">
        <v>31</v>
      </c>
      <c r="G1772" s="2" t="s">
        <v>22</v>
      </c>
      <c r="H1772" s="2" t="s">
        <v>23</v>
      </c>
      <c r="I1772" s="2" t="s">
        <v>23</v>
      </c>
      <c r="J1772" s="2">
        <v>78</v>
      </c>
      <c r="K1772" s="2" t="s">
        <v>212</v>
      </c>
      <c r="L1772" s="2">
        <v>226</v>
      </c>
      <c r="M1772" s="2" t="s">
        <v>59</v>
      </c>
      <c r="N1772" s="2">
        <v>91</v>
      </c>
      <c r="O1772" s="2">
        <v>2017313.98</v>
      </c>
      <c r="P1772" s="2">
        <v>22168.29</v>
      </c>
    </row>
    <row r="1773" spans="1:16" outlineLevel="1" x14ac:dyDescent="0.2">
      <c r="A1773" s="5"/>
      <c r="D1773" s="3" t="s">
        <v>728</v>
      </c>
      <c r="N1773" s="2">
        <f>SUBTOTAL(9,N1772:N1772)</f>
        <v>91</v>
      </c>
      <c r="O1773" s="2">
        <f>SUBTOTAL(9,O1772:O1772)</f>
        <v>2017313.98</v>
      </c>
      <c r="P1773" s="2">
        <f>+O1773/N1773</f>
        <v>22168.285494505493</v>
      </c>
    </row>
    <row r="1774" spans="1:16" outlineLevel="2" x14ac:dyDescent="0.2">
      <c r="A1774" s="5">
        <v>46090</v>
      </c>
      <c r="B1774" s="2">
        <v>157623</v>
      </c>
      <c r="C1774" s="2">
        <v>2</v>
      </c>
      <c r="D1774" s="2" t="s">
        <v>107</v>
      </c>
      <c r="E1774" s="2" t="s">
        <v>363</v>
      </c>
      <c r="F1774" s="2" t="s">
        <v>31</v>
      </c>
      <c r="G1774" s="2" t="s">
        <v>340</v>
      </c>
      <c r="H1774" s="2" t="s">
        <v>23</v>
      </c>
      <c r="I1774" s="2" t="s">
        <v>23</v>
      </c>
      <c r="J1774" s="2">
        <v>1</v>
      </c>
      <c r="K1774" s="2" t="s">
        <v>24</v>
      </c>
      <c r="L1774" s="2">
        <v>226</v>
      </c>
      <c r="M1774" s="2" t="s">
        <v>59</v>
      </c>
      <c r="N1774" s="2">
        <v>64</v>
      </c>
      <c r="O1774" s="2">
        <v>1749068.72</v>
      </c>
      <c r="P1774" s="2">
        <v>27329.200000000001</v>
      </c>
    </row>
    <row r="1775" spans="1:16" outlineLevel="2" x14ac:dyDescent="0.2">
      <c r="A1775" s="5">
        <v>46090</v>
      </c>
      <c r="B1775" s="2">
        <v>157623</v>
      </c>
      <c r="C1775" s="2">
        <v>3</v>
      </c>
      <c r="D1775" s="2" t="s">
        <v>107</v>
      </c>
      <c r="E1775" s="2" t="s">
        <v>363</v>
      </c>
      <c r="F1775" s="2" t="s">
        <v>31</v>
      </c>
      <c r="G1775" s="2" t="s">
        <v>349</v>
      </c>
      <c r="H1775" s="2" t="s">
        <v>23</v>
      </c>
      <c r="I1775" s="2" t="s">
        <v>23</v>
      </c>
      <c r="J1775" s="2">
        <v>11</v>
      </c>
      <c r="K1775" s="2" t="s">
        <v>257</v>
      </c>
      <c r="L1775" s="2">
        <v>226</v>
      </c>
      <c r="M1775" s="2" t="s">
        <v>59</v>
      </c>
      <c r="N1775" s="2">
        <v>65</v>
      </c>
      <c r="O1775" s="2">
        <v>1424498.9</v>
      </c>
      <c r="P1775" s="2">
        <v>21915.37</v>
      </c>
    </row>
    <row r="1776" spans="1:16" outlineLevel="2" x14ac:dyDescent="0.2">
      <c r="A1776" s="5">
        <v>46090</v>
      </c>
      <c r="B1776" s="2">
        <v>157623</v>
      </c>
      <c r="C1776" s="2">
        <v>4</v>
      </c>
      <c r="D1776" s="2" t="s">
        <v>107</v>
      </c>
      <c r="E1776" s="2" t="s">
        <v>368</v>
      </c>
      <c r="F1776" s="2" t="s">
        <v>31</v>
      </c>
      <c r="G1776" s="2" t="s">
        <v>340</v>
      </c>
      <c r="H1776" s="2" t="s">
        <v>23</v>
      </c>
      <c r="I1776" s="2" t="s">
        <v>23</v>
      </c>
      <c r="J1776" s="2">
        <v>1</v>
      </c>
      <c r="K1776" s="2" t="s">
        <v>24</v>
      </c>
      <c r="L1776" s="2">
        <v>226</v>
      </c>
      <c r="M1776" s="2" t="s">
        <v>59</v>
      </c>
      <c r="N1776" s="2">
        <v>104</v>
      </c>
      <c r="O1776" s="2">
        <v>2018135.46</v>
      </c>
      <c r="P1776" s="2">
        <v>19405.150000000001</v>
      </c>
    </row>
    <row r="1777" spans="1:16" outlineLevel="1" x14ac:dyDescent="0.2">
      <c r="A1777" s="5"/>
      <c r="D1777" s="3" t="s">
        <v>726</v>
      </c>
      <c r="N1777" s="2">
        <f>SUBTOTAL(9,N1774:N1776)</f>
        <v>233</v>
      </c>
      <c r="O1777" s="2">
        <f>SUBTOTAL(9,O1774:O1776)</f>
        <v>5191703.08</v>
      </c>
      <c r="P1777" s="2">
        <f>+O1777/N1777</f>
        <v>22281.987467811159</v>
      </c>
    </row>
    <row r="1778" spans="1:16" outlineLevel="2" x14ac:dyDescent="0.2">
      <c r="A1778" s="5">
        <v>46090</v>
      </c>
      <c r="B1778" s="2">
        <v>157623</v>
      </c>
      <c r="C1778" s="2">
        <v>5</v>
      </c>
      <c r="D1778" s="2" t="s">
        <v>57</v>
      </c>
      <c r="E1778" s="2" t="s">
        <v>308</v>
      </c>
      <c r="F1778" s="2" t="s">
        <v>31</v>
      </c>
      <c r="G1778" s="2" t="s">
        <v>22</v>
      </c>
      <c r="H1778" s="2" t="s">
        <v>23</v>
      </c>
      <c r="I1778" s="2" t="s">
        <v>23</v>
      </c>
      <c r="J1778" s="2">
        <v>1</v>
      </c>
      <c r="K1778" s="2" t="s">
        <v>24</v>
      </c>
      <c r="L1778" s="2">
        <v>226</v>
      </c>
      <c r="M1778" s="2" t="s">
        <v>59</v>
      </c>
      <c r="N1778" s="2">
        <v>42</v>
      </c>
      <c r="O1778" s="2">
        <v>865008.82</v>
      </c>
      <c r="P1778" s="2">
        <v>20595.45</v>
      </c>
    </row>
    <row r="1779" spans="1:16" outlineLevel="1" x14ac:dyDescent="0.2">
      <c r="A1779" s="5"/>
      <c r="D1779" s="3" t="s">
        <v>716</v>
      </c>
      <c r="N1779" s="2">
        <f>SUBTOTAL(9,N1778:N1778)</f>
        <v>42</v>
      </c>
      <c r="O1779" s="2">
        <f>SUBTOTAL(9,O1778:O1778)</f>
        <v>865008.82</v>
      </c>
      <c r="P1779" s="2">
        <f>+O1779/N1779</f>
        <v>20595.448095238095</v>
      </c>
    </row>
    <row r="1780" spans="1:16" outlineLevel="2" x14ac:dyDescent="0.2">
      <c r="A1780" s="5">
        <v>46090</v>
      </c>
      <c r="B1780" s="2">
        <v>157625</v>
      </c>
      <c r="C1780" s="2">
        <v>1</v>
      </c>
      <c r="D1780" s="2" t="s">
        <v>299</v>
      </c>
      <c r="E1780" s="2" t="s">
        <v>298</v>
      </c>
      <c r="F1780" s="2" t="s">
        <v>47</v>
      </c>
      <c r="G1780" s="2" t="s">
        <v>23</v>
      </c>
      <c r="H1780" s="2" t="s">
        <v>23</v>
      </c>
      <c r="I1780" s="2" t="s">
        <v>23</v>
      </c>
      <c r="J1780" s="2">
        <v>94</v>
      </c>
      <c r="K1780" s="2" t="s">
        <v>147</v>
      </c>
      <c r="L1780" s="2">
        <v>1964</v>
      </c>
      <c r="M1780" s="2" t="s">
        <v>49</v>
      </c>
      <c r="N1780" s="2">
        <v>3</v>
      </c>
      <c r="O1780" s="2">
        <v>43917.66</v>
      </c>
      <c r="P1780" s="2">
        <v>14639.22</v>
      </c>
    </row>
    <row r="1781" spans="1:16" outlineLevel="1" x14ac:dyDescent="0.2">
      <c r="A1781" s="5"/>
      <c r="D1781" s="3" t="s">
        <v>742</v>
      </c>
      <c r="N1781" s="2">
        <f>SUBTOTAL(9,N1780:N1780)</f>
        <v>3</v>
      </c>
      <c r="O1781" s="2">
        <f>SUBTOTAL(9,O1780:O1780)</f>
        <v>43917.66</v>
      </c>
      <c r="P1781" s="2">
        <f>+O1781/N1781</f>
        <v>14639.220000000001</v>
      </c>
    </row>
    <row r="1782" spans="1:16" outlineLevel="2" x14ac:dyDescent="0.2">
      <c r="A1782" s="5">
        <v>46090</v>
      </c>
      <c r="B1782" s="2">
        <v>157625</v>
      </c>
      <c r="C1782" s="2">
        <v>2</v>
      </c>
      <c r="D1782" s="2" t="s">
        <v>388</v>
      </c>
      <c r="E1782" s="2" t="s">
        <v>305</v>
      </c>
      <c r="F1782" s="2" t="s">
        <v>47</v>
      </c>
      <c r="G1782" s="2" t="s">
        <v>22</v>
      </c>
      <c r="H1782" s="2" t="s">
        <v>23</v>
      </c>
      <c r="I1782" s="2" t="s">
        <v>23</v>
      </c>
      <c r="J1782" s="2">
        <v>94</v>
      </c>
      <c r="K1782" s="2" t="s">
        <v>147</v>
      </c>
      <c r="L1782" s="2">
        <v>1964</v>
      </c>
      <c r="M1782" s="2" t="s">
        <v>49</v>
      </c>
      <c r="N1782" s="2">
        <v>3</v>
      </c>
      <c r="O1782" s="2">
        <v>43917.66</v>
      </c>
      <c r="P1782" s="2">
        <v>14639.22</v>
      </c>
    </row>
    <row r="1783" spans="1:16" outlineLevel="1" x14ac:dyDescent="0.2">
      <c r="A1783" s="5"/>
      <c r="D1783" s="3" t="s">
        <v>768</v>
      </c>
      <c r="N1783" s="2">
        <f>SUBTOTAL(9,N1782:N1782)</f>
        <v>3</v>
      </c>
      <c r="O1783" s="2">
        <f>SUBTOTAL(9,O1782:O1782)</f>
        <v>43917.66</v>
      </c>
      <c r="P1783" s="2">
        <f>+O1783/N1783</f>
        <v>14639.220000000001</v>
      </c>
    </row>
    <row r="1784" spans="1:16" outlineLevel="2" x14ac:dyDescent="0.2">
      <c r="A1784" s="5">
        <v>46090</v>
      </c>
      <c r="B1784" s="2">
        <v>157625</v>
      </c>
      <c r="C1784" s="2">
        <v>3</v>
      </c>
      <c r="D1784" s="2" t="s">
        <v>359</v>
      </c>
      <c r="E1784" s="2" t="s">
        <v>298</v>
      </c>
      <c r="F1784" s="2" t="s">
        <v>47</v>
      </c>
      <c r="G1784" s="2" t="s">
        <v>22</v>
      </c>
      <c r="H1784" s="2" t="s">
        <v>23</v>
      </c>
      <c r="I1784" s="2" t="s">
        <v>23</v>
      </c>
      <c r="J1784" s="2">
        <v>94</v>
      </c>
      <c r="K1784" s="2" t="s">
        <v>147</v>
      </c>
      <c r="L1784" s="2">
        <v>1964</v>
      </c>
      <c r="M1784" s="2" t="s">
        <v>49</v>
      </c>
      <c r="N1784" s="2">
        <v>3</v>
      </c>
      <c r="O1784" s="2">
        <v>42984.22</v>
      </c>
      <c r="P1784" s="2">
        <v>14328.07</v>
      </c>
    </row>
    <row r="1785" spans="1:16" outlineLevel="1" x14ac:dyDescent="0.2">
      <c r="A1785" s="5"/>
      <c r="D1785" s="3" t="s">
        <v>760</v>
      </c>
      <c r="N1785" s="2">
        <f>SUBTOTAL(9,N1784:N1784)</f>
        <v>3</v>
      </c>
      <c r="O1785" s="2">
        <f>SUBTOTAL(9,O1784:O1784)</f>
        <v>42984.22</v>
      </c>
      <c r="P1785" s="2">
        <f>+O1785/N1785</f>
        <v>14328.073333333334</v>
      </c>
    </row>
    <row r="1786" spans="1:16" outlineLevel="2" x14ac:dyDescent="0.2">
      <c r="A1786" s="5">
        <v>46090</v>
      </c>
      <c r="B1786" s="2">
        <v>157625</v>
      </c>
      <c r="C1786" s="2">
        <v>4</v>
      </c>
      <c r="D1786" s="2" t="s">
        <v>301</v>
      </c>
      <c r="E1786" s="2" t="s">
        <v>305</v>
      </c>
      <c r="F1786" s="2" t="s">
        <v>47</v>
      </c>
      <c r="G1786" s="2" t="s">
        <v>22</v>
      </c>
      <c r="H1786" s="2" t="s">
        <v>23</v>
      </c>
      <c r="I1786" s="2" t="s">
        <v>23</v>
      </c>
      <c r="J1786" s="2">
        <v>94</v>
      </c>
      <c r="K1786" s="2" t="s">
        <v>147</v>
      </c>
      <c r="L1786" s="2">
        <v>1964</v>
      </c>
      <c r="M1786" s="2" t="s">
        <v>49</v>
      </c>
      <c r="N1786" s="2">
        <v>3</v>
      </c>
      <c r="O1786" s="2">
        <v>43917.66</v>
      </c>
      <c r="P1786" s="2">
        <v>14639.22</v>
      </c>
    </row>
    <row r="1787" spans="1:16" outlineLevel="2" x14ac:dyDescent="0.2">
      <c r="A1787" s="5">
        <v>46090</v>
      </c>
      <c r="B1787" s="2">
        <v>157625</v>
      </c>
      <c r="C1787" s="2">
        <v>5</v>
      </c>
      <c r="D1787" s="2" t="s">
        <v>301</v>
      </c>
      <c r="E1787" s="2" t="s">
        <v>305</v>
      </c>
      <c r="F1787" s="2" t="s">
        <v>47</v>
      </c>
      <c r="G1787" s="2" t="s">
        <v>22</v>
      </c>
      <c r="H1787" s="2" t="s">
        <v>23</v>
      </c>
      <c r="I1787" s="2" t="s">
        <v>23</v>
      </c>
      <c r="J1787" s="2">
        <v>94</v>
      </c>
      <c r="K1787" s="2" t="s">
        <v>147</v>
      </c>
      <c r="L1787" s="2">
        <v>1964</v>
      </c>
      <c r="M1787" s="2" t="s">
        <v>49</v>
      </c>
      <c r="N1787" s="2">
        <v>3</v>
      </c>
      <c r="O1787" s="2">
        <v>43917.66</v>
      </c>
      <c r="P1787" s="2">
        <v>14639.22</v>
      </c>
    </row>
    <row r="1788" spans="1:16" outlineLevel="1" x14ac:dyDescent="0.2">
      <c r="A1788" s="5"/>
      <c r="D1788" s="3" t="s">
        <v>744</v>
      </c>
      <c r="N1788" s="2">
        <f>SUBTOTAL(9,N1786:N1787)</f>
        <v>6</v>
      </c>
      <c r="O1788" s="2">
        <f>SUBTOTAL(9,O1786:O1787)</f>
        <v>87835.32</v>
      </c>
      <c r="P1788" s="2">
        <f>+O1788/N1788</f>
        <v>14639.220000000001</v>
      </c>
    </row>
    <row r="1789" spans="1:16" outlineLevel="2" x14ac:dyDescent="0.2">
      <c r="A1789" s="5">
        <v>46090</v>
      </c>
      <c r="B1789" s="2">
        <v>157625</v>
      </c>
      <c r="C1789" s="2">
        <v>6</v>
      </c>
      <c r="D1789" s="2" t="s">
        <v>45</v>
      </c>
      <c r="E1789" s="2" t="s">
        <v>228</v>
      </c>
      <c r="F1789" s="2" t="s">
        <v>47</v>
      </c>
      <c r="G1789" s="2" t="s">
        <v>22</v>
      </c>
      <c r="H1789" s="2" t="s">
        <v>23</v>
      </c>
      <c r="I1789" s="2" t="s">
        <v>23</v>
      </c>
      <c r="J1789" s="2">
        <v>41</v>
      </c>
      <c r="K1789" s="2" t="s">
        <v>129</v>
      </c>
      <c r="L1789" s="2">
        <v>1964</v>
      </c>
      <c r="M1789" s="2" t="s">
        <v>49</v>
      </c>
      <c r="N1789" s="2">
        <v>48</v>
      </c>
      <c r="O1789" s="2">
        <v>779224.57</v>
      </c>
      <c r="P1789" s="2">
        <v>16233.85</v>
      </c>
    </row>
    <row r="1790" spans="1:16" outlineLevel="2" x14ac:dyDescent="0.2">
      <c r="A1790" s="5">
        <v>46090</v>
      </c>
      <c r="B1790" s="2">
        <v>157625</v>
      </c>
      <c r="C1790" s="2">
        <v>7</v>
      </c>
      <c r="D1790" s="2" t="s">
        <v>45</v>
      </c>
      <c r="E1790" s="2" t="s">
        <v>227</v>
      </c>
      <c r="F1790" s="2" t="s">
        <v>47</v>
      </c>
      <c r="G1790" s="2" t="s">
        <v>22</v>
      </c>
      <c r="H1790" s="2" t="s">
        <v>23</v>
      </c>
      <c r="I1790" s="2" t="s">
        <v>23</v>
      </c>
      <c r="J1790" s="2">
        <v>41</v>
      </c>
      <c r="K1790" s="2" t="s">
        <v>129</v>
      </c>
      <c r="L1790" s="2">
        <v>1964</v>
      </c>
      <c r="M1790" s="2" t="s">
        <v>49</v>
      </c>
      <c r="N1790" s="2">
        <v>114</v>
      </c>
      <c r="O1790" s="2">
        <v>1657669.85</v>
      </c>
      <c r="P1790" s="2">
        <v>14540.96</v>
      </c>
    </row>
    <row r="1791" spans="1:16" outlineLevel="2" x14ac:dyDescent="0.2">
      <c r="A1791" s="5">
        <v>46090</v>
      </c>
      <c r="B1791" s="2">
        <v>157625</v>
      </c>
      <c r="C1791" s="2">
        <v>8</v>
      </c>
      <c r="D1791" s="2" t="s">
        <v>45</v>
      </c>
      <c r="E1791" s="2" t="s">
        <v>389</v>
      </c>
      <c r="F1791" s="2" t="s">
        <v>47</v>
      </c>
      <c r="G1791" s="2" t="s">
        <v>22</v>
      </c>
      <c r="H1791" s="2" t="s">
        <v>23</v>
      </c>
      <c r="I1791" s="2" t="s">
        <v>23</v>
      </c>
      <c r="J1791" s="2">
        <v>41</v>
      </c>
      <c r="K1791" s="2" t="s">
        <v>129</v>
      </c>
      <c r="L1791" s="2">
        <v>1964</v>
      </c>
      <c r="M1791" s="2" t="s">
        <v>49</v>
      </c>
      <c r="N1791" s="2">
        <v>28</v>
      </c>
      <c r="O1791" s="2">
        <v>209208.84</v>
      </c>
      <c r="P1791" s="2">
        <v>7471.74</v>
      </c>
    </row>
    <row r="1792" spans="1:16" outlineLevel="1" x14ac:dyDescent="0.2">
      <c r="A1792" s="5"/>
      <c r="D1792" s="3" t="s">
        <v>733</v>
      </c>
      <c r="N1792" s="2">
        <f>SUBTOTAL(9,N1789:N1791)</f>
        <v>190</v>
      </c>
      <c r="O1792" s="2">
        <f>SUBTOTAL(9,O1789:O1791)</f>
        <v>2646103.2599999998</v>
      </c>
      <c r="P1792" s="2">
        <f>+O1792/N1792</f>
        <v>13926.859263157894</v>
      </c>
    </row>
    <row r="1793" spans="1:16" outlineLevel="2" x14ac:dyDescent="0.2">
      <c r="A1793" s="5">
        <v>46090</v>
      </c>
      <c r="B1793" s="2">
        <v>157625</v>
      </c>
      <c r="C1793" s="2">
        <v>9</v>
      </c>
      <c r="D1793" s="2" t="s">
        <v>226</v>
      </c>
      <c r="E1793" s="2" t="s">
        <v>227</v>
      </c>
      <c r="F1793" s="2" t="s">
        <v>47</v>
      </c>
      <c r="G1793" s="2" t="s">
        <v>22</v>
      </c>
      <c r="H1793" s="2" t="s">
        <v>23</v>
      </c>
      <c r="I1793" s="2" t="s">
        <v>23</v>
      </c>
      <c r="J1793" s="2">
        <v>41</v>
      </c>
      <c r="K1793" s="2" t="s">
        <v>129</v>
      </c>
      <c r="L1793" s="2">
        <v>1964</v>
      </c>
      <c r="M1793" s="2" t="s">
        <v>49</v>
      </c>
      <c r="N1793" s="2">
        <v>104</v>
      </c>
      <c r="O1793" s="2">
        <v>2312169.12</v>
      </c>
      <c r="P1793" s="2">
        <v>22232.400000000001</v>
      </c>
    </row>
    <row r="1794" spans="1:16" outlineLevel="1" x14ac:dyDescent="0.2">
      <c r="A1794" s="5"/>
      <c r="D1794" s="3" t="s">
        <v>736</v>
      </c>
      <c r="N1794" s="2">
        <f>SUBTOTAL(9,N1793:N1793)</f>
        <v>104</v>
      </c>
      <c r="O1794" s="2">
        <f>SUBTOTAL(9,O1793:O1793)</f>
        <v>2312169.12</v>
      </c>
      <c r="P1794" s="2">
        <f>+O1794/N1794</f>
        <v>22232.395384615385</v>
      </c>
    </row>
    <row r="1795" spans="1:16" outlineLevel="2" x14ac:dyDescent="0.2">
      <c r="A1795" s="5">
        <v>46094</v>
      </c>
      <c r="B1795" s="2">
        <v>157631</v>
      </c>
      <c r="C1795" s="2">
        <v>1</v>
      </c>
      <c r="D1795" s="2" t="s">
        <v>45</v>
      </c>
      <c r="E1795" s="2" t="s">
        <v>125</v>
      </c>
      <c r="F1795" s="2" t="s">
        <v>55</v>
      </c>
      <c r="G1795" s="2" t="s">
        <v>23</v>
      </c>
      <c r="H1795" s="2" t="s">
        <v>23</v>
      </c>
      <c r="I1795" s="2" t="s">
        <v>23</v>
      </c>
      <c r="J1795" s="2">
        <v>2</v>
      </c>
      <c r="K1795" s="2" t="s">
        <v>48</v>
      </c>
      <c r="L1795" s="2">
        <v>600</v>
      </c>
      <c r="M1795" s="2" t="s">
        <v>112</v>
      </c>
      <c r="N1795" s="2">
        <v>4</v>
      </c>
      <c r="O1795" s="2">
        <v>13751.8</v>
      </c>
      <c r="P1795" s="2">
        <v>3437.95</v>
      </c>
    </row>
    <row r="1796" spans="1:16" outlineLevel="1" x14ac:dyDescent="0.2">
      <c r="A1796" s="5"/>
      <c r="D1796" s="3" t="s">
        <v>733</v>
      </c>
      <c r="N1796" s="2">
        <f>SUBTOTAL(9,N1795:N1795)</f>
        <v>4</v>
      </c>
      <c r="O1796" s="2">
        <f>SUBTOTAL(9,O1795:O1795)</f>
        <v>13751.8</v>
      </c>
      <c r="P1796" s="2">
        <f>+O1796/N1796</f>
        <v>3437.95</v>
      </c>
    </row>
    <row r="1797" spans="1:16" outlineLevel="2" x14ac:dyDescent="0.2">
      <c r="A1797" s="5">
        <v>46113</v>
      </c>
      <c r="B1797" s="2">
        <v>157633</v>
      </c>
      <c r="C1797" s="2">
        <v>1</v>
      </c>
      <c r="D1797" s="2" t="s">
        <v>338</v>
      </c>
      <c r="E1797" s="2" t="s">
        <v>55</v>
      </c>
      <c r="F1797" s="2" t="s">
        <v>23</v>
      </c>
      <c r="G1797" s="2" t="s">
        <v>23</v>
      </c>
      <c r="H1797" s="2" t="s">
        <v>23</v>
      </c>
      <c r="I1797" s="2" t="s">
        <v>23</v>
      </c>
      <c r="J1797" s="2">
        <v>2</v>
      </c>
      <c r="K1797" s="2" t="s">
        <v>48</v>
      </c>
      <c r="L1797" s="2">
        <v>912</v>
      </c>
      <c r="M1797" s="2" t="s">
        <v>281</v>
      </c>
      <c r="N1797" s="2">
        <v>4</v>
      </c>
      <c r="O1797" s="2">
        <v>33329.22</v>
      </c>
      <c r="P1797" s="2">
        <v>8332.31</v>
      </c>
    </row>
    <row r="1798" spans="1:16" outlineLevel="1" x14ac:dyDescent="0.2">
      <c r="A1798" s="5"/>
      <c r="D1798" s="3" t="s">
        <v>754</v>
      </c>
      <c r="N1798" s="2">
        <f>SUBTOTAL(9,N1797:N1797)</f>
        <v>4</v>
      </c>
      <c r="O1798" s="2">
        <f>SUBTOTAL(9,O1797:O1797)</f>
        <v>33329.22</v>
      </c>
      <c r="P1798" s="2">
        <f>+O1798/N1798</f>
        <v>8332.3050000000003</v>
      </c>
    </row>
    <row r="1799" spans="1:16" outlineLevel="2" x14ac:dyDescent="0.2">
      <c r="A1799" s="5">
        <v>46092</v>
      </c>
      <c r="B1799" s="2">
        <v>157636</v>
      </c>
      <c r="C1799" s="2">
        <v>1</v>
      </c>
      <c r="D1799" s="2" t="s">
        <v>203</v>
      </c>
      <c r="E1799" s="2" t="s">
        <v>125</v>
      </c>
      <c r="F1799" s="2" t="s">
        <v>55</v>
      </c>
      <c r="G1799" s="2" t="s">
        <v>23</v>
      </c>
      <c r="H1799" s="2" t="s">
        <v>23</v>
      </c>
      <c r="I1799" s="2" t="s">
        <v>23</v>
      </c>
      <c r="J1799" s="2">
        <v>2</v>
      </c>
      <c r="K1799" s="2" t="s">
        <v>48</v>
      </c>
      <c r="L1799" s="2">
        <v>2196</v>
      </c>
      <c r="M1799" s="2" t="s">
        <v>94</v>
      </c>
      <c r="N1799" s="2">
        <v>6</v>
      </c>
      <c r="O1799" s="2">
        <v>12693.52</v>
      </c>
      <c r="P1799" s="2">
        <v>2115.59</v>
      </c>
    </row>
    <row r="1800" spans="1:16" outlineLevel="1" x14ac:dyDescent="0.2">
      <c r="A1800" s="5"/>
      <c r="D1800" s="3" t="s">
        <v>735</v>
      </c>
      <c r="N1800" s="2">
        <f>SUBTOTAL(9,N1799:N1799)</f>
        <v>6</v>
      </c>
      <c r="O1800" s="2">
        <f>SUBTOTAL(9,O1799:O1799)</f>
        <v>12693.52</v>
      </c>
      <c r="P1800" s="2">
        <f>+O1800/N1800</f>
        <v>2115.5866666666666</v>
      </c>
    </row>
    <row r="1801" spans="1:16" outlineLevel="2" x14ac:dyDescent="0.2">
      <c r="A1801" s="5">
        <v>46139</v>
      </c>
      <c r="B1801" s="2">
        <v>157638</v>
      </c>
      <c r="C1801" s="2">
        <v>1</v>
      </c>
      <c r="D1801" s="2" t="s">
        <v>57</v>
      </c>
      <c r="E1801" s="2" t="s">
        <v>55</v>
      </c>
      <c r="F1801" s="2" t="s">
        <v>23</v>
      </c>
      <c r="G1801" s="2" t="s">
        <v>23</v>
      </c>
      <c r="H1801" s="2" t="s">
        <v>23</v>
      </c>
      <c r="I1801" s="2" t="s">
        <v>23</v>
      </c>
      <c r="J1801" s="2">
        <v>1</v>
      </c>
      <c r="K1801" s="2" t="s">
        <v>24</v>
      </c>
      <c r="L1801" s="2">
        <v>266</v>
      </c>
      <c r="M1801" s="2" t="s">
        <v>390</v>
      </c>
      <c r="N1801" s="2">
        <v>55</v>
      </c>
      <c r="O1801" s="2">
        <v>1280870.3799999999</v>
      </c>
      <c r="P1801" s="2">
        <v>23288.55</v>
      </c>
    </row>
    <row r="1802" spans="1:16" outlineLevel="1" x14ac:dyDescent="0.2">
      <c r="A1802" s="5"/>
      <c r="D1802" s="3" t="s">
        <v>716</v>
      </c>
      <c r="N1802" s="2">
        <f>SUBTOTAL(9,N1801:N1801)</f>
        <v>55</v>
      </c>
      <c r="O1802" s="2">
        <f>SUBTOTAL(9,O1801:O1801)</f>
        <v>1280870.3799999999</v>
      </c>
      <c r="P1802" s="2">
        <f>+O1802/N1802</f>
        <v>23288.552363636361</v>
      </c>
    </row>
    <row r="1803" spans="1:16" outlineLevel="2" x14ac:dyDescent="0.2">
      <c r="A1803" s="5">
        <v>46101</v>
      </c>
      <c r="B1803" s="2">
        <v>157642</v>
      </c>
      <c r="C1803" s="2">
        <v>231</v>
      </c>
      <c r="D1803" s="2" t="s">
        <v>54</v>
      </c>
      <c r="E1803" s="2" t="s">
        <v>20</v>
      </c>
      <c r="F1803" s="2" t="s">
        <v>55</v>
      </c>
      <c r="G1803" s="2" t="s">
        <v>23</v>
      </c>
      <c r="H1803" s="2" t="s">
        <v>23</v>
      </c>
      <c r="I1803" s="2" t="s">
        <v>23</v>
      </c>
      <c r="J1803" s="2">
        <v>1</v>
      </c>
      <c r="K1803" s="2" t="s">
        <v>24</v>
      </c>
      <c r="L1803" s="2">
        <v>25095</v>
      </c>
      <c r="M1803" s="2" t="s">
        <v>216</v>
      </c>
      <c r="N1803" s="2">
        <v>1</v>
      </c>
      <c r="O1803" s="2">
        <v>4371.3900000000003</v>
      </c>
      <c r="P1803" s="2">
        <v>4371.3900000000003</v>
      </c>
    </row>
    <row r="1804" spans="1:16" outlineLevel="2" x14ac:dyDescent="0.2">
      <c r="A1804" s="5">
        <v>46101</v>
      </c>
      <c r="B1804" s="2">
        <v>157642</v>
      </c>
      <c r="C1804" s="2">
        <v>310</v>
      </c>
      <c r="D1804" s="2" t="s">
        <v>54</v>
      </c>
      <c r="E1804" s="2" t="s">
        <v>20</v>
      </c>
      <c r="F1804" s="2" t="s">
        <v>55</v>
      </c>
      <c r="G1804" s="2" t="s">
        <v>23</v>
      </c>
      <c r="H1804" s="2" t="s">
        <v>23</v>
      </c>
      <c r="I1804" s="2" t="s">
        <v>23</v>
      </c>
      <c r="J1804" s="2">
        <v>1</v>
      </c>
      <c r="K1804" s="2" t="s">
        <v>24</v>
      </c>
      <c r="L1804" s="2">
        <v>25095</v>
      </c>
      <c r="M1804" s="2" t="s">
        <v>216</v>
      </c>
      <c r="N1804" s="2">
        <v>7</v>
      </c>
      <c r="O1804" s="2">
        <v>30599.73</v>
      </c>
      <c r="P1804" s="2">
        <v>4371.3900000000003</v>
      </c>
    </row>
    <row r="1805" spans="1:16" outlineLevel="1" x14ac:dyDescent="0.2">
      <c r="A1805" s="5"/>
      <c r="D1805" s="3" t="s">
        <v>719</v>
      </c>
      <c r="N1805" s="2">
        <f>SUBTOTAL(9,N1803:N1804)</f>
        <v>8</v>
      </c>
      <c r="O1805" s="2">
        <f>SUBTOTAL(9,O1803:O1804)</f>
        <v>34971.120000000003</v>
      </c>
      <c r="P1805" s="2">
        <f>+O1805/N1805</f>
        <v>4371.3900000000003</v>
      </c>
    </row>
    <row r="1806" spans="1:16" outlineLevel="2" x14ac:dyDescent="0.2">
      <c r="A1806" s="5">
        <v>46101</v>
      </c>
      <c r="B1806" s="2">
        <v>157642</v>
      </c>
      <c r="C1806" s="2">
        <v>311</v>
      </c>
      <c r="D1806" s="2" t="s">
        <v>110</v>
      </c>
      <c r="E1806" s="2" t="s">
        <v>111</v>
      </c>
      <c r="F1806" s="2" t="s">
        <v>55</v>
      </c>
      <c r="G1806" s="2" t="s">
        <v>23</v>
      </c>
      <c r="H1806" s="2" t="s">
        <v>23</v>
      </c>
      <c r="I1806" s="2" t="s">
        <v>23</v>
      </c>
      <c r="J1806" s="2">
        <v>1</v>
      </c>
      <c r="K1806" s="2" t="s">
        <v>24</v>
      </c>
      <c r="L1806" s="2">
        <v>25095</v>
      </c>
      <c r="M1806" s="2" t="s">
        <v>216</v>
      </c>
      <c r="N1806" s="2">
        <v>8</v>
      </c>
      <c r="O1806" s="2">
        <v>12568.64</v>
      </c>
      <c r="P1806" s="2">
        <v>1571.08</v>
      </c>
    </row>
    <row r="1807" spans="1:16" outlineLevel="1" x14ac:dyDescent="0.2">
      <c r="A1807" s="5"/>
      <c r="D1807" s="3" t="s">
        <v>697</v>
      </c>
      <c r="N1807" s="2">
        <f>SUBTOTAL(9,N1806:N1806)</f>
        <v>8</v>
      </c>
      <c r="O1807" s="2">
        <f>SUBTOTAL(9,O1806:O1806)</f>
        <v>12568.64</v>
      </c>
      <c r="P1807" s="2">
        <f>+O1807/N1807</f>
        <v>1571.08</v>
      </c>
    </row>
    <row r="1808" spans="1:16" outlineLevel="2" x14ac:dyDescent="0.2">
      <c r="A1808" s="5">
        <v>46089</v>
      </c>
      <c r="B1808" s="2">
        <v>157645</v>
      </c>
      <c r="C1808" s="2">
        <v>1</v>
      </c>
      <c r="D1808" s="2" t="s">
        <v>102</v>
      </c>
      <c r="E1808" s="2" t="s">
        <v>104</v>
      </c>
      <c r="F1808" s="2" t="s">
        <v>40</v>
      </c>
      <c r="G1808" s="2" t="s">
        <v>22</v>
      </c>
      <c r="H1808" s="2" t="s">
        <v>23</v>
      </c>
      <c r="I1808" s="2" t="s">
        <v>23</v>
      </c>
      <c r="J1808" s="2">
        <v>1</v>
      </c>
      <c r="K1808" s="2" t="s">
        <v>24</v>
      </c>
      <c r="L1808" s="2">
        <v>6020</v>
      </c>
      <c r="M1808" s="2" t="s">
        <v>391</v>
      </c>
      <c r="N1808" s="2">
        <v>462</v>
      </c>
      <c r="O1808" s="2">
        <v>20790268.18</v>
      </c>
      <c r="P1808" s="2">
        <v>45000.58</v>
      </c>
    </row>
    <row r="1809" spans="1:16" outlineLevel="2" x14ac:dyDescent="0.2">
      <c r="A1809" s="5">
        <v>46089</v>
      </c>
      <c r="B1809" s="2">
        <v>157645</v>
      </c>
      <c r="C1809" s="2">
        <v>200</v>
      </c>
      <c r="D1809" s="2" t="s">
        <v>102</v>
      </c>
      <c r="E1809" s="2" t="s">
        <v>104</v>
      </c>
      <c r="F1809" s="2" t="s">
        <v>23</v>
      </c>
      <c r="G1809" s="2" t="s">
        <v>22</v>
      </c>
      <c r="H1809" s="2" t="s">
        <v>23</v>
      </c>
      <c r="I1809" s="2" t="s">
        <v>23</v>
      </c>
      <c r="J1809" s="2">
        <v>46</v>
      </c>
      <c r="K1809" s="2" t="s">
        <v>392</v>
      </c>
      <c r="L1809" s="2">
        <v>6020</v>
      </c>
      <c r="M1809" s="2" t="s">
        <v>391</v>
      </c>
      <c r="N1809" s="2">
        <v>409.86</v>
      </c>
      <c r="O1809" s="2">
        <v>491173.27</v>
      </c>
      <c r="P1809" s="2">
        <v>1198.3900000000001</v>
      </c>
    </row>
    <row r="1810" spans="1:16" outlineLevel="2" x14ac:dyDescent="0.2">
      <c r="A1810" s="5">
        <v>46105</v>
      </c>
      <c r="B1810" s="2">
        <v>157645</v>
      </c>
      <c r="C1810" s="2">
        <v>300</v>
      </c>
      <c r="D1810" s="2" t="s">
        <v>102</v>
      </c>
      <c r="E1810" s="2" t="s">
        <v>104</v>
      </c>
      <c r="F1810" s="2" t="s">
        <v>40</v>
      </c>
      <c r="G1810" s="2" t="s">
        <v>22</v>
      </c>
      <c r="H1810" s="2" t="s">
        <v>23</v>
      </c>
      <c r="I1810" s="2" t="s">
        <v>23</v>
      </c>
      <c r="J1810" s="2">
        <v>1</v>
      </c>
      <c r="K1810" s="2" t="s">
        <v>24</v>
      </c>
      <c r="L1810" s="2">
        <v>6020</v>
      </c>
      <c r="M1810" s="2" t="s">
        <v>391</v>
      </c>
      <c r="N1810" s="2">
        <v>10</v>
      </c>
      <c r="O1810" s="2">
        <v>424852.8</v>
      </c>
      <c r="P1810" s="2">
        <v>42485.279999999999</v>
      </c>
    </row>
    <row r="1811" spans="1:16" outlineLevel="1" x14ac:dyDescent="0.2">
      <c r="A1811" s="5"/>
      <c r="D1811" s="3" t="s">
        <v>707</v>
      </c>
      <c r="N1811" s="2">
        <f>SUBTOTAL(9,N1808:N1810)</f>
        <v>881.86</v>
      </c>
      <c r="O1811" s="2">
        <f>SUBTOTAL(9,O1808:O1810)</f>
        <v>21706294.25</v>
      </c>
      <c r="P1811" s="2">
        <f>+O1811/N1811</f>
        <v>24614.217959766855</v>
      </c>
    </row>
    <row r="1812" spans="1:16" outlineLevel="2" x14ac:dyDescent="0.2">
      <c r="A1812" s="5">
        <v>46089</v>
      </c>
      <c r="B1812" s="2">
        <v>157646</v>
      </c>
      <c r="C1812" s="2">
        <v>1</v>
      </c>
      <c r="D1812" s="2" t="s">
        <v>38</v>
      </c>
      <c r="E1812" s="2" t="s">
        <v>39</v>
      </c>
      <c r="F1812" s="2" t="s">
        <v>40</v>
      </c>
      <c r="G1812" s="2" t="s">
        <v>22</v>
      </c>
      <c r="H1812" s="2" t="s">
        <v>41</v>
      </c>
      <c r="I1812" s="2" t="s">
        <v>124</v>
      </c>
      <c r="J1812" s="2">
        <v>40</v>
      </c>
      <c r="K1812" s="2" t="s">
        <v>43</v>
      </c>
      <c r="L1812" s="2">
        <v>2579</v>
      </c>
      <c r="M1812" s="2" t="s">
        <v>44</v>
      </c>
      <c r="N1812" s="2">
        <v>385</v>
      </c>
      <c r="O1812" s="2">
        <v>10419704.23</v>
      </c>
      <c r="P1812" s="2">
        <v>27064.17</v>
      </c>
    </row>
    <row r="1813" spans="1:16" outlineLevel="2" x14ac:dyDescent="0.2">
      <c r="A1813" s="5">
        <v>46089</v>
      </c>
      <c r="B1813" s="2">
        <v>157646</v>
      </c>
      <c r="C1813" s="2">
        <v>2</v>
      </c>
      <c r="D1813" s="2" t="s">
        <v>38</v>
      </c>
      <c r="E1813" s="2" t="s">
        <v>39</v>
      </c>
      <c r="F1813" s="2" t="s">
        <v>40</v>
      </c>
      <c r="G1813" s="2" t="s">
        <v>22</v>
      </c>
      <c r="H1813" s="2" t="s">
        <v>41</v>
      </c>
      <c r="I1813" s="2" t="s">
        <v>42</v>
      </c>
      <c r="J1813" s="2">
        <v>40</v>
      </c>
      <c r="K1813" s="2" t="s">
        <v>43</v>
      </c>
      <c r="L1813" s="2">
        <v>2579</v>
      </c>
      <c r="M1813" s="2" t="s">
        <v>44</v>
      </c>
      <c r="N1813" s="2">
        <v>229</v>
      </c>
      <c r="O1813" s="2">
        <v>6909079.7800000003</v>
      </c>
      <c r="P1813" s="2">
        <v>30170.65</v>
      </c>
    </row>
    <row r="1814" spans="1:16" outlineLevel="2" x14ac:dyDescent="0.2">
      <c r="A1814" s="5">
        <v>46089</v>
      </c>
      <c r="B1814" s="2">
        <v>157646</v>
      </c>
      <c r="C1814" s="2">
        <v>4</v>
      </c>
      <c r="D1814" s="2" t="s">
        <v>38</v>
      </c>
      <c r="E1814" s="2" t="s">
        <v>39</v>
      </c>
      <c r="F1814" s="2" t="s">
        <v>40</v>
      </c>
      <c r="G1814" s="2" t="s">
        <v>22</v>
      </c>
      <c r="H1814" s="2" t="s">
        <v>393</v>
      </c>
      <c r="I1814" s="2" t="s">
        <v>394</v>
      </c>
      <c r="J1814" s="2">
        <v>40</v>
      </c>
      <c r="K1814" s="2" t="s">
        <v>43</v>
      </c>
      <c r="L1814" s="2">
        <v>2579</v>
      </c>
      <c r="M1814" s="2" t="s">
        <v>44</v>
      </c>
      <c r="N1814" s="2">
        <v>91</v>
      </c>
      <c r="O1814" s="2">
        <v>4418709.7699999996</v>
      </c>
      <c r="P1814" s="2">
        <v>48557.25</v>
      </c>
    </row>
    <row r="1815" spans="1:16" outlineLevel="2" x14ac:dyDescent="0.2">
      <c r="A1815" s="5">
        <v>46089</v>
      </c>
      <c r="B1815" s="2">
        <v>157646</v>
      </c>
      <c r="C1815" s="2">
        <v>5</v>
      </c>
      <c r="D1815" s="2" t="s">
        <v>38</v>
      </c>
      <c r="E1815" s="2" t="s">
        <v>39</v>
      </c>
      <c r="F1815" s="2" t="s">
        <v>40</v>
      </c>
      <c r="G1815" s="2" t="s">
        <v>22</v>
      </c>
      <c r="H1815" s="2" t="s">
        <v>393</v>
      </c>
      <c r="I1815" s="2" t="s">
        <v>113</v>
      </c>
      <c r="J1815" s="2">
        <v>40</v>
      </c>
      <c r="K1815" s="2" t="s">
        <v>43</v>
      </c>
      <c r="L1815" s="2">
        <v>2579</v>
      </c>
      <c r="M1815" s="2" t="s">
        <v>44</v>
      </c>
      <c r="N1815" s="2">
        <v>96</v>
      </c>
      <c r="O1815" s="2">
        <v>4752039.58</v>
      </c>
      <c r="P1815" s="2">
        <v>49500.41</v>
      </c>
    </row>
    <row r="1816" spans="1:16" outlineLevel="2" x14ac:dyDescent="0.2">
      <c r="A1816" s="5">
        <v>46089</v>
      </c>
      <c r="B1816" s="2">
        <v>157646</v>
      </c>
      <c r="C1816" s="2">
        <v>8</v>
      </c>
      <c r="D1816" s="2" t="s">
        <v>38</v>
      </c>
      <c r="E1816" s="2" t="s">
        <v>39</v>
      </c>
      <c r="F1816" s="2" t="s">
        <v>40</v>
      </c>
      <c r="G1816" s="2" t="s">
        <v>22</v>
      </c>
      <c r="H1816" s="2" t="s">
        <v>41</v>
      </c>
      <c r="I1816" s="2" t="s">
        <v>395</v>
      </c>
      <c r="J1816" s="2">
        <v>40</v>
      </c>
      <c r="K1816" s="2" t="s">
        <v>43</v>
      </c>
      <c r="L1816" s="2">
        <v>2579</v>
      </c>
      <c r="M1816" s="2" t="s">
        <v>44</v>
      </c>
      <c r="N1816" s="2">
        <v>261</v>
      </c>
      <c r="O1816" s="2">
        <v>6589757.8899999997</v>
      </c>
      <c r="P1816" s="2">
        <v>25248.11</v>
      </c>
    </row>
    <row r="1817" spans="1:16" outlineLevel="2" x14ac:dyDescent="0.2">
      <c r="A1817" s="5">
        <v>46090</v>
      </c>
      <c r="B1817" s="2">
        <v>157647</v>
      </c>
      <c r="C1817" s="2">
        <v>2</v>
      </c>
      <c r="D1817" s="2" t="s">
        <v>38</v>
      </c>
      <c r="E1817" s="2" t="s">
        <v>39</v>
      </c>
      <c r="F1817" s="2" t="s">
        <v>63</v>
      </c>
      <c r="G1817" s="2" t="s">
        <v>22</v>
      </c>
      <c r="H1817" s="2" t="s">
        <v>23</v>
      </c>
      <c r="I1817" s="2" t="s">
        <v>116</v>
      </c>
      <c r="J1817" s="2">
        <v>1</v>
      </c>
      <c r="K1817" s="2" t="s">
        <v>24</v>
      </c>
      <c r="L1817" s="2">
        <v>1846</v>
      </c>
      <c r="M1817" s="2" t="s">
        <v>134</v>
      </c>
      <c r="N1817" s="2">
        <v>176</v>
      </c>
      <c r="O1817" s="2">
        <v>14847491.15</v>
      </c>
      <c r="P1817" s="2">
        <v>84360.75</v>
      </c>
    </row>
    <row r="1818" spans="1:16" outlineLevel="2" x14ac:dyDescent="0.2">
      <c r="A1818" s="5">
        <v>46090</v>
      </c>
      <c r="B1818" s="2">
        <v>157647</v>
      </c>
      <c r="C1818" s="2">
        <v>3</v>
      </c>
      <c r="D1818" s="2" t="s">
        <v>38</v>
      </c>
      <c r="E1818" s="2" t="s">
        <v>39</v>
      </c>
      <c r="F1818" s="2" t="s">
        <v>63</v>
      </c>
      <c r="G1818" s="2" t="s">
        <v>22</v>
      </c>
      <c r="H1818" s="2" t="s">
        <v>23</v>
      </c>
      <c r="I1818" s="2" t="s">
        <v>135</v>
      </c>
      <c r="J1818" s="2">
        <v>1</v>
      </c>
      <c r="K1818" s="2" t="s">
        <v>24</v>
      </c>
      <c r="L1818" s="2">
        <v>1846</v>
      </c>
      <c r="M1818" s="2" t="s">
        <v>134</v>
      </c>
      <c r="N1818" s="2">
        <v>88</v>
      </c>
      <c r="O1818" s="2">
        <v>7631902.5599999996</v>
      </c>
      <c r="P1818" s="2">
        <v>86726.17</v>
      </c>
    </row>
    <row r="1819" spans="1:16" outlineLevel="2" x14ac:dyDescent="0.2">
      <c r="A1819" s="5">
        <v>46092</v>
      </c>
      <c r="B1819" s="2">
        <v>157647</v>
      </c>
      <c r="C1819" s="2">
        <v>4</v>
      </c>
      <c r="D1819" s="2" t="s">
        <v>38</v>
      </c>
      <c r="E1819" s="2" t="s">
        <v>39</v>
      </c>
      <c r="F1819" s="2" t="s">
        <v>63</v>
      </c>
      <c r="G1819" s="2" t="s">
        <v>22</v>
      </c>
      <c r="H1819" s="2" t="s">
        <v>23</v>
      </c>
      <c r="I1819" s="2" t="s">
        <v>133</v>
      </c>
      <c r="J1819" s="2">
        <v>1</v>
      </c>
      <c r="K1819" s="2" t="s">
        <v>24</v>
      </c>
      <c r="L1819" s="2">
        <v>1846</v>
      </c>
      <c r="M1819" s="2" t="s">
        <v>134</v>
      </c>
      <c r="N1819" s="2">
        <v>289</v>
      </c>
      <c r="O1819" s="2">
        <v>21857999.800000001</v>
      </c>
      <c r="P1819" s="2">
        <v>75633.22</v>
      </c>
    </row>
    <row r="1820" spans="1:16" outlineLevel="2" x14ac:dyDescent="0.2">
      <c r="A1820" s="5">
        <v>46089</v>
      </c>
      <c r="B1820" s="2">
        <v>157648</v>
      </c>
      <c r="C1820" s="2">
        <v>1</v>
      </c>
      <c r="D1820" s="2" t="s">
        <v>38</v>
      </c>
      <c r="E1820" s="2" t="s">
        <v>39</v>
      </c>
      <c r="F1820" s="2" t="s">
        <v>290</v>
      </c>
      <c r="G1820" s="2" t="s">
        <v>349</v>
      </c>
      <c r="H1820" s="2" t="s">
        <v>23</v>
      </c>
      <c r="I1820" s="2" t="s">
        <v>23</v>
      </c>
      <c r="J1820" s="2">
        <v>40</v>
      </c>
      <c r="K1820" s="2" t="s">
        <v>43</v>
      </c>
      <c r="L1820" s="2">
        <v>2551</v>
      </c>
      <c r="M1820" s="2" t="s">
        <v>292</v>
      </c>
      <c r="N1820" s="2">
        <v>560</v>
      </c>
      <c r="O1820" s="2">
        <v>26639277.57</v>
      </c>
      <c r="P1820" s="2">
        <v>47570.14</v>
      </c>
    </row>
    <row r="1821" spans="1:16" outlineLevel="1" x14ac:dyDescent="0.2">
      <c r="A1821" s="5"/>
      <c r="D1821" s="3" t="s">
        <v>721</v>
      </c>
      <c r="N1821" s="2">
        <f>SUBTOTAL(9,N1812:N1820)</f>
        <v>2175</v>
      </c>
      <c r="O1821" s="2">
        <f>SUBTOTAL(9,O1812:O1820)</f>
        <v>104065962.33000001</v>
      </c>
      <c r="P1821" s="2">
        <f>+O1821/N1821</f>
        <v>47846.419462068974</v>
      </c>
    </row>
    <row r="1822" spans="1:16" outlineLevel="2" x14ac:dyDescent="0.2">
      <c r="A1822" s="5">
        <v>46099</v>
      </c>
      <c r="B1822" s="2">
        <v>157662</v>
      </c>
      <c r="C1822" s="2">
        <v>1</v>
      </c>
      <c r="D1822" s="2" t="s">
        <v>29</v>
      </c>
      <c r="E1822" s="2" t="s">
        <v>396</v>
      </c>
      <c r="F1822" s="2" t="s">
        <v>55</v>
      </c>
      <c r="G1822" s="2" t="s">
        <v>23</v>
      </c>
      <c r="H1822" s="2" t="s">
        <v>23</v>
      </c>
      <c r="I1822" s="2" t="s">
        <v>23</v>
      </c>
      <c r="J1822" s="2">
        <v>2</v>
      </c>
      <c r="K1822" s="2" t="s">
        <v>48</v>
      </c>
      <c r="L1822" s="2">
        <v>818</v>
      </c>
      <c r="M1822" s="2" t="s">
        <v>173</v>
      </c>
      <c r="N1822" s="2">
        <v>9</v>
      </c>
      <c r="O1822" s="2">
        <v>75109.02</v>
      </c>
      <c r="P1822" s="2">
        <v>8345.4500000000007</v>
      </c>
    </row>
    <row r="1823" spans="1:16" outlineLevel="1" x14ac:dyDescent="0.2">
      <c r="A1823" s="5"/>
      <c r="D1823" s="3" t="s">
        <v>703</v>
      </c>
      <c r="N1823" s="2">
        <f>SUBTOTAL(9,N1822:N1822)</f>
        <v>9</v>
      </c>
      <c r="O1823" s="2">
        <f>SUBTOTAL(9,O1822:O1822)</f>
        <v>75109.02</v>
      </c>
      <c r="P1823" s="2">
        <f>+O1823/N1823</f>
        <v>8345.4466666666667</v>
      </c>
    </row>
    <row r="1824" spans="1:16" outlineLevel="2" x14ac:dyDescent="0.2">
      <c r="A1824" s="5">
        <v>46099</v>
      </c>
      <c r="B1824" s="2">
        <v>157663</v>
      </c>
      <c r="C1824" s="2">
        <v>3</v>
      </c>
      <c r="D1824" s="2" t="s">
        <v>83</v>
      </c>
      <c r="E1824" s="2" t="s">
        <v>348</v>
      </c>
      <c r="F1824" s="2" t="s">
        <v>55</v>
      </c>
      <c r="G1824" s="2" t="s">
        <v>23</v>
      </c>
      <c r="H1824" s="2" t="s">
        <v>23</v>
      </c>
      <c r="I1824" s="2" t="s">
        <v>23</v>
      </c>
      <c r="J1824" s="2">
        <v>1</v>
      </c>
      <c r="K1824" s="2" t="s">
        <v>24</v>
      </c>
      <c r="L1824" s="2">
        <v>226</v>
      </c>
      <c r="M1824" s="2" t="s">
        <v>59</v>
      </c>
      <c r="N1824" s="2">
        <v>10</v>
      </c>
      <c r="O1824" s="2">
        <v>48481.09</v>
      </c>
      <c r="P1824" s="2">
        <v>4848.1099999999997</v>
      </c>
    </row>
    <row r="1825" spans="1:16" outlineLevel="1" x14ac:dyDescent="0.2">
      <c r="A1825" s="5"/>
      <c r="D1825" s="3" t="s">
        <v>701</v>
      </c>
      <c r="N1825" s="2">
        <f>SUBTOTAL(9,N1824:N1824)</f>
        <v>10</v>
      </c>
      <c r="O1825" s="2">
        <f>SUBTOTAL(9,O1824:O1824)</f>
        <v>48481.09</v>
      </c>
      <c r="P1825" s="2">
        <f>+O1825/N1825</f>
        <v>4848.1089999999995</v>
      </c>
    </row>
    <row r="1826" spans="1:16" outlineLevel="2" x14ac:dyDescent="0.2">
      <c r="A1826" s="5">
        <v>46092</v>
      </c>
      <c r="B1826" s="2">
        <v>157667</v>
      </c>
      <c r="C1826" s="2">
        <v>310</v>
      </c>
      <c r="D1826" s="2" t="s">
        <v>45</v>
      </c>
      <c r="E1826" s="2" t="s">
        <v>228</v>
      </c>
      <c r="F1826" s="2" t="s">
        <v>55</v>
      </c>
      <c r="G1826" s="2" t="s">
        <v>23</v>
      </c>
      <c r="H1826" s="2" t="s">
        <v>23</v>
      </c>
      <c r="I1826" s="2" t="s">
        <v>23</v>
      </c>
      <c r="J1826" s="2">
        <v>2</v>
      </c>
      <c r="K1826" s="2" t="s">
        <v>48</v>
      </c>
      <c r="L1826" s="2">
        <v>1964</v>
      </c>
      <c r="M1826" s="2" t="s">
        <v>49</v>
      </c>
      <c r="N1826" s="2">
        <v>2</v>
      </c>
      <c r="O1826" s="2">
        <v>14343.42</v>
      </c>
      <c r="P1826" s="2">
        <v>7171.71</v>
      </c>
    </row>
    <row r="1827" spans="1:16" outlineLevel="2" x14ac:dyDescent="0.2">
      <c r="A1827" s="5">
        <v>46092</v>
      </c>
      <c r="B1827" s="2">
        <v>157667</v>
      </c>
      <c r="C1827" s="2">
        <v>315</v>
      </c>
      <c r="D1827" s="2" t="s">
        <v>45</v>
      </c>
      <c r="E1827" s="2" t="s">
        <v>125</v>
      </c>
      <c r="F1827" s="2" t="s">
        <v>55</v>
      </c>
      <c r="G1827" s="2" t="s">
        <v>23</v>
      </c>
      <c r="H1827" s="2" t="s">
        <v>23</v>
      </c>
      <c r="I1827" s="2" t="s">
        <v>23</v>
      </c>
      <c r="J1827" s="2">
        <v>2</v>
      </c>
      <c r="K1827" s="2" t="s">
        <v>48</v>
      </c>
      <c r="L1827" s="2">
        <v>1964</v>
      </c>
      <c r="M1827" s="2" t="s">
        <v>49</v>
      </c>
      <c r="N1827" s="2">
        <v>6</v>
      </c>
      <c r="O1827" s="2">
        <v>37429.620000000003</v>
      </c>
      <c r="P1827" s="2">
        <v>6238.27</v>
      </c>
    </row>
    <row r="1828" spans="1:16" outlineLevel="1" x14ac:dyDescent="0.2">
      <c r="A1828" s="5"/>
      <c r="D1828" s="3" t="s">
        <v>733</v>
      </c>
      <c r="N1828" s="2">
        <f>SUBTOTAL(9,N1826:N1827)</f>
        <v>8</v>
      </c>
      <c r="O1828" s="2">
        <f>SUBTOTAL(9,O1826:O1827)</f>
        <v>51773.04</v>
      </c>
      <c r="P1828" s="2">
        <f>+O1828/N1828</f>
        <v>6471.63</v>
      </c>
    </row>
    <row r="1829" spans="1:16" outlineLevel="2" x14ac:dyDescent="0.2">
      <c r="A1829" s="5">
        <v>46097</v>
      </c>
      <c r="B1829" s="2">
        <v>157669</v>
      </c>
      <c r="C1829" s="2">
        <v>1</v>
      </c>
      <c r="D1829" s="2" t="s">
        <v>119</v>
      </c>
      <c r="E1829" s="2" t="s">
        <v>120</v>
      </c>
      <c r="F1829" s="2" t="s">
        <v>47</v>
      </c>
      <c r="G1829" s="2" t="s">
        <v>22</v>
      </c>
      <c r="H1829" s="2" t="s">
        <v>23</v>
      </c>
      <c r="I1829" s="2" t="s">
        <v>23</v>
      </c>
      <c r="J1829" s="2">
        <v>1</v>
      </c>
      <c r="K1829" s="2" t="s">
        <v>24</v>
      </c>
      <c r="L1829" s="2">
        <v>600</v>
      </c>
      <c r="M1829" s="2" t="s">
        <v>112</v>
      </c>
      <c r="N1829" s="2">
        <v>173</v>
      </c>
      <c r="O1829" s="2">
        <v>7727172.5800000001</v>
      </c>
      <c r="P1829" s="2">
        <v>44665.74</v>
      </c>
    </row>
    <row r="1830" spans="1:16" outlineLevel="1" x14ac:dyDescent="0.2">
      <c r="A1830" s="5"/>
      <c r="D1830" s="3" t="s">
        <v>708</v>
      </c>
      <c r="N1830" s="2">
        <f>SUBTOTAL(9,N1829:N1829)</f>
        <v>173</v>
      </c>
      <c r="O1830" s="2">
        <f>SUBTOTAL(9,O1829:O1829)</f>
        <v>7727172.5800000001</v>
      </c>
      <c r="P1830" s="2">
        <f>+O1830/N1830</f>
        <v>44665.737456647403</v>
      </c>
    </row>
    <row r="1831" spans="1:16" outlineLevel="2" x14ac:dyDescent="0.2">
      <c r="A1831" s="5">
        <v>46094</v>
      </c>
      <c r="B1831" s="2">
        <v>157670</v>
      </c>
      <c r="C1831" s="2">
        <v>1</v>
      </c>
      <c r="D1831" s="2" t="s">
        <v>33</v>
      </c>
      <c r="E1831" s="2" t="s">
        <v>23</v>
      </c>
      <c r="F1831" s="2" t="s">
        <v>35</v>
      </c>
      <c r="G1831" s="2" t="s">
        <v>22</v>
      </c>
      <c r="H1831" s="2" t="s">
        <v>23</v>
      </c>
      <c r="I1831" s="2" t="s">
        <v>36</v>
      </c>
      <c r="J1831" s="2">
        <v>1</v>
      </c>
      <c r="K1831" s="2" t="s">
        <v>24</v>
      </c>
      <c r="L1831" s="2">
        <v>2520</v>
      </c>
      <c r="M1831" s="2" t="s">
        <v>37</v>
      </c>
      <c r="N1831" s="2">
        <v>223</v>
      </c>
      <c r="O1831" s="2">
        <v>4099291.65</v>
      </c>
      <c r="P1831" s="2">
        <v>18382.47</v>
      </c>
    </row>
    <row r="1832" spans="1:16" outlineLevel="2" x14ac:dyDescent="0.2">
      <c r="A1832" s="5">
        <v>46099</v>
      </c>
      <c r="B1832" s="2">
        <v>157670</v>
      </c>
      <c r="C1832" s="2">
        <v>2</v>
      </c>
      <c r="D1832" s="2" t="s">
        <v>33</v>
      </c>
      <c r="E1832" s="2" t="s">
        <v>23</v>
      </c>
      <c r="F1832" s="2" t="s">
        <v>23</v>
      </c>
      <c r="G1832" s="2" t="s">
        <v>22</v>
      </c>
      <c r="H1832" s="2" t="s">
        <v>23</v>
      </c>
      <c r="I1832" s="2" t="s">
        <v>23</v>
      </c>
      <c r="J1832" s="2">
        <v>1</v>
      </c>
      <c r="K1832" s="2" t="s">
        <v>24</v>
      </c>
      <c r="L1832" s="2">
        <v>2520</v>
      </c>
      <c r="M1832" s="2" t="s">
        <v>37</v>
      </c>
      <c r="N1832" s="2">
        <v>28</v>
      </c>
      <c r="O1832" s="2">
        <v>380961.52</v>
      </c>
      <c r="P1832" s="2">
        <v>13605.77</v>
      </c>
    </row>
    <row r="1833" spans="1:16" outlineLevel="2" x14ac:dyDescent="0.2">
      <c r="A1833" s="5">
        <v>46094</v>
      </c>
      <c r="B1833" s="2">
        <v>157670</v>
      </c>
      <c r="C1833" s="2">
        <v>3</v>
      </c>
      <c r="D1833" s="2" t="s">
        <v>33</v>
      </c>
      <c r="E1833" s="2" t="s">
        <v>23</v>
      </c>
      <c r="F1833" s="2" t="s">
        <v>35</v>
      </c>
      <c r="G1833" s="2" t="s">
        <v>22</v>
      </c>
      <c r="H1833" s="2" t="s">
        <v>23</v>
      </c>
      <c r="I1833" s="2" t="s">
        <v>23</v>
      </c>
      <c r="J1833" s="2">
        <v>1</v>
      </c>
      <c r="K1833" s="2" t="s">
        <v>24</v>
      </c>
      <c r="L1833" s="2">
        <v>2520</v>
      </c>
      <c r="M1833" s="2" t="s">
        <v>37</v>
      </c>
      <c r="N1833" s="2">
        <v>524</v>
      </c>
      <c r="O1833" s="2">
        <v>10158824.869999999</v>
      </c>
      <c r="P1833" s="2">
        <v>19387.07</v>
      </c>
    </row>
    <row r="1834" spans="1:16" outlineLevel="1" x14ac:dyDescent="0.2">
      <c r="A1834" s="5"/>
      <c r="D1834" s="3" t="s">
        <v>705</v>
      </c>
      <c r="N1834" s="2">
        <f>SUBTOTAL(9,N1831:N1833)</f>
        <v>775</v>
      </c>
      <c r="O1834" s="2">
        <f>SUBTOTAL(9,O1831:O1833)</f>
        <v>14639078.039999999</v>
      </c>
      <c r="P1834" s="2">
        <f>+O1834/N1834</f>
        <v>18889.132954838708</v>
      </c>
    </row>
    <row r="1835" spans="1:16" outlineLevel="2" x14ac:dyDescent="0.2">
      <c r="A1835" s="5">
        <v>46099</v>
      </c>
      <c r="B1835" s="2">
        <v>157672</v>
      </c>
      <c r="C1835" s="2">
        <v>1</v>
      </c>
      <c r="D1835" s="2" t="s">
        <v>150</v>
      </c>
      <c r="E1835" s="2" t="s">
        <v>224</v>
      </c>
      <c r="F1835" s="2" t="s">
        <v>199</v>
      </c>
      <c r="G1835" s="2" t="s">
        <v>22</v>
      </c>
      <c r="H1835" s="2" t="s">
        <v>23</v>
      </c>
      <c r="I1835" s="2" t="s">
        <v>23</v>
      </c>
      <c r="J1835" s="2">
        <v>2</v>
      </c>
      <c r="K1835" s="2" t="s">
        <v>48</v>
      </c>
      <c r="L1835" s="2">
        <v>600</v>
      </c>
      <c r="M1835" s="2" t="s">
        <v>112</v>
      </c>
      <c r="N1835" s="2">
        <v>12</v>
      </c>
      <c r="O1835" s="2">
        <v>30987.64</v>
      </c>
      <c r="P1835" s="2">
        <v>2582.3000000000002</v>
      </c>
    </row>
    <row r="1836" spans="1:16" outlineLevel="1" x14ac:dyDescent="0.2">
      <c r="A1836" s="5"/>
      <c r="D1836" s="3" t="s">
        <v>718</v>
      </c>
      <c r="N1836" s="2">
        <f>SUBTOTAL(9,N1835:N1835)</f>
        <v>12</v>
      </c>
      <c r="O1836" s="2">
        <f>SUBTOTAL(9,O1835:O1835)</f>
        <v>30987.64</v>
      </c>
      <c r="P1836" s="2">
        <f>+O1836/N1836</f>
        <v>2582.3033333333333</v>
      </c>
    </row>
    <row r="1837" spans="1:16" outlineLevel="2" x14ac:dyDescent="0.2">
      <c r="A1837" s="5">
        <v>46099</v>
      </c>
      <c r="B1837" s="2">
        <v>157680</v>
      </c>
      <c r="C1837" s="2">
        <v>1</v>
      </c>
      <c r="D1837" s="2" t="s">
        <v>107</v>
      </c>
      <c r="E1837" s="2" t="s">
        <v>23</v>
      </c>
      <c r="F1837" s="2" t="s">
        <v>55</v>
      </c>
      <c r="G1837" s="2" t="s">
        <v>23</v>
      </c>
      <c r="H1837" s="2" t="s">
        <v>23</v>
      </c>
      <c r="I1837" s="2" t="s">
        <v>23</v>
      </c>
      <c r="J1837" s="2">
        <v>2</v>
      </c>
      <c r="K1837" s="2" t="s">
        <v>48</v>
      </c>
      <c r="L1837" s="2">
        <v>25092</v>
      </c>
      <c r="M1837" s="2" t="s">
        <v>96</v>
      </c>
      <c r="N1837" s="2">
        <v>32</v>
      </c>
      <c r="O1837" s="2">
        <v>388179.28</v>
      </c>
      <c r="P1837" s="2">
        <v>12130.6</v>
      </c>
    </row>
    <row r="1838" spans="1:16" outlineLevel="1" x14ac:dyDescent="0.2">
      <c r="A1838" s="5"/>
      <c r="D1838" s="3" t="s">
        <v>726</v>
      </c>
      <c r="N1838" s="2">
        <f>SUBTOTAL(9,N1837:N1837)</f>
        <v>32</v>
      </c>
      <c r="O1838" s="2">
        <f>SUBTOTAL(9,O1837:O1837)</f>
        <v>388179.28</v>
      </c>
      <c r="P1838" s="2">
        <f>+O1838/N1838</f>
        <v>12130.602500000001</v>
      </c>
    </row>
    <row r="1839" spans="1:16" outlineLevel="2" x14ac:dyDescent="0.2">
      <c r="A1839" s="5">
        <v>46092</v>
      </c>
      <c r="B1839" s="2">
        <v>157681</v>
      </c>
      <c r="C1839" s="2">
        <v>1</v>
      </c>
      <c r="D1839" s="2" t="s">
        <v>140</v>
      </c>
      <c r="E1839" s="2" t="s">
        <v>141</v>
      </c>
      <c r="F1839" s="2" t="s">
        <v>108</v>
      </c>
      <c r="G1839" s="2" t="s">
        <v>22</v>
      </c>
      <c r="H1839" s="2" t="s">
        <v>23</v>
      </c>
      <c r="I1839" s="2" t="s">
        <v>23</v>
      </c>
      <c r="J1839" s="2">
        <v>1</v>
      </c>
      <c r="K1839" s="2" t="s">
        <v>24</v>
      </c>
      <c r="L1839" s="2">
        <v>1833</v>
      </c>
      <c r="M1839" s="2" t="s">
        <v>142</v>
      </c>
      <c r="N1839" s="2">
        <v>20</v>
      </c>
      <c r="O1839" s="2">
        <v>565348.68000000005</v>
      </c>
      <c r="P1839" s="2">
        <v>28267.43</v>
      </c>
    </row>
    <row r="1840" spans="1:16" outlineLevel="1" x14ac:dyDescent="0.2">
      <c r="A1840" s="5"/>
      <c r="D1840" s="3" t="s">
        <v>696</v>
      </c>
      <c r="N1840" s="2">
        <f>SUBTOTAL(9,N1839:N1839)</f>
        <v>20</v>
      </c>
      <c r="O1840" s="2">
        <f>SUBTOTAL(9,O1839:O1839)</f>
        <v>565348.68000000005</v>
      </c>
      <c r="P1840" s="2">
        <f>+O1840/N1840</f>
        <v>28267.434000000001</v>
      </c>
    </row>
    <row r="1841" spans="1:16" outlineLevel="2" x14ac:dyDescent="0.2">
      <c r="A1841" s="5">
        <v>46092</v>
      </c>
      <c r="B1841" s="2">
        <v>157682</v>
      </c>
      <c r="C1841" s="2">
        <v>1</v>
      </c>
      <c r="D1841" s="2" t="s">
        <v>207</v>
      </c>
      <c r="E1841" s="2" t="s">
        <v>23</v>
      </c>
      <c r="F1841" s="2" t="s">
        <v>47</v>
      </c>
      <c r="G1841" s="2" t="s">
        <v>22</v>
      </c>
      <c r="H1841" s="2" t="s">
        <v>208</v>
      </c>
      <c r="I1841" s="2" t="s">
        <v>23</v>
      </c>
      <c r="J1841" s="2">
        <v>41</v>
      </c>
      <c r="K1841" s="2" t="s">
        <v>129</v>
      </c>
      <c r="L1841" s="2">
        <v>25213</v>
      </c>
      <c r="M1841" s="2" t="s">
        <v>130</v>
      </c>
      <c r="N1841" s="2">
        <v>50</v>
      </c>
      <c r="O1841" s="2">
        <v>187579.55</v>
      </c>
      <c r="P1841" s="2">
        <v>3751.59</v>
      </c>
    </row>
    <row r="1842" spans="1:16" outlineLevel="2" x14ac:dyDescent="0.2">
      <c r="A1842" s="5">
        <v>46092</v>
      </c>
      <c r="B1842" s="2">
        <v>157682</v>
      </c>
      <c r="C1842" s="2">
        <v>2</v>
      </c>
      <c r="D1842" s="2" t="s">
        <v>207</v>
      </c>
      <c r="E1842" s="2" t="s">
        <v>23</v>
      </c>
      <c r="F1842" s="2" t="s">
        <v>47</v>
      </c>
      <c r="G1842" s="2" t="s">
        <v>22</v>
      </c>
      <c r="H1842" s="2" t="s">
        <v>209</v>
      </c>
      <c r="I1842" s="2" t="s">
        <v>23</v>
      </c>
      <c r="J1842" s="2">
        <v>41</v>
      </c>
      <c r="K1842" s="2" t="s">
        <v>129</v>
      </c>
      <c r="L1842" s="2">
        <v>25213</v>
      </c>
      <c r="M1842" s="2" t="s">
        <v>130</v>
      </c>
      <c r="N1842" s="2">
        <v>25</v>
      </c>
      <c r="O1842" s="2">
        <v>85388.71</v>
      </c>
      <c r="P1842" s="2">
        <v>3415.55</v>
      </c>
    </row>
    <row r="1843" spans="1:16" outlineLevel="1" x14ac:dyDescent="0.2">
      <c r="A1843" s="5"/>
      <c r="D1843" s="3" t="s">
        <v>699</v>
      </c>
      <c r="N1843" s="2">
        <f>SUBTOTAL(9,N1841:N1842)</f>
        <v>75</v>
      </c>
      <c r="O1843" s="2">
        <f>SUBTOTAL(9,O1841:O1842)</f>
        <v>272968.26</v>
      </c>
      <c r="P1843" s="2">
        <f>+O1843/N1843</f>
        <v>3639.5768000000003</v>
      </c>
    </row>
    <row r="1844" spans="1:16" outlineLevel="2" x14ac:dyDescent="0.2">
      <c r="A1844" s="5">
        <v>46092</v>
      </c>
      <c r="B1844" s="2">
        <v>157682</v>
      </c>
      <c r="C1844" s="2">
        <v>3</v>
      </c>
      <c r="D1844" s="2" t="s">
        <v>128</v>
      </c>
      <c r="E1844" s="2" t="s">
        <v>23</v>
      </c>
      <c r="F1844" s="2" t="s">
        <v>47</v>
      </c>
      <c r="G1844" s="2" t="s">
        <v>22</v>
      </c>
      <c r="H1844" s="2" t="s">
        <v>23</v>
      </c>
      <c r="I1844" s="2" t="s">
        <v>23</v>
      </c>
      <c r="J1844" s="2">
        <v>41</v>
      </c>
      <c r="K1844" s="2" t="s">
        <v>129</v>
      </c>
      <c r="L1844" s="2">
        <v>25213</v>
      </c>
      <c r="M1844" s="2" t="s">
        <v>130</v>
      </c>
      <c r="N1844" s="2">
        <v>50</v>
      </c>
      <c r="O1844" s="2">
        <v>187112.83</v>
      </c>
      <c r="P1844" s="2">
        <v>3742.26</v>
      </c>
    </row>
    <row r="1845" spans="1:16" outlineLevel="1" x14ac:dyDescent="0.2">
      <c r="A1845" s="5"/>
      <c r="D1845" s="3" t="s">
        <v>732</v>
      </c>
      <c r="N1845" s="2">
        <f>SUBTOTAL(9,N1844:N1844)</f>
        <v>50</v>
      </c>
      <c r="O1845" s="2">
        <f>SUBTOTAL(9,O1844:O1844)</f>
        <v>187112.83</v>
      </c>
      <c r="P1845" s="2">
        <f>+O1845/N1845</f>
        <v>3742.2565999999997</v>
      </c>
    </row>
    <row r="1846" spans="1:16" outlineLevel="2" x14ac:dyDescent="0.2">
      <c r="A1846" s="5">
        <v>46092</v>
      </c>
      <c r="B1846" s="2">
        <v>157683</v>
      </c>
      <c r="C1846" s="2">
        <v>1</v>
      </c>
      <c r="D1846" s="2" t="s">
        <v>226</v>
      </c>
      <c r="E1846" s="2" t="s">
        <v>151</v>
      </c>
      <c r="F1846" s="2" t="s">
        <v>47</v>
      </c>
      <c r="G1846" s="2" t="s">
        <v>22</v>
      </c>
      <c r="H1846" s="2" t="s">
        <v>23</v>
      </c>
      <c r="I1846" s="2" t="s">
        <v>23</v>
      </c>
      <c r="J1846" s="2">
        <v>2</v>
      </c>
      <c r="K1846" s="2" t="s">
        <v>48</v>
      </c>
      <c r="L1846" s="2">
        <v>1964</v>
      </c>
      <c r="M1846" s="2" t="s">
        <v>49</v>
      </c>
      <c r="N1846" s="2">
        <v>15</v>
      </c>
      <c r="O1846" s="2">
        <v>185984.57</v>
      </c>
      <c r="P1846" s="2">
        <v>12398.97</v>
      </c>
    </row>
    <row r="1847" spans="1:16" outlineLevel="1" x14ac:dyDescent="0.2">
      <c r="A1847" s="5"/>
      <c r="D1847" s="3" t="s">
        <v>736</v>
      </c>
      <c r="N1847" s="2">
        <f>SUBTOTAL(9,N1846:N1846)</f>
        <v>15</v>
      </c>
      <c r="O1847" s="2">
        <f>SUBTOTAL(9,O1846:O1846)</f>
        <v>185984.57</v>
      </c>
      <c r="P1847" s="2">
        <f>+O1847/N1847</f>
        <v>12398.971333333333</v>
      </c>
    </row>
    <row r="1848" spans="1:16" outlineLevel="2" x14ac:dyDescent="0.2">
      <c r="A1848" s="5">
        <v>46092</v>
      </c>
      <c r="B1848" s="2">
        <v>157683</v>
      </c>
      <c r="C1848" s="2">
        <v>2</v>
      </c>
      <c r="D1848" s="2" t="s">
        <v>45</v>
      </c>
      <c r="E1848" s="2" t="s">
        <v>228</v>
      </c>
      <c r="F1848" s="2" t="s">
        <v>47</v>
      </c>
      <c r="G1848" s="2" t="s">
        <v>22</v>
      </c>
      <c r="H1848" s="2" t="s">
        <v>23</v>
      </c>
      <c r="I1848" s="2" t="s">
        <v>23</v>
      </c>
      <c r="J1848" s="2">
        <v>41</v>
      </c>
      <c r="K1848" s="2" t="s">
        <v>129</v>
      </c>
      <c r="L1848" s="2">
        <v>1964</v>
      </c>
      <c r="M1848" s="2" t="s">
        <v>49</v>
      </c>
      <c r="N1848" s="2">
        <v>24</v>
      </c>
      <c r="O1848" s="2">
        <v>365342.88</v>
      </c>
      <c r="P1848" s="2">
        <v>15222.62</v>
      </c>
    </row>
    <row r="1849" spans="1:16" outlineLevel="1" x14ac:dyDescent="0.2">
      <c r="A1849" s="5"/>
      <c r="D1849" s="3" t="s">
        <v>733</v>
      </c>
      <c r="N1849" s="2">
        <f>SUBTOTAL(9,N1848:N1848)</f>
        <v>24</v>
      </c>
      <c r="O1849" s="2">
        <f>SUBTOTAL(9,O1848:O1848)</f>
        <v>365342.88</v>
      </c>
      <c r="P1849" s="2">
        <f>+O1849/N1849</f>
        <v>15222.62</v>
      </c>
    </row>
    <row r="1850" spans="1:16" outlineLevel="2" x14ac:dyDescent="0.2">
      <c r="A1850" s="5">
        <v>46092</v>
      </c>
      <c r="B1850" s="2">
        <v>157683</v>
      </c>
      <c r="C1850" s="2">
        <v>3</v>
      </c>
      <c r="D1850" s="2" t="s">
        <v>226</v>
      </c>
      <c r="E1850" s="2" t="s">
        <v>227</v>
      </c>
      <c r="F1850" s="2" t="s">
        <v>47</v>
      </c>
      <c r="G1850" s="2" t="s">
        <v>22</v>
      </c>
      <c r="H1850" s="2" t="s">
        <v>23</v>
      </c>
      <c r="I1850" s="2" t="s">
        <v>23</v>
      </c>
      <c r="J1850" s="2">
        <v>41</v>
      </c>
      <c r="K1850" s="2" t="s">
        <v>129</v>
      </c>
      <c r="L1850" s="2">
        <v>1964</v>
      </c>
      <c r="M1850" s="2" t="s">
        <v>49</v>
      </c>
      <c r="N1850" s="2">
        <v>48</v>
      </c>
      <c r="O1850" s="2">
        <v>1058323.2</v>
      </c>
      <c r="P1850" s="2">
        <v>22048.400000000001</v>
      </c>
    </row>
    <row r="1851" spans="1:16" outlineLevel="1" x14ac:dyDescent="0.2">
      <c r="A1851" s="5"/>
      <c r="D1851" s="3" t="s">
        <v>736</v>
      </c>
      <c r="N1851" s="2">
        <f>SUBTOTAL(9,N1850:N1850)</f>
        <v>48</v>
      </c>
      <c r="O1851" s="2">
        <f>SUBTOTAL(9,O1850:O1850)</f>
        <v>1058323.2</v>
      </c>
      <c r="P1851" s="2">
        <f>+O1851/N1851</f>
        <v>22048.399999999998</v>
      </c>
    </row>
    <row r="1852" spans="1:16" outlineLevel="2" x14ac:dyDescent="0.2">
      <c r="A1852" s="5">
        <v>46092</v>
      </c>
      <c r="B1852" s="2">
        <v>157683</v>
      </c>
      <c r="C1852" s="2">
        <v>4</v>
      </c>
      <c r="D1852" s="2" t="s">
        <v>45</v>
      </c>
      <c r="E1852" s="2" t="s">
        <v>227</v>
      </c>
      <c r="F1852" s="2" t="s">
        <v>47</v>
      </c>
      <c r="G1852" s="2" t="s">
        <v>22</v>
      </c>
      <c r="H1852" s="2" t="s">
        <v>23</v>
      </c>
      <c r="I1852" s="2" t="s">
        <v>23</v>
      </c>
      <c r="J1852" s="2">
        <v>41</v>
      </c>
      <c r="K1852" s="2" t="s">
        <v>129</v>
      </c>
      <c r="L1852" s="2">
        <v>1964</v>
      </c>
      <c r="M1852" s="2" t="s">
        <v>49</v>
      </c>
      <c r="N1852" s="2">
        <v>34</v>
      </c>
      <c r="O1852" s="2">
        <v>465996.52</v>
      </c>
      <c r="P1852" s="2">
        <v>13705.78</v>
      </c>
    </row>
    <row r="1853" spans="1:16" outlineLevel="2" x14ac:dyDescent="0.2">
      <c r="A1853" s="5">
        <v>46092</v>
      </c>
      <c r="B1853" s="2">
        <v>157683</v>
      </c>
      <c r="C1853" s="2">
        <v>5</v>
      </c>
      <c r="D1853" s="2" t="s">
        <v>45</v>
      </c>
      <c r="E1853" s="2" t="s">
        <v>389</v>
      </c>
      <c r="F1853" s="2" t="s">
        <v>47</v>
      </c>
      <c r="G1853" s="2" t="s">
        <v>22</v>
      </c>
      <c r="H1853" s="2" t="s">
        <v>23</v>
      </c>
      <c r="I1853" s="2" t="s">
        <v>23</v>
      </c>
      <c r="J1853" s="2">
        <v>41</v>
      </c>
      <c r="K1853" s="2" t="s">
        <v>129</v>
      </c>
      <c r="L1853" s="2">
        <v>1964</v>
      </c>
      <c r="M1853" s="2" t="s">
        <v>49</v>
      </c>
      <c r="N1853" s="2">
        <v>26</v>
      </c>
      <c r="O1853" s="2">
        <v>169631.54</v>
      </c>
      <c r="P1853" s="2">
        <v>6524.29</v>
      </c>
    </row>
    <row r="1854" spans="1:16" outlineLevel="1" x14ac:dyDescent="0.2">
      <c r="A1854" s="5"/>
      <c r="D1854" s="3" t="s">
        <v>733</v>
      </c>
      <c r="N1854" s="2">
        <f>SUBTOTAL(9,N1852:N1853)</f>
        <v>60</v>
      </c>
      <c r="O1854" s="2">
        <f>SUBTOTAL(9,O1852:O1853)</f>
        <v>635628.06000000006</v>
      </c>
      <c r="P1854" s="2">
        <f>+O1854/N1854</f>
        <v>10593.801000000001</v>
      </c>
    </row>
    <row r="1855" spans="1:16" outlineLevel="2" x14ac:dyDescent="0.2">
      <c r="A1855" s="5">
        <v>46092</v>
      </c>
      <c r="B1855" s="2">
        <v>157683</v>
      </c>
      <c r="C1855" s="2">
        <v>6</v>
      </c>
      <c r="D1855" s="2" t="s">
        <v>339</v>
      </c>
      <c r="E1855" s="2" t="s">
        <v>397</v>
      </c>
      <c r="F1855" s="2" t="s">
        <v>47</v>
      </c>
      <c r="G1855" s="2" t="s">
        <v>22</v>
      </c>
      <c r="H1855" s="2" t="s">
        <v>23</v>
      </c>
      <c r="I1855" s="2" t="s">
        <v>23</v>
      </c>
      <c r="J1855" s="2">
        <v>94</v>
      </c>
      <c r="K1855" s="2" t="s">
        <v>147</v>
      </c>
      <c r="L1855" s="2">
        <v>1964</v>
      </c>
      <c r="M1855" s="2" t="s">
        <v>49</v>
      </c>
      <c r="N1855" s="2">
        <v>2</v>
      </c>
      <c r="O1855" s="2">
        <v>20877.490000000002</v>
      </c>
      <c r="P1855" s="2">
        <v>10438.75</v>
      </c>
    </row>
    <row r="1856" spans="1:16" outlineLevel="2" x14ac:dyDescent="0.2">
      <c r="A1856" s="5">
        <v>46092</v>
      </c>
      <c r="B1856" s="2">
        <v>157683</v>
      </c>
      <c r="C1856" s="2">
        <v>7</v>
      </c>
      <c r="D1856" s="2" t="s">
        <v>339</v>
      </c>
      <c r="E1856" s="2" t="s">
        <v>398</v>
      </c>
      <c r="F1856" s="2" t="s">
        <v>47</v>
      </c>
      <c r="G1856" s="2" t="s">
        <v>22</v>
      </c>
      <c r="H1856" s="2" t="s">
        <v>23</v>
      </c>
      <c r="I1856" s="2" t="s">
        <v>23</v>
      </c>
      <c r="J1856" s="2">
        <v>94</v>
      </c>
      <c r="K1856" s="2" t="s">
        <v>147</v>
      </c>
      <c r="L1856" s="2">
        <v>1964</v>
      </c>
      <c r="M1856" s="2" t="s">
        <v>49</v>
      </c>
      <c r="N1856" s="2">
        <v>2</v>
      </c>
      <c r="O1856" s="2">
        <v>29278.44</v>
      </c>
      <c r="P1856" s="2">
        <v>14639.22</v>
      </c>
    </row>
    <row r="1857" spans="1:16" outlineLevel="2" x14ac:dyDescent="0.2">
      <c r="A1857" s="5">
        <v>46092</v>
      </c>
      <c r="B1857" s="2">
        <v>157683</v>
      </c>
      <c r="C1857" s="2">
        <v>8</v>
      </c>
      <c r="D1857" s="2" t="s">
        <v>339</v>
      </c>
      <c r="E1857" s="2" t="s">
        <v>297</v>
      </c>
      <c r="F1857" s="2" t="s">
        <v>47</v>
      </c>
      <c r="G1857" s="2" t="s">
        <v>22</v>
      </c>
      <c r="H1857" s="2" t="s">
        <v>23</v>
      </c>
      <c r="I1857" s="2" t="s">
        <v>23</v>
      </c>
      <c r="J1857" s="2">
        <v>94</v>
      </c>
      <c r="K1857" s="2" t="s">
        <v>147</v>
      </c>
      <c r="L1857" s="2">
        <v>1964</v>
      </c>
      <c r="M1857" s="2" t="s">
        <v>49</v>
      </c>
      <c r="N1857" s="2">
        <v>2</v>
      </c>
      <c r="O1857" s="2">
        <v>29278.44</v>
      </c>
      <c r="P1857" s="2">
        <v>14639.22</v>
      </c>
    </row>
    <row r="1858" spans="1:16" outlineLevel="1" x14ac:dyDescent="0.2">
      <c r="A1858" s="5"/>
      <c r="D1858" s="3" t="s">
        <v>755</v>
      </c>
      <c r="N1858" s="2">
        <f>SUBTOTAL(9,N1855:N1857)</f>
        <v>6</v>
      </c>
      <c r="O1858" s="2">
        <f>SUBTOTAL(9,O1855:O1857)</f>
        <v>79434.37</v>
      </c>
      <c r="P1858" s="2">
        <f>+O1858/N1858</f>
        <v>13239.061666666666</v>
      </c>
    </row>
    <row r="1859" spans="1:16" outlineLevel="2" x14ac:dyDescent="0.2">
      <c r="A1859" s="5">
        <v>46099</v>
      </c>
      <c r="B1859" s="2">
        <v>157696</v>
      </c>
      <c r="C1859" s="2">
        <v>1</v>
      </c>
      <c r="D1859" s="2" t="s">
        <v>140</v>
      </c>
      <c r="E1859" s="2" t="s">
        <v>55</v>
      </c>
      <c r="F1859" s="2" t="s">
        <v>23</v>
      </c>
      <c r="G1859" s="2" t="s">
        <v>23</v>
      </c>
      <c r="H1859" s="2" t="s">
        <v>23</v>
      </c>
      <c r="I1859" s="2" t="s">
        <v>23</v>
      </c>
      <c r="J1859" s="2">
        <v>1</v>
      </c>
      <c r="K1859" s="2" t="s">
        <v>24</v>
      </c>
      <c r="L1859" s="2">
        <v>1833</v>
      </c>
      <c r="M1859" s="2" t="s">
        <v>142</v>
      </c>
      <c r="N1859" s="2">
        <v>3</v>
      </c>
      <c r="O1859" s="2">
        <v>41413.14</v>
      </c>
      <c r="P1859" s="2">
        <v>13804.38</v>
      </c>
    </row>
    <row r="1860" spans="1:16" outlineLevel="1" x14ac:dyDescent="0.2">
      <c r="A1860" s="5"/>
      <c r="D1860" s="3" t="s">
        <v>696</v>
      </c>
      <c r="N1860" s="2">
        <f>SUBTOTAL(9,N1859:N1859)</f>
        <v>3</v>
      </c>
      <c r="O1860" s="2">
        <f>SUBTOTAL(9,O1859:O1859)</f>
        <v>41413.14</v>
      </c>
      <c r="P1860" s="2">
        <f>+O1860/N1860</f>
        <v>13804.38</v>
      </c>
    </row>
    <row r="1861" spans="1:16" outlineLevel="2" x14ac:dyDescent="0.2">
      <c r="A1861" s="5">
        <v>46101</v>
      </c>
      <c r="B1861" s="2">
        <v>157702</v>
      </c>
      <c r="C1861" s="2">
        <v>306</v>
      </c>
      <c r="D1861" s="2" t="s">
        <v>54</v>
      </c>
      <c r="E1861" s="2" t="s">
        <v>20</v>
      </c>
      <c r="F1861" s="2" t="s">
        <v>55</v>
      </c>
      <c r="G1861" s="2" t="s">
        <v>23</v>
      </c>
      <c r="H1861" s="2" t="s">
        <v>23</v>
      </c>
      <c r="I1861" s="2" t="s">
        <v>23</v>
      </c>
      <c r="J1861" s="2">
        <v>1</v>
      </c>
      <c r="K1861" s="2" t="s">
        <v>24</v>
      </c>
      <c r="L1861" s="2">
        <v>25095</v>
      </c>
      <c r="M1861" s="2" t="s">
        <v>216</v>
      </c>
      <c r="N1861" s="2">
        <v>3</v>
      </c>
      <c r="O1861" s="2">
        <v>13114.17</v>
      </c>
      <c r="P1861" s="2">
        <v>4371.3900000000003</v>
      </c>
    </row>
    <row r="1862" spans="1:16" outlineLevel="1" x14ac:dyDescent="0.2">
      <c r="A1862" s="5"/>
      <c r="D1862" s="3" t="s">
        <v>719</v>
      </c>
      <c r="N1862" s="2">
        <f>SUBTOTAL(9,N1861:N1861)</f>
        <v>3</v>
      </c>
      <c r="O1862" s="2">
        <f>SUBTOTAL(9,O1861:O1861)</f>
        <v>13114.17</v>
      </c>
      <c r="P1862" s="2">
        <f>+O1862/N1862</f>
        <v>4371.3900000000003</v>
      </c>
    </row>
    <row r="1863" spans="1:16" outlineLevel="2" x14ac:dyDescent="0.2">
      <c r="A1863" s="5">
        <v>46155</v>
      </c>
      <c r="B1863" s="2">
        <v>157702</v>
      </c>
      <c r="C1863" s="2">
        <v>315</v>
      </c>
      <c r="D1863" s="2" t="s">
        <v>215</v>
      </c>
      <c r="E1863" s="2" t="s">
        <v>23</v>
      </c>
      <c r="F1863" s="2" t="s">
        <v>23</v>
      </c>
      <c r="G1863" s="2" t="s">
        <v>23</v>
      </c>
      <c r="H1863" s="2" t="s">
        <v>23</v>
      </c>
      <c r="I1863" s="2" t="s">
        <v>23</v>
      </c>
      <c r="J1863" s="2">
        <v>1</v>
      </c>
      <c r="K1863" s="2" t="s">
        <v>24</v>
      </c>
      <c r="L1863" s="2">
        <v>25095</v>
      </c>
      <c r="M1863" s="2" t="s">
        <v>216</v>
      </c>
      <c r="N1863" s="2">
        <v>4</v>
      </c>
      <c r="O1863" s="2">
        <v>14506.52</v>
      </c>
      <c r="P1863" s="2">
        <v>3626.63</v>
      </c>
    </row>
    <row r="1864" spans="1:16" outlineLevel="1" x14ac:dyDescent="0.2">
      <c r="A1864" s="5"/>
      <c r="D1864" s="3" t="s">
        <v>727</v>
      </c>
      <c r="N1864" s="2">
        <f>SUBTOTAL(9,N1863:N1863)</f>
        <v>4</v>
      </c>
      <c r="O1864" s="2">
        <f>SUBTOTAL(9,O1863:O1863)</f>
        <v>14506.52</v>
      </c>
      <c r="P1864" s="2">
        <f>+O1864/N1864</f>
        <v>3626.63</v>
      </c>
    </row>
    <row r="1865" spans="1:16" outlineLevel="2" x14ac:dyDescent="0.2">
      <c r="A1865" s="5">
        <v>46092</v>
      </c>
      <c r="B1865" s="2">
        <v>157707</v>
      </c>
      <c r="C1865" s="2">
        <v>2</v>
      </c>
      <c r="D1865" s="2" t="s">
        <v>38</v>
      </c>
      <c r="E1865" s="2" t="s">
        <v>39</v>
      </c>
      <c r="F1865" s="2" t="s">
        <v>63</v>
      </c>
      <c r="G1865" s="2" t="s">
        <v>22</v>
      </c>
      <c r="H1865" s="2" t="s">
        <v>23</v>
      </c>
      <c r="I1865" s="2" t="s">
        <v>116</v>
      </c>
      <c r="J1865" s="2">
        <v>1</v>
      </c>
      <c r="K1865" s="2" t="s">
        <v>24</v>
      </c>
      <c r="L1865" s="2">
        <v>1846</v>
      </c>
      <c r="M1865" s="2" t="s">
        <v>134</v>
      </c>
      <c r="N1865" s="2">
        <v>175</v>
      </c>
      <c r="O1865" s="2">
        <v>14835652.07</v>
      </c>
      <c r="P1865" s="2">
        <v>84775.15</v>
      </c>
    </row>
    <row r="1866" spans="1:16" outlineLevel="2" x14ac:dyDescent="0.2">
      <c r="A1866" s="5">
        <v>46097</v>
      </c>
      <c r="B1866" s="2">
        <v>157707</v>
      </c>
      <c r="C1866" s="2">
        <v>4</v>
      </c>
      <c r="D1866" s="2" t="s">
        <v>38</v>
      </c>
      <c r="E1866" s="2" t="s">
        <v>39</v>
      </c>
      <c r="F1866" s="2" t="s">
        <v>63</v>
      </c>
      <c r="G1866" s="2" t="s">
        <v>22</v>
      </c>
      <c r="H1866" s="2" t="s">
        <v>23</v>
      </c>
      <c r="I1866" s="2" t="s">
        <v>133</v>
      </c>
      <c r="J1866" s="2">
        <v>1</v>
      </c>
      <c r="K1866" s="2" t="s">
        <v>24</v>
      </c>
      <c r="L1866" s="2">
        <v>1846</v>
      </c>
      <c r="M1866" s="2" t="s">
        <v>134</v>
      </c>
      <c r="N1866" s="2">
        <v>67</v>
      </c>
      <c r="O1866" s="2">
        <v>4967545.68</v>
      </c>
      <c r="P1866" s="2">
        <v>74142.47</v>
      </c>
    </row>
    <row r="1867" spans="1:16" outlineLevel="1" x14ac:dyDescent="0.2">
      <c r="A1867" s="5"/>
      <c r="D1867" s="3" t="s">
        <v>721</v>
      </c>
      <c r="N1867" s="2">
        <f>SUBTOTAL(9,N1865:N1866)</f>
        <v>242</v>
      </c>
      <c r="O1867" s="2">
        <f>SUBTOTAL(9,O1865:O1866)</f>
        <v>19803197.75</v>
      </c>
      <c r="P1867" s="2">
        <f>+O1867/N1867</f>
        <v>81831.395661157032</v>
      </c>
    </row>
    <row r="1868" spans="1:16" outlineLevel="2" x14ac:dyDescent="0.2">
      <c r="A1868" s="5">
        <v>46092</v>
      </c>
      <c r="B1868" s="2">
        <v>157708</v>
      </c>
      <c r="C1868" s="2">
        <v>1</v>
      </c>
      <c r="D1868" s="2" t="s">
        <v>197</v>
      </c>
      <c r="E1868" s="2" t="s">
        <v>399</v>
      </c>
      <c r="F1868" s="2" t="s">
        <v>63</v>
      </c>
      <c r="G1868" s="2" t="s">
        <v>22</v>
      </c>
      <c r="H1868" s="2" t="s">
        <v>146</v>
      </c>
      <c r="I1868" s="2" t="s">
        <v>23</v>
      </c>
      <c r="J1868" s="2">
        <v>1</v>
      </c>
      <c r="K1868" s="2" t="s">
        <v>24</v>
      </c>
      <c r="L1868" s="2">
        <v>2582</v>
      </c>
      <c r="M1868" s="2" t="s">
        <v>400</v>
      </c>
      <c r="N1868" s="2">
        <v>303</v>
      </c>
      <c r="O1868" s="2">
        <v>9522377.2300000004</v>
      </c>
      <c r="P1868" s="2">
        <v>31426.99</v>
      </c>
    </row>
    <row r="1869" spans="1:16" outlineLevel="2" x14ac:dyDescent="0.2">
      <c r="A1869" s="5">
        <v>46092</v>
      </c>
      <c r="B1869" s="2">
        <v>157708</v>
      </c>
      <c r="C1869" s="2">
        <v>2</v>
      </c>
      <c r="D1869" s="2" t="s">
        <v>197</v>
      </c>
      <c r="E1869" s="2" t="s">
        <v>399</v>
      </c>
      <c r="F1869" s="2" t="s">
        <v>63</v>
      </c>
      <c r="G1869" s="2" t="s">
        <v>22</v>
      </c>
      <c r="H1869" s="2" t="s">
        <v>23</v>
      </c>
      <c r="I1869" s="2" t="s">
        <v>401</v>
      </c>
      <c r="J1869" s="2">
        <v>1</v>
      </c>
      <c r="K1869" s="2" t="s">
        <v>24</v>
      </c>
      <c r="L1869" s="2">
        <v>2582</v>
      </c>
      <c r="M1869" s="2" t="s">
        <v>400</v>
      </c>
      <c r="N1869" s="2">
        <v>102</v>
      </c>
      <c r="O1869" s="2">
        <v>3034249.4</v>
      </c>
      <c r="P1869" s="2">
        <v>29747.54</v>
      </c>
    </row>
    <row r="1870" spans="1:16" outlineLevel="2" x14ac:dyDescent="0.2">
      <c r="A1870" s="5">
        <v>46092</v>
      </c>
      <c r="B1870" s="2">
        <v>157712</v>
      </c>
      <c r="C1870" s="2">
        <v>1</v>
      </c>
      <c r="D1870" s="2" t="s">
        <v>197</v>
      </c>
      <c r="E1870" s="2" t="s">
        <v>198</v>
      </c>
      <c r="F1870" s="2" t="s">
        <v>199</v>
      </c>
      <c r="G1870" s="2" t="s">
        <v>22</v>
      </c>
      <c r="H1870" s="2" t="s">
        <v>23</v>
      </c>
      <c r="I1870" s="2" t="s">
        <v>23</v>
      </c>
      <c r="J1870" s="2">
        <v>2</v>
      </c>
      <c r="K1870" s="2" t="s">
        <v>48</v>
      </c>
      <c r="L1870" s="2">
        <v>182</v>
      </c>
      <c r="M1870" s="2" t="s">
        <v>263</v>
      </c>
      <c r="N1870" s="2">
        <v>102</v>
      </c>
      <c r="O1870" s="2">
        <v>1912833.95</v>
      </c>
      <c r="P1870" s="2">
        <v>18753.27</v>
      </c>
    </row>
    <row r="1871" spans="1:16" outlineLevel="2" x14ac:dyDescent="0.2">
      <c r="A1871" s="5">
        <v>46105</v>
      </c>
      <c r="B1871" s="2">
        <v>157714</v>
      </c>
      <c r="C1871" s="2">
        <v>1</v>
      </c>
      <c r="D1871" s="2" t="s">
        <v>197</v>
      </c>
      <c r="E1871" s="2" t="s">
        <v>198</v>
      </c>
      <c r="F1871" s="2" t="s">
        <v>199</v>
      </c>
      <c r="G1871" s="2" t="s">
        <v>22</v>
      </c>
      <c r="H1871" s="2" t="s">
        <v>23</v>
      </c>
      <c r="I1871" s="2" t="s">
        <v>23</v>
      </c>
      <c r="J1871" s="2">
        <v>2</v>
      </c>
      <c r="K1871" s="2" t="s">
        <v>48</v>
      </c>
      <c r="L1871" s="2">
        <v>2542</v>
      </c>
      <c r="M1871" s="2" t="s">
        <v>327</v>
      </c>
      <c r="N1871" s="2">
        <v>66</v>
      </c>
      <c r="O1871" s="2">
        <v>1262975.98</v>
      </c>
      <c r="P1871" s="2">
        <v>19136</v>
      </c>
    </row>
    <row r="1872" spans="1:16" outlineLevel="1" x14ac:dyDescent="0.2">
      <c r="A1872" s="5"/>
      <c r="D1872" s="3" t="s">
        <v>734</v>
      </c>
      <c r="N1872" s="2">
        <f>SUBTOTAL(9,N1868:N1871)</f>
        <v>573</v>
      </c>
      <c r="O1872" s="2">
        <f>SUBTOTAL(9,O1868:O1871)</f>
        <v>15732436.560000001</v>
      </c>
      <c r="P1872" s="2">
        <f>+O1872/N1872</f>
        <v>27456.259267015706</v>
      </c>
    </row>
    <row r="1873" spans="1:16" outlineLevel="2" x14ac:dyDescent="0.2">
      <c r="A1873" s="5">
        <v>46099</v>
      </c>
      <c r="B1873" s="2">
        <v>157726</v>
      </c>
      <c r="C1873" s="2">
        <v>1</v>
      </c>
      <c r="D1873" s="2" t="s">
        <v>29</v>
      </c>
      <c r="E1873" s="2" t="s">
        <v>402</v>
      </c>
      <c r="F1873" s="2" t="s">
        <v>55</v>
      </c>
      <c r="G1873" s="2" t="s">
        <v>23</v>
      </c>
      <c r="H1873" s="2" t="s">
        <v>23</v>
      </c>
      <c r="I1873" s="2" t="s">
        <v>23</v>
      </c>
      <c r="J1873" s="2">
        <v>2</v>
      </c>
      <c r="K1873" s="2" t="s">
        <v>48</v>
      </c>
      <c r="L1873" s="2">
        <v>25177</v>
      </c>
      <c r="M1873" s="2" t="s">
        <v>32</v>
      </c>
      <c r="N1873" s="2">
        <v>10</v>
      </c>
      <c r="O1873" s="2">
        <v>82918.37</v>
      </c>
      <c r="P1873" s="2">
        <v>8291.84</v>
      </c>
    </row>
    <row r="1874" spans="1:16" outlineLevel="1" x14ac:dyDescent="0.2">
      <c r="A1874" s="5"/>
      <c r="D1874" s="3" t="s">
        <v>703</v>
      </c>
      <c r="N1874" s="2">
        <f>SUBTOTAL(9,N1873:N1873)</f>
        <v>10</v>
      </c>
      <c r="O1874" s="2">
        <f>SUBTOTAL(9,O1873:O1873)</f>
        <v>82918.37</v>
      </c>
      <c r="P1874" s="2">
        <f>+O1874/N1874</f>
        <v>8291.8369999999995</v>
      </c>
    </row>
    <row r="1875" spans="1:16" outlineLevel="2" x14ac:dyDescent="0.2">
      <c r="A1875" s="5">
        <v>46094</v>
      </c>
      <c r="B1875" s="2">
        <v>157734</v>
      </c>
      <c r="C1875" s="2">
        <v>1</v>
      </c>
      <c r="D1875" s="2" t="s">
        <v>207</v>
      </c>
      <c r="E1875" s="2" t="s">
        <v>23</v>
      </c>
      <c r="F1875" s="2" t="s">
        <v>47</v>
      </c>
      <c r="G1875" s="2" t="s">
        <v>22</v>
      </c>
      <c r="H1875" s="2" t="s">
        <v>208</v>
      </c>
      <c r="I1875" s="2" t="s">
        <v>23</v>
      </c>
      <c r="J1875" s="2">
        <v>41</v>
      </c>
      <c r="K1875" s="2" t="s">
        <v>129</v>
      </c>
      <c r="L1875" s="2">
        <v>25213</v>
      </c>
      <c r="M1875" s="2" t="s">
        <v>130</v>
      </c>
      <c r="N1875" s="2">
        <v>50</v>
      </c>
      <c r="O1875" s="2">
        <v>181221</v>
      </c>
      <c r="P1875" s="2">
        <v>3624.42</v>
      </c>
    </row>
    <row r="1876" spans="1:16" outlineLevel="2" x14ac:dyDescent="0.2">
      <c r="A1876" s="5">
        <v>46094</v>
      </c>
      <c r="B1876" s="2">
        <v>157734</v>
      </c>
      <c r="C1876" s="2">
        <v>2</v>
      </c>
      <c r="D1876" s="2" t="s">
        <v>207</v>
      </c>
      <c r="E1876" s="2" t="s">
        <v>23</v>
      </c>
      <c r="F1876" s="2" t="s">
        <v>47</v>
      </c>
      <c r="G1876" s="2" t="s">
        <v>22</v>
      </c>
      <c r="H1876" s="2" t="s">
        <v>209</v>
      </c>
      <c r="I1876" s="2" t="s">
        <v>23</v>
      </c>
      <c r="J1876" s="2">
        <v>41</v>
      </c>
      <c r="K1876" s="2" t="s">
        <v>129</v>
      </c>
      <c r="L1876" s="2">
        <v>25213</v>
      </c>
      <c r="M1876" s="2" t="s">
        <v>130</v>
      </c>
      <c r="N1876" s="2">
        <v>25</v>
      </c>
      <c r="O1876" s="2">
        <v>79974.87</v>
      </c>
      <c r="P1876" s="2">
        <v>3198.99</v>
      </c>
    </row>
    <row r="1877" spans="1:16" outlineLevel="1" x14ac:dyDescent="0.2">
      <c r="A1877" s="5"/>
      <c r="D1877" s="3" t="s">
        <v>699</v>
      </c>
      <c r="N1877" s="2">
        <f>SUBTOTAL(9,N1875:N1876)</f>
        <v>75</v>
      </c>
      <c r="O1877" s="2">
        <f>SUBTOTAL(9,O1875:O1876)</f>
        <v>261195.87</v>
      </c>
      <c r="P1877" s="2">
        <f>+O1877/N1877</f>
        <v>3482.6115999999997</v>
      </c>
    </row>
    <row r="1878" spans="1:16" outlineLevel="2" x14ac:dyDescent="0.2">
      <c r="A1878" s="5">
        <v>46094</v>
      </c>
      <c r="B1878" s="2">
        <v>157734</v>
      </c>
      <c r="C1878" s="2">
        <v>3</v>
      </c>
      <c r="D1878" s="2" t="s">
        <v>128</v>
      </c>
      <c r="E1878" s="2" t="s">
        <v>23</v>
      </c>
      <c r="F1878" s="2" t="s">
        <v>47</v>
      </c>
      <c r="G1878" s="2" t="s">
        <v>22</v>
      </c>
      <c r="H1878" s="2" t="s">
        <v>23</v>
      </c>
      <c r="I1878" s="2" t="s">
        <v>23</v>
      </c>
      <c r="J1878" s="2">
        <v>41</v>
      </c>
      <c r="K1878" s="2" t="s">
        <v>129</v>
      </c>
      <c r="L1878" s="2">
        <v>25213</v>
      </c>
      <c r="M1878" s="2" t="s">
        <v>130</v>
      </c>
      <c r="N1878" s="2">
        <v>25</v>
      </c>
      <c r="O1878" s="2">
        <v>90605</v>
      </c>
      <c r="P1878" s="2">
        <v>3624.2</v>
      </c>
    </row>
    <row r="1879" spans="1:16" outlineLevel="1" x14ac:dyDescent="0.2">
      <c r="A1879" s="5"/>
      <c r="D1879" s="3" t="s">
        <v>732</v>
      </c>
      <c r="N1879" s="2">
        <f>SUBTOTAL(9,N1878:N1878)</f>
        <v>25</v>
      </c>
      <c r="O1879" s="2">
        <f>SUBTOTAL(9,O1878:O1878)</f>
        <v>90605</v>
      </c>
      <c r="P1879" s="2">
        <f>+O1879/N1879</f>
        <v>3624.2</v>
      </c>
    </row>
    <row r="1880" spans="1:16" outlineLevel="2" x14ac:dyDescent="0.2">
      <c r="A1880" s="5">
        <v>46094</v>
      </c>
      <c r="B1880" s="2">
        <v>157734</v>
      </c>
      <c r="C1880" s="2">
        <v>4</v>
      </c>
      <c r="D1880" s="2" t="s">
        <v>207</v>
      </c>
      <c r="E1880" s="2" t="s">
        <v>23</v>
      </c>
      <c r="F1880" s="2" t="s">
        <v>47</v>
      </c>
      <c r="G1880" s="2" t="s">
        <v>22</v>
      </c>
      <c r="H1880" s="2" t="s">
        <v>23</v>
      </c>
      <c r="I1880" s="2" t="s">
        <v>23</v>
      </c>
      <c r="J1880" s="2">
        <v>1</v>
      </c>
      <c r="K1880" s="2" t="s">
        <v>24</v>
      </c>
      <c r="L1880" s="2">
        <v>25213</v>
      </c>
      <c r="M1880" s="2" t="s">
        <v>130</v>
      </c>
      <c r="N1880" s="2">
        <v>72</v>
      </c>
      <c r="O1880" s="2">
        <v>5976302.4000000004</v>
      </c>
      <c r="P1880" s="2">
        <v>83004.2</v>
      </c>
    </row>
    <row r="1881" spans="1:16" outlineLevel="1" x14ac:dyDescent="0.2">
      <c r="A1881" s="5"/>
      <c r="D1881" s="3" t="s">
        <v>699</v>
      </c>
      <c r="N1881" s="2">
        <f>SUBTOTAL(9,N1880:N1880)</f>
        <v>72</v>
      </c>
      <c r="O1881" s="2">
        <f>SUBTOTAL(9,O1880:O1880)</f>
        <v>5976302.4000000004</v>
      </c>
      <c r="P1881" s="2">
        <f>+O1881/N1881</f>
        <v>83004.200000000012</v>
      </c>
    </row>
    <row r="1882" spans="1:16" outlineLevel="2" x14ac:dyDescent="0.2">
      <c r="A1882" s="5">
        <v>46094</v>
      </c>
      <c r="B1882" s="2">
        <v>157734</v>
      </c>
      <c r="C1882" s="2">
        <v>5</v>
      </c>
      <c r="D1882" s="2" t="s">
        <v>128</v>
      </c>
      <c r="E1882" s="2" t="s">
        <v>23</v>
      </c>
      <c r="F1882" s="2" t="s">
        <v>47</v>
      </c>
      <c r="G1882" s="2" t="s">
        <v>22</v>
      </c>
      <c r="H1882" s="2" t="s">
        <v>23</v>
      </c>
      <c r="I1882" s="2" t="s">
        <v>23</v>
      </c>
      <c r="J1882" s="2">
        <v>1</v>
      </c>
      <c r="K1882" s="2" t="s">
        <v>24</v>
      </c>
      <c r="L1882" s="2">
        <v>25213</v>
      </c>
      <c r="M1882" s="2" t="s">
        <v>130</v>
      </c>
      <c r="N1882" s="2">
        <v>5</v>
      </c>
      <c r="O1882" s="2">
        <v>438337.02</v>
      </c>
      <c r="P1882" s="2">
        <v>87667.4</v>
      </c>
    </row>
    <row r="1883" spans="1:16" outlineLevel="1" x14ac:dyDescent="0.2">
      <c r="A1883" s="5"/>
      <c r="D1883" s="3" t="s">
        <v>732</v>
      </c>
      <c r="N1883" s="2">
        <f>SUBTOTAL(9,N1882:N1882)</f>
        <v>5</v>
      </c>
      <c r="O1883" s="2">
        <f>SUBTOTAL(9,O1882:O1882)</f>
        <v>438337.02</v>
      </c>
      <c r="P1883" s="2">
        <f>+O1883/N1883</f>
        <v>87667.40400000001</v>
      </c>
    </row>
    <row r="1884" spans="1:16" outlineLevel="2" x14ac:dyDescent="0.2">
      <c r="A1884" s="5">
        <v>46094</v>
      </c>
      <c r="B1884" s="2">
        <v>157735</v>
      </c>
      <c r="C1884" s="2">
        <v>1</v>
      </c>
      <c r="D1884" s="2" t="s">
        <v>143</v>
      </c>
      <c r="E1884" s="2" t="s">
        <v>23</v>
      </c>
      <c r="F1884" s="2" t="s">
        <v>144</v>
      </c>
      <c r="G1884" s="2" t="s">
        <v>22</v>
      </c>
      <c r="H1884" s="2" t="s">
        <v>23</v>
      </c>
      <c r="I1884" s="2" t="s">
        <v>23</v>
      </c>
      <c r="J1884" s="2">
        <v>1</v>
      </c>
      <c r="K1884" s="2" t="s">
        <v>24</v>
      </c>
      <c r="L1884" s="2">
        <v>2101</v>
      </c>
      <c r="M1884" s="2" t="s">
        <v>145</v>
      </c>
      <c r="N1884" s="2">
        <v>91</v>
      </c>
      <c r="O1884" s="2">
        <v>1257493.82</v>
      </c>
      <c r="P1884" s="2">
        <v>13818.61</v>
      </c>
    </row>
    <row r="1885" spans="1:16" outlineLevel="1" x14ac:dyDescent="0.2">
      <c r="A1885" s="5"/>
      <c r="D1885" s="3" t="s">
        <v>706</v>
      </c>
      <c r="N1885" s="2">
        <f>SUBTOTAL(9,N1884:N1884)</f>
        <v>91</v>
      </c>
      <c r="O1885" s="2">
        <f>SUBTOTAL(9,O1884:O1884)</f>
        <v>1257493.82</v>
      </c>
      <c r="P1885" s="2">
        <f>+O1885/N1885</f>
        <v>13818.613406593407</v>
      </c>
    </row>
    <row r="1886" spans="1:16" outlineLevel="2" x14ac:dyDescent="0.2">
      <c r="A1886" s="5">
        <v>46094</v>
      </c>
      <c r="B1886" s="2">
        <v>157737</v>
      </c>
      <c r="C1886" s="2">
        <v>1</v>
      </c>
      <c r="D1886" s="2" t="s">
        <v>297</v>
      </c>
      <c r="E1886" s="2" t="s">
        <v>305</v>
      </c>
      <c r="F1886" s="2" t="s">
        <v>47</v>
      </c>
      <c r="G1886" s="2" t="s">
        <v>22</v>
      </c>
      <c r="H1886" s="2" t="s">
        <v>23</v>
      </c>
      <c r="I1886" s="2" t="s">
        <v>23</v>
      </c>
      <c r="J1886" s="2">
        <v>94</v>
      </c>
      <c r="K1886" s="2" t="s">
        <v>147</v>
      </c>
      <c r="L1886" s="2">
        <v>1964</v>
      </c>
      <c r="M1886" s="2" t="s">
        <v>49</v>
      </c>
      <c r="N1886" s="2">
        <v>2</v>
      </c>
      <c r="O1886" s="2">
        <v>22744.36</v>
      </c>
      <c r="P1886" s="2">
        <v>11372.18</v>
      </c>
    </row>
    <row r="1887" spans="1:16" outlineLevel="1" x14ac:dyDescent="0.2">
      <c r="A1887" s="5"/>
      <c r="D1887" s="3" t="s">
        <v>741</v>
      </c>
      <c r="N1887" s="2">
        <f>SUBTOTAL(9,N1886:N1886)</f>
        <v>2</v>
      </c>
      <c r="O1887" s="2">
        <f>SUBTOTAL(9,O1886:O1886)</f>
        <v>22744.36</v>
      </c>
      <c r="P1887" s="2">
        <f>+O1887/N1887</f>
        <v>11372.18</v>
      </c>
    </row>
    <row r="1888" spans="1:16" outlineLevel="2" x14ac:dyDescent="0.2">
      <c r="A1888" s="5">
        <v>46094</v>
      </c>
      <c r="B1888" s="2">
        <v>157737</v>
      </c>
      <c r="C1888" s="2">
        <v>2</v>
      </c>
      <c r="D1888" s="2" t="s">
        <v>299</v>
      </c>
      <c r="E1888" s="2" t="s">
        <v>305</v>
      </c>
      <c r="F1888" s="2" t="s">
        <v>47</v>
      </c>
      <c r="G1888" s="2" t="s">
        <v>22</v>
      </c>
      <c r="H1888" s="2" t="s">
        <v>23</v>
      </c>
      <c r="I1888" s="2" t="s">
        <v>23</v>
      </c>
      <c r="J1888" s="2">
        <v>94</v>
      </c>
      <c r="K1888" s="2" t="s">
        <v>147</v>
      </c>
      <c r="L1888" s="2">
        <v>1964</v>
      </c>
      <c r="M1888" s="2" t="s">
        <v>49</v>
      </c>
      <c r="N1888" s="2">
        <v>2</v>
      </c>
      <c r="O1888" s="2">
        <v>22744.37</v>
      </c>
      <c r="P1888" s="2">
        <v>11372.19</v>
      </c>
    </row>
    <row r="1889" spans="1:16" outlineLevel="1" x14ac:dyDescent="0.2">
      <c r="A1889" s="5"/>
      <c r="D1889" s="3" t="s">
        <v>742</v>
      </c>
      <c r="N1889" s="2">
        <f>SUBTOTAL(9,N1888:N1888)</f>
        <v>2</v>
      </c>
      <c r="O1889" s="2">
        <f>SUBTOTAL(9,O1888:O1888)</f>
        <v>22744.37</v>
      </c>
      <c r="P1889" s="2">
        <f>+O1889/N1889</f>
        <v>11372.184999999999</v>
      </c>
    </row>
    <row r="1890" spans="1:16" outlineLevel="2" x14ac:dyDescent="0.2">
      <c r="A1890" s="5">
        <v>46094</v>
      </c>
      <c r="B1890" s="2">
        <v>157737</v>
      </c>
      <c r="C1890" s="2">
        <v>3</v>
      </c>
      <c r="D1890" s="2" t="s">
        <v>301</v>
      </c>
      <c r="E1890" s="2" t="s">
        <v>305</v>
      </c>
      <c r="F1890" s="2" t="s">
        <v>47</v>
      </c>
      <c r="G1890" s="2" t="s">
        <v>22</v>
      </c>
      <c r="H1890" s="2" t="s">
        <v>23</v>
      </c>
      <c r="I1890" s="2" t="s">
        <v>23</v>
      </c>
      <c r="J1890" s="2">
        <v>94</v>
      </c>
      <c r="K1890" s="2" t="s">
        <v>147</v>
      </c>
      <c r="L1890" s="2">
        <v>1964</v>
      </c>
      <c r="M1890" s="2" t="s">
        <v>49</v>
      </c>
      <c r="N1890" s="2">
        <v>2</v>
      </c>
      <c r="O1890" s="2">
        <v>25544.68</v>
      </c>
      <c r="P1890" s="2">
        <v>12772.34</v>
      </c>
    </row>
    <row r="1891" spans="1:16" outlineLevel="1" x14ac:dyDescent="0.2">
      <c r="A1891" s="5"/>
      <c r="D1891" s="3" t="s">
        <v>744</v>
      </c>
      <c r="N1891" s="2">
        <f>SUBTOTAL(9,N1890:N1890)</f>
        <v>2</v>
      </c>
      <c r="O1891" s="2">
        <f>SUBTOTAL(9,O1890:O1890)</f>
        <v>25544.68</v>
      </c>
      <c r="P1891" s="2">
        <f>+O1891/N1891</f>
        <v>12772.34</v>
      </c>
    </row>
    <row r="1892" spans="1:16" outlineLevel="2" x14ac:dyDescent="0.2">
      <c r="A1892" s="5">
        <v>46094</v>
      </c>
      <c r="B1892" s="2">
        <v>157737</v>
      </c>
      <c r="C1892" s="2">
        <v>4</v>
      </c>
      <c r="D1892" s="2" t="s">
        <v>302</v>
      </c>
      <c r="E1892" s="2" t="s">
        <v>305</v>
      </c>
      <c r="F1892" s="2" t="s">
        <v>47</v>
      </c>
      <c r="G1892" s="2" t="s">
        <v>22</v>
      </c>
      <c r="H1892" s="2" t="s">
        <v>23</v>
      </c>
      <c r="I1892" s="2" t="s">
        <v>23</v>
      </c>
      <c r="J1892" s="2">
        <v>94</v>
      </c>
      <c r="K1892" s="2" t="s">
        <v>147</v>
      </c>
      <c r="L1892" s="2">
        <v>1964</v>
      </c>
      <c r="M1892" s="2" t="s">
        <v>49</v>
      </c>
      <c r="N1892" s="2">
        <v>2</v>
      </c>
      <c r="O1892" s="2">
        <v>19010.61</v>
      </c>
      <c r="P1892" s="2">
        <v>9505.31</v>
      </c>
    </row>
    <row r="1893" spans="1:16" outlineLevel="1" x14ac:dyDescent="0.2">
      <c r="A1893" s="5"/>
      <c r="D1893" s="3" t="s">
        <v>745</v>
      </c>
      <c r="N1893" s="2">
        <f>SUBTOTAL(9,N1892:N1892)</f>
        <v>2</v>
      </c>
      <c r="O1893" s="2">
        <f>SUBTOTAL(9,O1892:O1892)</f>
        <v>19010.61</v>
      </c>
      <c r="P1893" s="2">
        <f>+O1893/N1893</f>
        <v>9505.3050000000003</v>
      </c>
    </row>
    <row r="1894" spans="1:16" outlineLevel="2" x14ac:dyDescent="0.2">
      <c r="A1894" s="5">
        <v>46094</v>
      </c>
      <c r="B1894" s="2">
        <v>157737</v>
      </c>
      <c r="C1894" s="2">
        <v>5</v>
      </c>
      <c r="D1894" s="2" t="s">
        <v>45</v>
      </c>
      <c r="E1894" s="2" t="s">
        <v>228</v>
      </c>
      <c r="F1894" s="2" t="s">
        <v>47</v>
      </c>
      <c r="G1894" s="2" t="s">
        <v>22</v>
      </c>
      <c r="H1894" s="2" t="s">
        <v>23</v>
      </c>
      <c r="I1894" s="2" t="s">
        <v>23</v>
      </c>
      <c r="J1894" s="2">
        <v>41</v>
      </c>
      <c r="K1894" s="2" t="s">
        <v>129</v>
      </c>
      <c r="L1894" s="2">
        <v>1964</v>
      </c>
      <c r="M1894" s="2" t="s">
        <v>49</v>
      </c>
      <c r="N1894" s="2">
        <v>24</v>
      </c>
      <c r="O1894" s="2">
        <v>374677.28</v>
      </c>
      <c r="P1894" s="2">
        <v>15611.55</v>
      </c>
    </row>
    <row r="1895" spans="1:16" outlineLevel="1" x14ac:dyDescent="0.2">
      <c r="A1895" s="5"/>
      <c r="D1895" s="3" t="s">
        <v>733</v>
      </c>
      <c r="N1895" s="2">
        <f>SUBTOTAL(9,N1894:N1894)</f>
        <v>24</v>
      </c>
      <c r="O1895" s="2">
        <f>SUBTOTAL(9,O1894:O1894)</f>
        <v>374677.28</v>
      </c>
      <c r="P1895" s="2">
        <f>+O1895/N1895</f>
        <v>15611.553333333335</v>
      </c>
    </row>
    <row r="1896" spans="1:16" outlineLevel="2" x14ac:dyDescent="0.2">
      <c r="A1896" s="5">
        <v>46094</v>
      </c>
      <c r="B1896" s="2">
        <v>157737</v>
      </c>
      <c r="C1896" s="2">
        <v>6</v>
      </c>
      <c r="D1896" s="2" t="s">
        <v>226</v>
      </c>
      <c r="E1896" s="2" t="s">
        <v>227</v>
      </c>
      <c r="F1896" s="2" t="s">
        <v>47</v>
      </c>
      <c r="G1896" s="2" t="s">
        <v>22</v>
      </c>
      <c r="H1896" s="2" t="s">
        <v>23</v>
      </c>
      <c r="I1896" s="2" t="s">
        <v>23</v>
      </c>
      <c r="J1896" s="2">
        <v>41</v>
      </c>
      <c r="K1896" s="2" t="s">
        <v>129</v>
      </c>
      <c r="L1896" s="2">
        <v>1964</v>
      </c>
      <c r="M1896" s="2" t="s">
        <v>49</v>
      </c>
      <c r="N1896" s="2">
        <v>40</v>
      </c>
      <c r="O1896" s="2">
        <v>789058.62</v>
      </c>
      <c r="P1896" s="2">
        <v>19726.47</v>
      </c>
    </row>
    <row r="1897" spans="1:16" outlineLevel="1" x14ac:dyDescent="0.2">
      <c r="A1897" s="5"/>
      <c r="D1897" s="3" t="s">
        <v>736</v>
      </c>
      <c r="N1897" s="2">
        <f>SUBTOTAL(9,N1896:N1896)</f>
        <v>40</v>
      </c>
      <c r="O1897" s="2">
        <f>SUBTOTAL(9,O1896:O1896)</f>
        <v>789058.62</v>
      </c>
      <c r="P1897" s="2">
        <f>+O1897/N1897</f>
        <v>19726.465499999998</v>
      </c>
    </row>
    <row r="1898" spans="1:16" outlineLevel="2" x14ac:dyDescent="0.2">
      <c r="A1898" s="5">
        <v>46094</v>
      </c>
      <c r="B1898" s="2">
        <v>157737</v>
      </c>
      <c r="C1898" s="2">
        <v>7</v>
      </c>
      <c r="D1898" s="2" t="s">
        <v>45</v>
      </c>
      <c r="E1898" s="2" t="s">
        <v>227</v>
      </c>
      <c r="F1898" s="2" t="s">
        <v>47</v>
      </c>
      <c r="G1898" s="2" t="s">
        <v>22</v>
      </c>
      <c r="H1898" s="2" t="s">
        <v>23</v>
      </c>
      <c r="I1898" s="2" t="s">
        <v>23</v>
      </c>
      <c r="J1898" s="2">
        <v>41</v>
      </c>
      <c r="K1898" s="2" t="s">
        <v>129</v>
      </c>
      <c r="L1898" s="2">
        <v>1964</v>
      </c>
      <c r="M1898" s="2" t="s">
        <v>49</v>
      </c>
      <c r="N1898" s="2">
        <v>24</v>
      </c>
      <c r="O1898" s="2">
        <v>351341.28</v>
      </c>
      <c r="P1898" s="2">
        <v>14639.22</v>
      </c>
    </row>
    <row r="1899" spans="1:16" outlineLevel="1" x14ac:dyDescent="0.2">
      <c r="A1899" s="5"/>
      <c r="D1899" s="3" t="s">
        <v>733</v>
      </c>
      <c r="N1899" s="2">
        <f>SUBTOTAL(9,N1898:N1898)</f>
        <v>24</v>
      </c>
      <c r="O1899" s="2">
        <f>SUBTOTAL(9,O1898:O1898)</f>
        <v>351341.28</v>
      </c>
      <c r="P1899" s="2">
        <f>+O1899/N1899</f>
        <v>14639.220000000001</v>
      </c>
    </row>
    <row r="1900" spans="1:16" outlineLevel="2" x14ac:dyDescent="0.2">
      <c r="A1900" s="5">
        <v>46094</v>
      </c>
      <c r="B1900" s="2">
        <v>157738</v>
      </c>
      <c r="C1900" s="2">
        <v>1</v>
      </c>
      <c r="D1900" s="2" t="s">
        <v>60</v>
      </c>
      <c r="E1900" s="2" t="s">
        <v>346</v>
      </c>
      <c r="F1900" s="2" t="s">
        <v>31</v>
      </c>
      <c r="G1900" s="2" t="s">
        <v>22</v>
      </c>
      <c r="H1900" s="2" t="s">
        <v>23</v>
      </c>
      <c r="I1900" s="2" t="s">
        <v>23</v>
      </c>
      <c r="J1900" s="2">
        <v>78</v>
      </c>
      <c r="K1900" s="2" t="s">
        <v>212</v>
      </c>
      <c r="L1900" s="2">
        <v>226</v>
      </c>
      <c r="M1900" s="2" t="s">
        <v>59</v>
      </c>
      <c r="N1900" s="2">
        <v>90</v>
      </c>
      <c r="O1900" s="2">
        <v>1903092.42</v>
      </c>
      <c r="P1900" s="2">
        <v>21145.47</v>
      </c>
    </row>
    <row r="1901" spans="1:16" outlineLevel="2" x14ac:dyDescent="0.2">
      <c r="A1901" s="5">
        <v>46094</v>
      </c>
      <c r="B1901" s="2">
        <v>157738</v>
      </c>
      <c r="C1901" s="2">
        <v>2</v>
      </c>
      <c r="D1901" s="2" t="s">
        <v>60</v>
      </c>
      <c r="E1901" s="2" t="s">
        <v>364</v>
      </c>
      <c r="F1901" s="2" t="s">
        <v>31</v>
      </c>
      <c r="G1901" s="2" t="s">
        <v>22</v>
      </c>
      <c r="H1901" s="2" t="s">
        <v>23</v>
      </c>
      <c r="I1901" s="2" t="s">
        <v>23</v>
      </c>
      <c r="J1901" s="2">
        <v>78</v>
      </c>
      <c r="K1901" s="2" t="s">
        <v>212</v>
      </c>
      <c r="L1901" s="2">
        <v>226</v>
      </c>
      <c r="M1901" s="2" t="s">
        <v>59</v>
      </c>
      <c r="N1901" s="2">
        <v>91</v>
      </c>
      <c r="O1901" s="2">
        <v>2014763.42</v>
      </c>
      <c r="P1901" s="2">
        <v>22140.26</v>
      </c>
    </row>
    <row r="1902" spans="1:16" outlineLevel="1" x14ac:dyDescent="0.2">
      <c r="A1902" s="5"/>
      <c r="D1902" s="3" t="s">
        <v>728</v>
      </c>
      <c r="N1902" s="2">
        <f>SUBTOTAL(9,N1900:N1901)</f>
        <v>181</v>
      </c>
      <c r="O1902" s="2">
        <f>SUBTOTAL(9,O1900:O1901)</f>
        <v>3917855.84</v>
      </c>
      <c r="P1902" s="2">
        <f>+O1902/N1902</f>
        <v>21645.612375690605</v>
      </c>
    </row>
    <row r="1903" spans="1:16" outlineLevel="2" x14ac:dyDescent="0.2">
      <c r="A1903" s="5">
        <v>46094</v>
      </c>
      <c r="B1903" s="2">
        <v>157738</v>
      </c>
      <c r="C1903" s="2">
        <v>3</v>
      </c>
      <c r="D1903" s="2" t="s">
        <v>83</v>
      </c>
      <c r="E1903" s="2" t="s">
        <v>370</v>
      </c>
      <c r="F1903" s="2" t="s">
        <v>31</v>
      </c>
      <c r="G1903" s="2" t="s">
        <v>22</v>
      </c>
      <c r="H1903" s="2" t="s">
        <v>23</v>
      </c>
      <c r="I1903" s="2" t="s">
        <v>23</v>
      </c>
      <c r="J1903" s="2">
        <v>88</v>
      </c>
      <c r="K1903" s="2" t="s">
        <v>255</v>
      </c>
      <c r="L1903" s="2">
        <v>226</v>
      </c>
      <c r="M1903" s="2" t="s">
        <v>59</v>
      </c>
      <c r="N1903" s="2">
        <v>104</v>
      </c>
      <c r="O1903" s="2">
        <v>3128290.16</v>
      </c>
      <c r="P1903" s="2">
        <v>30079.71</v>
      </c>
    </row>
    <row r="1904" spans="1:16" outlineLevel="2" x14ac:dyDescent="0.2">
      <c r="A1904" s="5">
        <v>46094</v>
      </c>
      <c r="B1904" s="2">
        <v>157738</v>
      </c>
      <c r="C1904" s="2">
        <v>4</v>
      </c>
      <c r="D1904" s="2" t="s">
        <v>83</v>
      </c>
      <c r="E1904" s="2" t="s">
        <v>370</v>
      </c>
      <c r="F1904" s="2" t="s">
        <v>31</v>
      </c>
      <c r="G1904" s="2" t="s">
        <v>22</v>
      </c>
      <c r="H1904" s="2" t="s">
        <v>23</v>
      </c>
      <c r="I1904" s="2" t="s">
        <v>23</v>
      </c>
      <c r="J1904" s="2">
        <v>35</v>
      </c>
      <c r="K1904" s="2" t="s">
        <v>403</v>
      </c>
      <c r="L1904" s="2">
        <v>226</v>
      </c>
      <c r="M1904" s="2" t="s">
        <v>59</v>
      </c>
      <c r="N1904" s="2">
        <v>88</v>
      </c>
      <c r="O1904" s="2">
        <v>3043116.93</v>
      </c>
      <c r="P1904" s="2">
        <v>34580.870000000003</v>
      </c>
    </row>
    <row r="1905" spans="1:16" outlineLevel="1" x14ac:dyDescent="0.2">
      <c r="A1905" s="5"/>
      <c r="D1905" s="3" t="s">
        <v>701</v>
      </c>
      <c r="N1905" s="2">
        <f>SUBTOTAL(9,N1903:N1904)</f>
        <v>192</v>
      </c>
      <c r="O1905" s="2">
        <f>SUBTOTAL(9,O1903:O1904)</f>
        <v>6171407.0899999999</v>
      </c>
      <c r="P1905" s="2">
        <f>+O1905/N1905</f>
        <v>32142.745260416665</v>
      </c>
    </row>
    <row r="1906" spans="1:16" outlineLevel="2" x14ac:dyDescent="0.2">
      <c r="A1906" s="5">
        <v>46094</v>
      </c>
      <c r="B1906" s="2">
        <v>157741</v>
      </c>
      <c r="C1906" s="2">
        <v>1</v>
      </c>
      <c r="D1906" s="2" t="s">
        <v>404</v>
      </c>
      <c r="E1906" s="2" t="s">
        <v>23</v>
      </c>
      <c r="F1906" s="2" t="s">
        <v>405</v>
      </c>
      <c r="G1906" s="2" t="s">
        <v>22</v>
      </c>
      <c r="H1906" s="2" t="s">
        <v>23</v>
      </c>
      <c r="I1906" s="2" t="s">
        <v>23</v>
      </c>
      <c r="J1906" s="2">
        <v>86</v>
      </c>
      <c r="K1906" s="2" t="s">
        <v>73</v>
      </c>
      <c r="L1906" s="2">
        <v>600</v>
      </c>
      <c r="M1906" s="2" t="s">
        <v>112</v>
      </c>
      <c r="N1906" s="2">
        <v>20</v>
      </c>
      <c r="O1906" s="2">
        <v>285316.88</v>
      </c>
      <c r="P1906" s="2">
        <v>14265.84</v>
      </c>
    </row>
    <row r="1907" spans="1:16" outlineLevel="1" x14ac:dyDescent="0.2">
      <c r="A1907" s="5"/>
      <c r="D1907" s="3" t="s">
        <v>769</v>
      </c>
      <c r="N1907" s="2">
        <f>SUBTOTAL(9,N1906:N1906)</f>
        <v>20</v>
      </c>
      <c r="O1907" s="2">
        <f>SUBTOTAL(9,O1906:O1906)</f>
        <v>285316.88</v>
      </c>
      <c r="P1907" s="2">
        <f>+O1907/N1907</f>
        <v>14265.844000000001</v>
      </c>
    </row>
    <row r="1908" spans="1:16" outlineLevel="2" x14ac:dyDescent="0.2">
      <c r="A1908" s="5">
        <v>46097</v>
      </c>
      <c r="B1908" s="2">
        <v>157754</v>
      </c>
      <c r="C1908" s="2">
        <v>1</v>
      </c>
      <c r="D1908" s="2" t="s">
        <v>140</v>
      </c>
      <c r="E1908" s="2" t="s">
        <v>141</v>
      </c>
      <c r="F1908" s="2" t="s">
        <v>108</v>
      </c>
      <c r="G1908" s="2" t="s">
        <v>22</v>
      </c>
      <c r="H1908" s="2" t="s">
        <v>23</v>
      </c>
      <c r="I1908" s="2" t="s">
        <v>23</v>
      </c>
      <c r="J1908" s="2">
        <v>1</v>
      </c>
      <c r="K1908" s="2" t="s">
        <v>24</v>
      </c>
      <c r="L1908" s="2">
        <v>1833</v>
      </c>
      <c r="M1908" s="2" t="s">
        <v>142</v>
      </c>
      <c r="N1908" s="2">
        <v>20</v>
      </c>
      <c r="O1908" s="2">
        <v>637177.38</v>
      </c>
      <c r="P1908" s="2">
        <v>31858.87</v>
      </c>
    </row>
    <row r="1909" spans="1:16" outlineLevel="1" x14ac:dyDescent="0.2">
      <c r="A1909" s="5"/>
      <c r="D1909" s="3" t="s">
        <v>696</v>
      </c>
      <c r="N1909" s="2">
        <f>SUBTOTAL(9,N1908:N1908)</f>
        <v>20</v>
      </c>
      <c r="O1909" s="2">
        <f>SUBTOTAL(9,O1908:O1908)</f>
        <v>637177.38</v>
      </c>
      <c r="P1909" s="2">
        <f>+O1909/N1909</f>
        <v>31858.868999999999</v>
      </c>
    </row>
    <row r="1910" spans="1:16" outlineLevel="2" x14ac:dyDescent="0.2">
      <c r="A1910" s="5">
        <v>46097</v>
      </c>
      <c r="B1910" s="2">
        <v>157755</v>
      </c>
      <c r="C1910" s="2">
        <v>1</v>
      </c>
      <c r="D1910" s="2" t="s">
        <v>406</v>
      </c>
      <c r="E1910" s="2" t="s">
        <v>228</v>
      </c>
      <c r="F1910" s="2" t="s">
        <v>47</v>
      </c>
      <c r="G1910" s="2" t="s">
        <v>22</v>
      </c>
      <c r="H1910" s="2" t="s">
        <v>23</v>
      </c>
      <c r="I1910" s="2" t="s">
        <v>23</v>
      </c>
      <c r="J1910" s="2">
        <v>41</v>
      </c>
      <c r="K1910" s="2" t="s">
        <v>129</v>
      </c>
      <c r="L1910" s="2">
        <v>1964</v>
      </c>
      <c r="M1910" s="2" t="s">
        <v>49</v>
      </c>
      <c r="N1910" s="2">
        <v>23</v>
      </c>
      <c r="O1910" s="2">
        <v>347903.33</v>
      </c>
      <c r="P1910" s="2">
        <v>15126.23</v>
      </c>
    </row>
    <row r="1911" spans="1:16" outlineLevel="1" x14ac:dyDescent="0.2">
      <c r="A1911" s="5"/>
      <c r="D1911" s="3" t="s">
        <v>770</v>
      </c>
      <c r="N1911" s="2">
        <f>SUBTOTAL(9,N1910:N1910)</f>
        <v>23</v>
      </c>
      <c r="O1911" s="2">
        <f>SUBTOTAL(9,O1910:O1910)</f>
        <v>347903.33</v>
      </c>
      <c r="P1911" s="2">
        <f>+O1911/N1911</f>
        <v>15126.231739130435</v>
      </c>
    </row>
    <row r="1912" spans="1:16" outlineLevel="2" x14ac:dyDescent="0.2">
      <c r="A1912" s="5">
        <v>46097</v>
      </c>
      <c r="B1912" s="2">
        <v>157755</v>
      </c>
      <c r="C1912" s="2">
        <v>2</v>
      </c>
      <c r="D1912" s="2" t="s">
        <v>226</v>
      </c>
      <c r="E1912" s="2" t="s">
        <v>227</v>
      </c>
      <c r="F1912" s="2" t="s">
        <v>47</v>
      </c>
      <c r="G1912" s="2" t="s">
        <v>22</v>
      </c>
      <c r="H1912" s="2" t="s">
        <v>23</v>
      </c>
      <c r="I1912" s="2" t="s">
        <v>23</v>
      </c>
      <c r="J1912" s="2">
        <v>41</v>
      </c>
      <c r="K1912" s="2" t="s">
        <v>129</v>
      </c>
      <c r="L1912" s="2">
        <v>1964</v>
      </c>
      <c r="M1912" s="2" t="s">
        <v>49</v>
      </c>
      <c r="N1912" s="2">
        <v>105</v>
      </c>
      <c r="O1912" s="2">
        <v>2359386.66</v>
      </c>
      <c r="P1912" s="2">
        <v>22470.35</v>
      </c>
    </row>
    <row r="1913" spans="1:16" outlineLevel="1" x14ac:dyDescent="0.2">
      <c r="A1913" s="5"/>
      <c r="D1913" s="3" t="s">
        <v>736</v>
      </c>
      <c r="N1913" s="2">
        <f>SUBTOTAL(9,N1912:N1912)</f>
        <v>105</v>
      </c>
      <c r="O1913" s="2">
        <f>SUBTOTAL(9,O1912:O1912)</f>
        <v>2359386.66</v>
      </c>
      <c r="P1913" s="2">
        <f>+O1913/N1913</f>
        <v>22470.349142857143</v>
      </c>
    </row>
    <row r="1914" spans="1:16" outlineLevel="2" x14ac:dyDescent="0.2">
      <c r="A1914" s="5">
        <v>46097</v>
      </c>
      <c r="B1914" s="2">
        <v>157755</v>
      </c>
      <c r="C1914" s="2">
        <v>3</v>
      </c>
      <c r="D1914" s="2" t="s">
        <v>45</v>
      </c>
      <c r="E1914" s="2" t="s">
        <v>227</v>
      </c>
      <c r="F1914" s="2" t="s">
        <v>47</v>
      </c>
      <c r="G1914" s="2" t="s">
        <v>22</v>
      </c>
      <c r="H1914" s="2" t="s">
        <v>23</v>
      </c>
      <c r="I1914" s="2" t="s">
        <v>23</v>
      </c>
      <c r="J1914" s="2">
        <v>41</v>
      </c>
      <c r="K1914" s="2" t="s">
        <v>129</v>
      </c>
      <c r="L1914" s="2">
        <v>1964</v>
      </c>
      <c r="M1914" s="2" t="s">
        <v>49</v>
      </c>
      <c r="N1914" s="2">
        <v>96</v>
      </c>
      <c r="O1914" s="2">
        <v>1311087.68</v>
      </c>
      <c r="P1914" s="2">
        <v>13657.16</v>
      </c>
    </row>
    <row r="1915" spans="1:16" outlineLevel="1" x14ac:dyDescent="0.2">
      <c r="A1915" s="5"/>
      <c r="D1915" s="3" t="s">
        <v>733</v>
      </c>
      <c r="N1915" s="2">
        <f>SUBTOTAL(9,N1914:N1914)</f>
        <v>96</v>
      </c>
      <c r="O1915" s="2">
        <f>SUBTOTAL(9,O1914:O1914)</f>
        <v>1311087.68</v>
      </c>
      <c r="P1915" s="2">
        <f>+O1915/N1915</f>
        <v>13657.163333333332</v>
      </c>
    </row>
    <row r="1916" spans="1:16" outlineLevel="2" x14ac:dyDescent="0.2">
      <c r="A1916" s="5">
        <v>46097</v>
      </c>
      <c r="B1916" s="2">
        <v>157755</v>
      </c>
      <c r="C1916" s="2">
        <v>4</v>
      </c>
      <c r="D1916" s="2" t="s">
        <v>226</v>
      </c>
      <c r="E1916" s="2" t="s">
        <v>151</v>
      </c>
      <c r="F1916" s="2" t="s">
        <v>47</v>
      </c>
      <c r="G1916" s="2" t="s">
        <v>22</v>
      </c>
      <c r="H1916" s="2" t="s">
        <v>23</v>
      </c>
      <c r="I1916" s="2" t="s">
        <v>23</v>
      </c>
      <c r="J1916" s="2">
        <v>2</v>
      </c>
      <c r="K1916" s="2" t="s">
        <v>48</v>
      </c>
      <c r="L1916" s="2">
        <v>1964</v>
      </c>
      <c r="M1916" s="2" t="s">
        <v>49</v>
      </c>
      <c r="N1916" s="2">
        <v>5</v>
      </c>
      <c r="O1916" s="2">
        <v>54527.3</v>
      </c>
      <c r="P1916" s="2">
        <v>10905.46</v>
      </c>
    </row>
    <row r="1917" spans="1:16" outlineLevel="2" x14ac:dyDescent="0.2">
      <c r="A1917" s="5">
        <v>46097</v>
      </c>
      <c r="B1917" s="2">
        <v>157755</v>
      </c>
      <c r="C1917" s="2">
        <v>5</v>
      </c>
      <c r="D1917" s="2" t="s">
        <v>226</v>
      </c>
      <c r="E1917" s="2" t="s">
        <v>67</v>
      </c>
      <c r="F1917" s="2" t="s">
        <v>47</v>
      </c>
      <c r="G1917" s="2" t="s">
        <v>22</v>
      </c>
      <c r="H1917" s="2" t="s">
        <v>23</v>
      </c>
      <c r="I1917" s="2" t="s">
        <v>23</v>
      </c>
      <c r="J1917" s="2">
        <v>2</v>
      </c>
      <c r="K1917" s="2" t="s">
        <v>48</v>
      </c>
      <c r="L1917" s="2">
        <v>1964</v>
      </c>
      <c r="M1917" s="2" t="s">
        <v>49</v>
      </c>
      <c r="N1917" s="2">
        <v>2</v>
      </c>
      <c r="O1917" s="2">
        <v>18077.18</v>
      </c>
      <c r="P1917" s="2">
        <v>9038.59</v>
      </c>
    </row>
    <row r="1918" spans="1:16" outlineLevel="1" x14ac:dyDescent="0.2">
      <c r="A1918" s="5"/>
      <c r="D1918" s="3" t="s">
        <v>736</v>
      </c>
      <c r="N1918" s="2">
        <f>SUBTOTAL(9,N1916:N1917)</f>
        <v>7</v>
      </c>
      <c r="O1918" s="2">
        <f>SUBTOTAL(9,O1916:O1917)</f>
        <v>72604.48000000001</v>
      </c>
      <c r="P1918" s="2">
        <f>+O1918/N1918</f>
        <v>10372.068571428574</v>
      </c>
    </row>
    <row r="1919" spans="1:16" outlineLevel="2" x14ac:dyDescent="0.2">
      <c r="A1919" s="5">
        <v>46097</v>
      </c>
      <c r="B1919" s="2">
        <v>157758</v>
      </c>
      <c r="C1919" s="2">
        <v>1</v>
      </c>
      <c r="D1919" s="2" t="s">
        <v>207</v>
      </c>
      <c r="E1919" s="2" t="s">
        <v>23</v>
      </c>
      <c r="F1919" s="2" t="s">
        <v>47</v>
      </c>
      <c r="G1919" s="2" t="s">
        <v>22</v>
      </c>
      <c r="H1919" s="2" t="s">
        <v>208</v>
      </c>
      <c r="I1919" s="2" t="s">
        <v>23</v>
      </c>
      <c r="J1919" s="2">
        <v>41</v>
      </c>
      <c r="K1919" s="2" t="s">
        <v>129</v>
      </c>
      <c r="L1919" s="2">
        <v>25213</v>
      </c>
      <c r="M1919" s="2" t="s">
        <v>130</v>
      </c>
      <c r="N1919" s="2">
        <v>50</v>
      </c>
      <c r="O1919" s="2">
        <v>180999.28</v>
      </c>
      <c r="P1919" s="2">
        <v>3619.99</v>
      </c>
    </row>
    <row r="1920" spans="1:16" outlineLevel="2" x14ac:dyDescent="0.2">
      <c r="A1920" s="5">
        <v>46097</v>
      </c>
      <c r="B1920" s="2">
        <v>157758</v>
      </c>
      <c r="C1920" s="2">
        <v>2</v>
      </c>
      <c r="D1920" s="2" t="s">
        <v>207</v>
      </c>
      <c r="E1920" s="2" t="s">
        <v>23</v>
      </c>
      <c r="F1920" s="2" t="s">
        <v>47</v>
      </c>
      <c r="G1920" s="2" t="s">
        <v>22</v>
      </c>
      <c r="H1920" s="2" t="s">
        <v>209</v>
      </c>
      <c r="I1920" s="2" t="s">
        <v>23</v>
      </c>
      <c r="J1920" s="2">
        <v>41</v>
      </c>
      <c r="K1920" s="2" t="s">
        <v>129</v>
      </c>
      <c r="L1920" s="2">
        <v>25213</v>
      </c>
      <c r="M1920" s="2" t="s">
        <v>130</v>
      </c>
      <c r="N1920" s="2">
        <v>23</v>
      </c>
      <c r="O1920" s="2">
        <v>76600.03</v>
      </c>
      <c r="P1920" s="2">
        <v>3330.44</v>
      </c>
    </row>
    <row r="1921" spans="1:16" outlineLevel="1" x14ac:dyDescent="0.2">
      <c r="A1921" s="5"/>
      <c r="D1921" s="3" t="s">
        <v>699</v>
      </c>
      <c r="N1921" s="2">
        <f>SUBTOTAL(9,N1919:N1920)</f>
        <v>73</v>
      </c>
      <c r="O1921" s="2">
        <f>SUBTOTAL(9,O1919:O1920)</f>
        <v>257599.31</v>
      </c>
      <c r="P1921" s="2">
        <f>+O1921/N1921</f>
        <v>3528.7576712328769</v>
      </c>
    </row>
    <row r="1922" spans="1:16" outlineLevel="2" x14ac:dyDescent="0.2">
      <c r="A1922" s="5">
        <v>46097</v>
      </c>
      <c r="B1922" s="2">
        <v>157758</v>
      </c>
      <c r="C1922" s="2">
        <v>3</v>
      </c>
      <c r="D1922" s="2" t="s">
        <v>128</v>
      </c>
      <c r="E1922" s="2" t="s">
        <v>23</v>
      </c>
      <c r="F1922" s="2" t="s">
        <v>47</v>
      </c>
      <c r="G1922" s="2" t="s">
        <v>22</v>
      </c>
      <c r="H1922" s="2" t="s">
        <v>23</v>
      </c>
      <c r="I1922" s="2" t="s">
        <v>23</v>
      </c>
      <c r="J1922" s="2">
        <v>41</v>
      </c>
      <c r="K1922" s="2" t="s">
        <v>129</v>
      </c>
      <c r="L1922" s="2">
        <v>25213</v>
      </c>
      <c r="M1922" s="2" t="s">
        <v>130</v>
      </c>
      <c r="N1922" s="2">
        <v>50</v>
      </c>
      <c r="O1922" s="2">
        <v>181232</v>
      </c>
      <c r="P1922" s="2">
        <v>3624.64</v>
      </c>
    </row>
    <row r="1923" spans="1:16" outlineLevel="1" x14ac:dyDescent="0.2">
      <c r="A1923" s="5"/>
      <c r="D1923" s="3" t="s">
        <v>732</v>
      </c>
      <c r="N1923" s="2">
        <f>SUBTOTAL(9,N1922:N1922)</f>
        <v>50</v>
      </c>
      <c r="O1923" s="2">
        <f>SUBTOTAL(9,O1922:O1922)</f>
        <v>181232</v>
      </c>
      <c r="P1923" s="2">
        <f>+O1923/N1923</f>
        <v>3624.64</v>
      </c>
    </row>
    <row r="1924" spans="1:16" outlineLevel="2" x14ac:dyDescent="0.2">
      <c r="A1924" s="5">
        <v>46097</v>
      </c>
      <c r="B1924" s="2">
        <v>157759</v>
      </c>
      <c r="C1924" s="2">
        <v>1</v>
      </c>
      <c r="D1924" s="2" t="s">
        <v>404</v>
      </c>
      <c r="E1924" s="2" t="s">
        <v>23</v>
      </c>
      <c r="F1924" s="2" t="s">
        <v>405</v>
      </c>
      <c r="G1924" s="2" t="s">
        <v>22</v>
      </c>
      <c r="H1924" s="2" t="s">
        <v>23</v>
      </c>
      <c r="I1924" s="2" t="s">
        <v>23</v>
      </c>
      <c r="J1924" s="2">
        <v>1</v>
      </c>
      <c r="K1924" s="2" t="s">
        <v>24</v>
      </c>
      <c r="L1924" s="2">
        <v>600</v>
      </c>
      <c r="M1924" s="2" t="s">
        <v>112</v>
      </c>
      <c r="N1924" s="2">
        <v>39</v>
      </c>
      <c r="O1924" s="2">
        <v>565920.64</v>
      </c>
      <c r="P1924" s="2">
        <v>14510.79</v>
      </c>
    </row>
    <row r="1925" spans="1:16" outlineLevel="1" x14ac:dyDescent="0.2">
      <c r="A1925" s="5"/>
      <c r="D1925" s="3" t="s">
        <v>769</v>
      </c>
      <c r="N1925" s="2">
        <f>SUBTOTAL(9,N1924:N1924)</f>
        <v>39</v>
      </c>
      <c r="O1925" s="2">
        <f>SUBTOTAL(9,O1924:O1924)</f>
        <v>565920.64</v>
      </c>
      <c r="P1925" s="2">
        <f>+O1925/N1925</f>
        <v>14510.785641025641</v>
      </c>
    </row>
    <row r="1926" spans="1:16" outlineLevel="2" x14ac:dyDescent="0.2">
      <c r="A1926" s="5">
        <v>46097</v>
      </c>
      <c r="B1926" s="2">
        <v>157760</v>
      </c>
      <c r="C1926" s="2">
        <v>309</v>
      </c>
      <c r="D1926" s="2" t="s">
        <v>45</v>
      </c>
      <c r="E1926" s="2" t="s">
        <v>228</v>
      </c>
      <c r="F1926" s="2" t="s">
        <v>55</v>
      </c>
      <c r="G1926" s="2" t="s">
        <v>23</v>
      </c>
      <c r="H1926" s="2" t="s">
        <v>23</v>
      </c>
      <c r="I1926" s="2" t="s">
        <v>23</v>
      </c>
      <c r="J1926" s="2">
        <v>2</v>
      </c>
      <c r="K1926" s="2" t="s">
        <v>48</v>
      </c>
      <c r="L1926" s="2">
        <v>1964</v>
      </c>
      <c r="M1926" s="2" t="s">
        <v>49</v>
      </c>
      <c r="N1926" s="2">
        <v>15</v>
      </c>
      <c r="O1926" s="2">
        <v>107575.65</v>
      </c>
      <c r="P1926" s="2">
        <v>7171.71</v>
      </c>
    </row>
    <row r="1927" spans="1:16" outlineLevel="2" x14ac:dyDescent="0.2">
      <c r="A1927" s="5">
        <v>46099</v>
      </c>
      <c r="B1927" s="2">
        <v>157760</v>
      </c>
      <c r="C1927" s="2">
        <v>315</v>
      </c>
      <c r="D1927" s="2" t="s">
        <v>45</v>
      </c>
      <c r="E1927" s="2" t="s">
        <v>125</v>
      </c>
      <c r="F1927" s="2" t="s">
        <v>55</v>
      </c>
      <c r="G1927" s="2" t="s">
        <v>23</v>
      </c>
      <c r="H1927" s="2" t="s">
        <v>23</v>
      </c>
      <c r="I1927" s="2" t="s">
        <v>23</v>
      </c>
      <c r="J1927" s="2">
        <v>1</v>
      </c>
      <c r="K1927" s="2" t="s">
        <v>24</v>
      </c>
      <c r="L1927" s="2">
        <v>1964</v>
      </c>
      <c r="M1927" s="2" t="s">
        <v>49</v>
      </c>
      <c r="N1927" s="2">
        <v>19</v>
      </c>
      <c r="O1927" s="2">
        <v>105458.97</v>
      </c>
      <c r="P1927" s="2">
        <v>5550.47</v>
      </c>
    </row>
    <row r="1928" spans="1:16" outlineLevel="1" x14ac:dyDescent="0.2">
      <c r="A1928" s="5"/>
      <c r="D1928" s="3" t="s">
        <v>733</v>
      </c>
      <c r="N1928" s="2">
        <f>SUBTOTAL(9,N1926:N1927)</f>
        <v>34</v>
      </c>
      <c r="O1928" s="2">
        <f>SUBTOTAL(9,O1926:O1927)</f>
        <v>213034.62</v>
      </c>
      <c r="P1928" s="2">
        <f>+O1928/N1928</f>
        <v>6265.7241176470588</v>
      </c>
    </row>
    <row r="1929" spans="1:16" outlineLevel="2" x14ac:dyDescent="0.2">
      <c r="A1929" s="5">
        <v>46101</v>
      </c>
      <c r="B1929" s="2">
        <v>157761</v>
      </c>
      <c r="C1929" s="2">
        <v>310</v>
      </c>
      <c r="D1929" s="2" t="s">
        <v>110</v>
      </c>
      <c r="E1929" s="2" t="s">
        <v>111</v>
      </c>
      <c r="F1929" s="2" t="s">
        <v>55</v>
      </c>
      <c r="G1929" s="2" t="s">
        <v>23</v>
      </c>
      <c r="H1929" s="2" t="s">
        <v>23</v>
      </c>
      <c r="I1929" s="2" t="s">
        <v>23</v>
      </c>
      <c r="J1929" s="2">
        <v>1</v>
      </c>
      <c r="K1929" s="2" t="s">
        <v>24</v>
      </c>
      <c r="L1929" s="2">
        <v>25095</v>
      </c>
      <c r="M1929" s="2" t="s">
        <v>216</v>
      </c>
      <c r="N1929" s="2">
        <v>1</v>
      </c>
      <c r="O1929" s="2">
        <v>1571.08</v>
      </c>
      <c r="P1929" s="2">
        <v>1571.08</v>
      </c>
    </row>
    <row r="1930" spans="1:16" outlineLevel="2" x14ac:dyDescent="0.2">
      <c r="A1930" s="5">
        <v>46094</v>
      </c>
      <c r="B1930" s="2">
        <v>157761</v>
      </c>
      <c r="C1930" s="2">
        <v>315</v>
      </c>
      <c r="D1930" s="2" t="s">
        <v>110</v>
      </c>
      <c r="E1930" s="2" t="s">
        <v>111</v>
      </c>
      <c r="F1930" s="2" t="s">
        <v>47</v>
      </c>
      <c r="G1930" s="2" t="s">
        <v>22</v>
      </c>
      <c r="H1930" s="2" t="s">
        <v>23</v>
      </c>
      <c r="I1930" s="2" t="s">
        <v>23</v>
      </c>
      <c r="J1930" s="2">
        <v>2</v>
      </c>
      <c r="K1930" s="2" t="s">
        <v>48</v>
      </c>
      <c r="L1930" s="2">
        <v>25095</v>
      </c>
      <c r="M1930" s="2" t="s">
        <v>216</v>
      </c>
      <c r="N1930" s="2">
        <v>60</v>
      </c>
      <c r="O1930" s="2">
        <v>124134.78</v>
      </c>
      <c r="P1930" s="2">
        <v>2068.91</v>
      </c>
    </row>
    <row r="1931" spans="1:16" outlineLevel="1" x14ac:dyDescent="0.2">
      <c r="A1931" s="5"/>
      <c r="D1931" s="3" t="s">
        <v>697</v>
      </c>
      <c r="N1931" s="2">
        <f>SUBTOTAL(9,N1929:N1930)</f>
        <v>61</v>
      </c>
      <c r="O1931" s="2">
        <f>SUBTOTAL(9,O1929:O1930)</f>
        <v>125705.86</v>
      </c>
      <c r="P1931" s="2">
        <f>+O1931/N1931</f>
        <v>2060.7518032786884</v>
      </c>
    </row>
    <row r="1932" spans="1:16" outlineLevel="2" x14ac:dyDescent="0.2">
      <c r="A1932" s="5">
        <v>46094</v>
      </c>
      <c r="B1932" s="2">
        <v>157764</v>
      </c>
      <c r="C1932" s="2">
        <v>2</v>
      </c>
      <c r="D1932" s="2" t="s">
        <v>67</v>
      </c>
      <c r="E1932" s="2" t="s">
        <v>377</v>
      </c>
      <c r="F1932" s="2" t="s">
        <v>187</v>
      </c>
      <c r="G1932" s="2" t="s">
        <v>41</v>
      </c>
      <c r="H1932" s="2" t="s">
        <v>23</v>
      </c>
      <c r="I1932" s="2" t="s">
        <v>194</v>
      </c>
      <c r="J1932" s="2">
        <v>1</v>
      </c>
      <c r="K1932" s="2" t="s">
        <v>24</v>
      </c>
      <c r="L1932" s="2">
        <v>25144</v>
      </c>
      <c r="M1932" s="2" t="s">
        <v>189</v>
      </c>
      <c r="N1932" s="2">
        <v>79</v>
      </c>
      <c r="O1932" s="2">
        <v>2115430.16</v>
      </c>
      <c r="P1932" s="2">
        <v>26777.599999999999</v>
      </c>
    </row>
    <row r="1933" spans="1:16" outlineLevel="2" x14ac:dyDescent="0.2">
      <c r="A1933" s="5">
        <v>46097</v>
      </c>
      <c r="B1933" s="2">
        <v>157764</v>
      </c>
      <c r="C1933" s="2">
        <v>3</v>
      </c>
      <c r="D1933" s="2" t="s">
        <v>67</v>
      </c>
      <c r="E1933" s="2" t="s">
        <v>377</v>
      </c>
      <c r="F1933" s="2" t="s">
        <v>187</v>
      </c>
      <c r="G1933" s="2" t="s">
        <v>41</v>
      </c>
      <c r="H1933" s="2" t="s">
        <v>23</v>
      </c>
      <c r="I1933" s="2" t="s">
        <v>23</v>
      </c>
      <c r="J1933" s="2">
        <v>1</v>
      </c>
      <c r="K1933" s="2" t="s">
        <v>24</v>
      </c>
      <c r="L1933" s="2">
        <v>25144</v>
      </c>
      <c r="M1933" s="2" t="s">
        <v>189</v>
      </c>
      <c r="N1933" s="2">
        <v>61</v>
      </c>
      <c r="O1933" s="2">
        <v>1087703.1100000001</v>
      </c>
      <c r="P1933" s="2">
        <v>17831.2</v>
      </c>
    </row>
    <row r="1934" spans="1:16" outlineLevel="2" x14ac:dyDescent="0.2">
      <c r="A1934" s="5">
        <v>46136</v>
      </c>
      <c r="B1934" s="2">
        <v>157764</v>
      </c>
      <c r="C1934" s="2">
        <v>8</v>
      </c>
      <c r="D1934" s="2" t="s">
        <v>67</v>
      </c>
      <c r="E1934" s="2" t="s">
        <v>377</v>
      </c>
      <c r="F1934" s="2" t="s">
        <v>187</v>
      </c>
      <c r="G1934" s="2" t="s">
        <v>407</v>
      </c>
      <c r="H1934" s="2" t="s">
        <v>23</v>
      </c>
      <c r="I1934" s="2" t="s">
        <v>408</v>
      </c>
      <c r="J1934" s="2">
        <v>1</v>
      </c>
      <c r="K1934" s="2" t="s">
        <v>24</v>
      </c>
      <c r="L1934" s="2">
        <v>25144</v>
      </c>
      <c r="M1934" s="2" t="s">
        <v>189</v>
      </c>
      <c r="N1934" s="2">
        <v>7</v>
      </c>
      <c r="O1934" s="2">
        <v>32423.23</v>
      </c>
      <c r="P1934" s="2">
        <v>4631.8900000000003</v>
      </c>
    </row>
    <row r="1935" spans="1:16" outlineLevel="2" x14ac:dyDescent="0.2">
      <c r="A1935" s="5">
        <v>46094</v>
      </c>
      <c r="B1935" s="2">
        <v>157765</v>
      </c>
      <c r="C1935" s="2">
        <v>2</v>
      </c>
      <c r="D1935" s="2" t="s">
        <v>67</v>
      </c>
      <c r="E1935" s="2" t="s">
        <v>409</v>
      </c>
      <c r="F1935" s="2" t="s">
        <v>187</v>
      </c>
      <c r="G1935" s="2" t="s">
        <v>22</v>
      </c>
      <c r="H1935" s="2" t="s">
        <v>23</v>
      </c>
      <c r="I1935" s="2" t="s">
        <v>194</v>
      </c>
      <c r="J1935" s="2">
        <v>1</v>
      </c>
      <c r="K1935" s="2" t="s">
        <v>24</v>
      </c>
      <c r="L1935" s="2">
        <v>25144</v>
      </c>
      <c r="M1935" s="2" t="s">
        <v>189</v>
      </c>
      <c r="N1935" s="2">
        <v>41</v>
      </c>
      <c r="O1935" s="2">
        <v>880894.65</v>
      </c>
      <c r="P1935" s="2">
        <v>21485.24</v>
      </c>
    </row>
    <row r="1936" spans="1:16" outlineLevel="1" x14ac:dyDescent="0.2">
      <c r="A1936" s="5"/>
      <c r="D1936" s="3" t="s">
        <v>720</v>
      </c>
      <c r="N1936" s="2">
        <f>SUBTOTAL(9,N1932:N1935)</f>
        <v>188</v>
      </c>
      <c r="O1936" s="2">
        <f>SUBTOTAL(9,O1932:O1935)</f>
        <v>4116451.1500000004</v>
      </c>
      <c r="P1936" s="2">
        <f>+O1936/N1936</f>
        <v>21896.01675531915</v>
      </c>
    </row>
    <row r="1937" spans="1:16" outlineLevel="2" x14ac:dyDescent="0.2">
      <c r="A1937" s="5">
        <v>46097</v>
      </c>
      <c r="B1937" s="2">
        <v>157767</v>
      </c>
      <c r="C1937" s="2">
        <v>2</v>
      </c>
      <c r="D1937" s="2" t="s">
        <v>38</v>
      </c>
      <c r="E1937" s="2" t="s">
        <v>39</v>
      </c>
      <c r="F1937" s="2" t="s">
        <v>40</v>
      </c>
      <c r="G1937" s="2" t="s">
        <v>41</v>
      </c>
      <c r="H1937" s="2" t="s">
        <v>23</v>
      </c>
      <c r="I1937" s="2" t="s">
        <v>410</v>
      </c>
      <c r="J1937" s="2">
        <v>40</v>
      </c>
      <c r="K1937" s="2" t="s">
        <v>43</v>
      </c>
      <c r="L1937" s="2">
        <v>2579</v>
      </c>
      <c r="M1937" s="2" t="s">
        <v>44</v>
      </c>
      <c r="N1937" s="2">
        <v>192</v>
      </c>
      <c r="O1937" s="2">
        <v>6032054.9100000001</v>
      </c>
      <c r="P1937" s="2">
        <v>31416.95</v>
      </c>
    </row>
    <row r="1938" spans="1:16" outlineLevel="2" x14ac:dyDescent="0.2">
      <c r="A1938" s="5">
        <v>46097</v>
      </c>
      <c r="B1938" s="2">
        <v>157767</v>
      </c>
      <c r="C1938" s="2">
        <v>3</v>
      </c>
      <c r="D1938" s="2" t="s">
        <v>38</v>
      </c>
      <c r="E1938" s="2" t="s">
        <v>39</v>
      </c>
      <c r="F1938" s="2" t="s">
        <v>40</v>
      </c>
      <c r="G1938" s="2" t="s">
        <v>41</v>
      </c>
      <c r="H1938" s="2" t="s">
        <v>23</v>
      </c>
      <c r="I1938" s="2" t="s">
        <v>334</v>
      </c>
      <c r="J1938" s="2">
        <v>40</v>
      </c>
      <c r="K1938" s="2" t="s">
        <v>43</v>
      </c>
      <c r="L1938" s="2">
        <v>2579</v>
      </c>
      <c r="M1938" s="2" t="s">
        <v>44</v>
      </c>
      <c r="N1938" s="2">
        <v>95</v>
      </c>
      <c r="O1938" s="2">
        <v>3513616.25</v>
      </c>
      <c r="P1938" s="2">
        <v>36985.43</v>
      </c>
    </row>
    <row r="1939" spans="1:16" outlineLevel="2" x14ac:dyDescent="0.2">
      <c r="A1939" s="5">
        <v>46097</v>
      </c>
      <c r="B1939" s="2">
        <v>157767</v>
      </c>
      <c r="C1939" s="2">
        <v>4</v>
      </c>
      <c r="D1939" s="2" t="s">
        <v>38</v>
      </c>
      <c r="E1939" s="2" t="s">
        <v>39</v>
      </c>
      <c r="F1939" s="2" t="s">
        <v>40</v>
      </c>
      <c r="G1939" s="2" t="s">
        <v>41</v>
      </c>
      <c r="H1939" s="2" t="s">
        <v>23</v>
      </c>
      <c r="I1939" s="2" t="s">
        <v>23</v>
      </c>
      <c r="J1939" s="2">
        <v>40</v>
      </c>
      <c r="K1939" s="2" t="s">
        <v>43</v>
      </c>
      <c r="L1939" s="2">
        <v>2579</v>
      </c>
      <c r="M1939" s="2" t="s">
        <v>44</v>
      </c>
      <c r="N1939" s="2">
        <v>208</v>
      </c>
      <c r="O1939" s="2">
        <v>5225471.4800000004</v>
      </c>
      <c r="P1939" s="2">
        <v>25122.46</v>
      </c>
    </row>
    <row r="1940" spans="1:16" outlineLevel="2" x14ac:dyDescent="0.2">
      <c r="A1940" s="5">
        <v>46097</v>
      </c>
      <c r="B1940" s="2">
        <v>157767</v>
      </c>
      <c r="C1940" s="2">
        <v>5</v>
      </c>
      <c r="D1940" s="2" t="s">
        <v>38</v>
      </c>
      <c r="E1940" s="2" t="s">
        <v>39</v>
      </c>
      <c r="F1940" s="2" t="s">
        <v>40</v>
      </c>
      <c r="G1940" s="2" t="s">
        <v>22</v>
      </c>
      <c r="H1940" s="2" t="s">
        <v>41</v>
      </c>
      <c r="I1940" s="2" t="s">
        <v>42</v>
      </c>
      <c r="J1940" s="2">
        <v>40</v>
      </c>
      <c r="K1940" s="2" t="s">
        <v>43</v>
      </c>
      <c r="L1940" s="2">
        <v>2579</v>
      </c>
      <c r="M1940" s="2" t="s">
        <v>44</v>
      </c>
      <c r="N1940" s="2">
        <v>254</v>
      </c>
      <c r="O1940" s="2">
        <v>2315329.4500000002</v>
      </c>
      <c r="P1940" s="2">
        <v>9115.4699999999993</v>
      </c>
    </row>
    <row r="1941" spans="1:16" outlineLevel="2" x14ac:dyDescent="0.2">
      <c r="A1941" s="5">
        <v>46097</v>
      </c>
      <c r="B1941" s="2">
        <v>157767</v>
      </c>
      <c r="C1941" s="2">
        <v>7</v>
      </c>
      <c r="D1941" s="2" t="s">
        <v>38</v>
      </c>
      <c r="E1941" s="2" t="s">
        <v>39</v>
      </c>
      <c r="F1941" s="2" t="s">
        <v>40</v>
      </c>
      <c r="G1941" s="2" t="s">
        <v>22</v>
      </c>
      <c r="H1941" s="2" t="s">
        <v>393</v>
      </c>
      <c r="I1941" s="2" t="s">
        <v>113</v>
      </c>
      <c r="J1941" s="2">
        <v>40</v>
      </c>
      <c r="K1941" s="2" t="s">
        <v>43</v>
      </c>
      <c r="L1941" s="2">
        <v>2579</v>
      </c>
      <c r="M1941" s="2" t="s">
        <v>44</v>
      </c>
      <c r="N1941" s="2">
        <v>96</v>
      </c>
      <c r="O1941" s="2">
        <v>1943026.56</v>
      </c>
      <c r="P1941" s="2">
        <v>20239.86</v>
      </c>
    </row>
    <row r="1942" spans="1:16" outlineLevel="2" x14ac:dyDescent="0.2">
      <c r="A1942" s="5">
        <v>46097</v>
      </c>
      <c r="B1942" s="2">
        <v>157767</v>
      </c>
      <c r="C1942" s="2">
        <v>8</v>
      </c>
      <c r="D1942" s="2" t="s">
        <v>38</v>
      </c>
      <c r="E1942" s="2" t="s">
        <v>39</v>
      </c>
      <c r="F1942" s="2" t="s">
        <v>40</v>
      </c>
      <c r="G1942" s="2" t="s">
        <v>22</v>
      </c>
      <c r="H1942" s="2" t="s">
        <v>393</v>
      </c>
      <c r="I1942" s="2" t="s">
        <v>334</v>
      </c>
      <c r="J1942" s="2">
        <v>40</v>
      </c>
      <c r="K1942" s="2" t="s">
        <v>43</v>
      </c>
      <c r="L1942" s="2">
        <v>2579</v>
      </c>
      <c r="M1942" s="2" t="s">
        <v>44</v>
      </c>
      <c r="N1942" s="2">
        <v>96</v>
      </c>
      <c r="O1942" s="2">
        <v>3303034.32</v>
      </c>
      <c r="P1942" s="2">
        <v>34406.61</v>
      </c>
    </row>
    <row r="1943" spans="1:16" outlineLevel="2" x14ac:dyDescent="0.2">
      <c r="A1943" s="5">
        <v>46097</v>
      </c>
      <c r="B1943" s="2">
        <v>157769</v>
      </c>
      <c r="C1943" s="2">
        <v>1</v>
      </c>
      <c r="D1943" s="2" t="s">
        <v>38</v>
      </c>
      <c r="E1943" s="2" t="s">
        <v>39</v>
      </c>
      <c r="F1943" s="2" t="s">
        <v>63</v>
      </c>
      <c r="G1943" s="2" t="s">
        <v>22</v>
      </c>
      <c r="H1943" s="2" t="s">
        <v>23</v>
      </c>
      <c r="I1943" s="2" t="s">
        <v>243</v>
      </c>
      <c r="J1943" s="2">
        <v>1</v>
      </c>
      <c r="K1943" s="2" t="s">
        <v>24</v>
      </c>
      <c r="L1943" s="2">
        <v>1846</v>
      </c>
      <c r="M1943" s="2" t="s">
        <v>134</v>
      </c>
      <c r="N1943" s="2">
        <v>156</v>
      </c>
      <c r="O1943" s="2">
        <v>12671960.210000001</v>
      </c>
      <c r="P1943" s="2">
        <v>81230.509999999995</v>
      </c>
    </row>
    <row r="1944" spans="1:16" outlineLevel="2" x14ac:dyDescent="0.2">
      <c r="A1944" s="5">
        <v>46097</v>
      </c>
      <c r="B1944" s="2">
        <v>157769</v>
      </c>
      <c r="C1944" s="2">
        <v>2</v>
      </c>
      <c r="D1944" s="2" t="s">
        <v>38</v>
      </c>
      <c r="E1944" s="2" t="s">
        <v>39</v>
      </c>
      <c r="F1944" s="2" t="s">
        <v>63</v>
      </c>
      <c r="G1944" s="2" t="s">
        <v>22</v>
      </c>
      <c r="H1944" s="2" t="s">
        <v>23</v>
      </c>
      <c r="I1944" s="2" t="s">
        <v>116</v>
      </c>
      <c r="J1944" s="2">
        <v>1</v>
      </c>
      <c r="K1944" s="2" t="s">
        <v>24</v>
      </c>
      <c r="L1944" s="2">
        <v>1846</v>
      </c>
      <c r="M1944" s="2" t="s">
        <v>134</v>
      </c>
      <c r="N1944" s="2">
        <v>234</v>
      </c>
      <c r="O1944" s="2">
        <v>20291064.32</v>
      </c>
      <c r="P1944" s="2">
        <v>86713.95</v>
      </c>
    </row>
    <row r="1945" spans="1:16" outlineLevel="2" x14ac:dyDescent="0.2">
      <c r="A1945" s="5">
        <v>46099</v>
      </c>
      <c r="B1945" s="2">
        <v>157769</v>
      </c>
      <c r="C1945" s="2">
        <v>3</v>
      </c>
      <c r="D1945" s="2" t="s">
        <v>38</v>
      </c>
      <c r="E1945" s="2" t="s">
        <v>39</v>
      </c>
      <c r="F1945" s="2" t="s">
        <v>63</v>
      </c>
      <c r="G1945" s="2" t="s">
        <v>22</v>
      </c>
      <c r="H1945" s="2" t="s">
        <v>23</v>
      </c>
      <c r="I1945" s="2" t="s">
        <v>135</v>
      </c>
      <c r="J1945" s="2">
        <v>1</v>
      </c>
      <c r="K1945" s="2" t="s">
        <v>24</v>
      </c>
      <c r="L1945" s="2">
        <v>1846</v>
      </c>
      <c r="M1945" s="2" t="s">
        <v>134</v>
      </c>
      <c r="N1945" s="2">
        <v>296</v>
      </c>
      <c r="O1945" s="2">
        <v>25715238.91</v>
      </c>
      <c r="P1945" s="2">
        <v>86875.81</v>
      </c>
    </row>
    <row r="1946" spans="1:16" outlineLevel="2" x14ac:dyDescent="0.2">
      <c r="A1946" s="5">
        <v>46097</v>
      </c>
      <c r="B1946" s="2">
        <v>157769</v>
      </c>
      <c r="C1946" s="2">
        <v>5</v>
      </c>
      <c r="D1946" s="2" t="s">
        <v>38</v>
      </c>
      <c r="E1946" s="2" t="s">
        <v>39</v>
      </c>
      <c r="F1946" s="2" t="s">
        <v>63</v>
      </c>
      <c r="G1946" s="2" t="s">
        <v>22</v>
      </c>
      <c r="H1946" s="2" t="s">
        <v>23</v>
      </c>
      <c r="I1946" s="2" t="s">
        <v>133</v>
      </c>
      <c r="J1946" s="2">
        <v>1</v>
      </c>
      <c r="K1946" s="2" t="s">
        <v>24</v>
      </c>
      <c r="L1946" s="2">
        <v>1846</v>
      </c>
      <c r="M1946" s="2" t="s">
        <v>134</v>
      </c>
      <c r="N1946" s="2">
        <v>198</v>
      </c>
      <c r="O1946" s="2">
        <v>14843350.390000001</v>
      </c>
      <c r="P1946" s="2">
        <v>74966.42</v>
      </c>
    </row>
    <row r="1947" spans="1:16" outlineLevel="1" x14ac:dyDescent="0.2">
      <c r="A1947" s="5"/>
      <c r="D1947" s="3" t="s">
        <v>721</v>
      </c>
      <c r="N1947" s="2">
        <f>SUBTOTAL(9,N1937:N1946)</f>
        <v>1825</v>
      </c>
      <c r="O1947" s="2">
        <f>SUBTOTAL(9,O1937:O1946)</f>
        <v>95854146.799999997</v>
      </c>
      <c r="P1947" s="2">
        <f>+O1947/N1947</f>
        <v>52522.820164383556</v>
      </c>
    </row>
    <row r="1948" spans="1:16" outlineLevel="2" x14ac:dyDescent="0.2">
      <c r="A1948" s="5">
        <v>46099</v>
      </c>
      <c r="B1948" s="2">
        <v>157770</v>
      </c>
      <c r="C1948" s="2">
        <v>1</v>
      </c>
      <c r="D1948" s="2" t="s">
        <v>60</v>
      </c>
      <c r="E1948" s="2" t="s">
        <v>55</v>
      </c>
      <c r="F1948" s="2" t="s">
        <v>23</v>
      </c>
      <c r="G1948" s="2" t="s">
        <v>23</v>
      </c>
      <c r="H1948" s="2" t="s">
        <v>23</v>
      </c>
      <c r="I1948" s="2" t="s">
        <v>23</v>
      </c>
      <c r="J1948" s="2">
        <v>1</v>
      </c>
      <c r="K1948" s="2" t="s">
        <v>24</v>
      </c>
      <c r="L1948" s="2">
        <v>2143</v>
      </c>
      <c r="M1948" s="2" t="s">
        <v>411</v>
      </c>
      <c r="N1948" s="2">
        <v>5</v>
      </c>
      <c r="O1948" s="2">
        <v>71329.22</v>
      </c>
      <c r="P1948" s="2">
        <v>14265.84</v>
      </c>
    </row>
    <row r="1949" spans="1:16" outlineLevel="1" x14ac:dyDescent="0.2">
      <c r="A1949" s="5"/>
      <c r="D1949" s="3" t="s">
        <v>728</v>
      </c>
      <c r="N1949" s="2">
        <f>SUBTOTAL(9,N1948:N1948)</f>
        <v>5</v>
      </c>
      <c r="O1949" s="2">
        <f>SUBTOTAL(9,O1948:O1948)</f>
        <v>71329.22</v>
      </c>
      <c r="P1949" s="2">
        <f>+O1949/N1949</f>
        <v>14265.844000000001</v>
      </c>
    </row>
    <row r="1950" spans="1:16" outlineLevel="2" x14ac:dyDescent="0.2">
      <c r="A1950" s="5">
        <v>46078</v>
      </c>
      <c r="B1950" s="2">
        <v>157774</v>
      </c>
      <c r="C1950" s="2">
        <v>3</v>
      </c>
      <c r="D1950" s="2" t="s">
        <v>197</v>
      </c>
      <c r="E1950" s="2" t="s">
        <v>198</v>
      </c>
      <c r="F1950" s="2" t="s">
        <v>55</v>
      </c>
      <c r="G1950" s="2" t="s">
        <v>23</v>
      </c>
      <c r="H1950" s="2" t="s">
        <v>23</v>
      </c>
      <c r="I1950" s="2" t="s">
        <v>23</v>
      </c>
      <c r="J1950" s="2">
        <v>86</v>
      </c>
      <c r="K1950" s="2" t="s">
        <v>73</v>
      </c>
      <c r="L1950" s="2">
        <v>25166</v>
      </c>
      <c r="M1950" s="2" t="s">
        <v>200</v>
      </c>
      <c r="N1950" s="2">
        <v>9</v>
      </c>
      <c r="O1950" s="2">
        <v>123352.02</v>
      </c>
      <c r="P1950" s="2">
        <v>13705.78</v>
      </c>
    </row>
    <row r="1951" spans="1:16" outlineLevel="1" x14ac:dyDescent="0.2">
      <c r="A1951" s="5"/>
      <c r="D1951" s="3" t="s">
        <v>734</v>
      </c>
      <c r="N1951" s="2">
        <f>SUBTOTAL(9,N1950:N1950)</f>
        <v>9</v>
      </c>
      <c r="O1951" s="2">
        <f>SUBTOTAL(9,O1950:O1950)</f>
        <v>123352.02</v>
      </c>
      <c r="P1951" s="2">
        <f>+O1951/N1951</f>
        <v>13705.78</v>
      </c>
    </row>
    <row r="1952" spans="1:16" outlineLevel="2" x14ac:dyDescent="0.2">
      <c r="A1952" s="5">
        <v>46099</v>
      </c>
      <c r="B1952" s="2">
        <v>157815</v>
      </c>
      <c r="C1952" s="2">
        <v>1</v>
      </c>
      <c r="D1952" s="2" t="s">
        <v>75</v>
      </c>
      <c r="E1952" s="2" t="s">
        <v>412</v>
      </c>
      <c r="F1952" s="2" t="s">
        <v>108</v>
      </c>
      <c r="G1952" s="2" t="s">
        <v>22</v>
      </c>
      <c r="H1952" s="2" t="s">
        <v>23</v>
      </c>
      <c r="I1952" s="2" t="s">
        <v>100</v>
      </c>
      <c r="J1952" s="2">
        <v>1</v>
      </c>
      <c r="K1952" s="2" t="s">
        <v>24</v>
      </c>
      <c r="L1952" s="2">
        <v>2024</v>
      </c>
      <c r="M1952" s="2" t="s">
        <v>76</v>
      </c>
      <c r="N1952" s="2">
        <v>118</v>
      </c>
      <c r="O1952" s="2">
        <v>3547634.75</v>
      </c>
      <c r="P1952" s="2">
        <v>30064.7</v>
      </c>
    </row>
    <row r="1953" spans="1:16" outlineLevel="2" x14ac:dyDescent="0.2">
      <c r="A1953" s="5">
        <v>46097</v>
      </c>
      <c r="B1953" s="2">
        <v>157815</v>
      </c>
      <c r="C1953" s="2">
        <v>2</v>
      </c>
      <c r="D1953" s="2" t="s">
        <v>75</v>
      </c>
      <c r="E1953" s="2" t="s">
        <v>412</v>
      </c>
      <c r="F1953" s="2" t="s">
        <v>108</v>
      </c>
      <c r="G1953" s="2" t="s">
        <v>22</v>
      </c>
      <c r="H1953" s="2" t="s">
        <v>23</v>
      </c>
      <c r="I1953" s="2" t="s">
        <v>109</v>
      </c>
      <c r="J1953" s="2">
        <v>1</v>
      </c>
      <c r="K1953" s="2" t="s">
        <v>24</v>
      </c>
      <c r="L1953" s="2">
        <v>2024</v>
      </c>
      <c r="M1953" s="2" t="s">
        <v>76</v>
      </c>
      <c r="N1953" s="2">
        <v>240</v>
      </c>
      <c r="O1953" s="2">
        <v>7226808.54</v>
      </c>
      <c r="P1953" s="2">
        <v>30111.7</v>
      </c>
    </row>
    <row r="1954" spans="1:16" outlineLevel="2" x14ac:dyDescent="0.2">
      <c r="A1954" s="5">
        <v>46111</v>
      </c>
      <c r="B1954" s="2">
        <v>157815</v>
      </c>
      <c r="C1954" s="2">
        <v>3</v>
      </c>
      <c r="D1954" s="2" t="s">
        <v>75</v>
      </c>
      <c r="E1954" s="2" t="s">
        <v>23</v>
      </c>
      <c r="F1954" s="2" t="s">
        <v>108</v>
      </c>
      <c r="G1954" s="2" t="s">
        <v>22</v>
      </c>
      <c r="H1954" s="2" t="s">
        <v>23</v>
      </c>
      <c r="I1954" s="2" t="s">
        <v>101</v>
      </c>
      <c r="J1954" s="2">
        <v>1</v>
      </c>
      <c r="K1954" s="2" t="s">
        <v>24</v>
      </c>
      <c r="L1954" s="2">
        <v>2024</v>
      </c>
      <c r="M1954" s="2" t="s">
        <v>76</v>
      </c>
      <c r="N1954" s="2">
        <v>30</v>
      </c>
      <c r="O1954" s="2">
        <v>980571.3</v>
      </c>
      <c r="P1954" s="2">
        <v>32685.71</v>
      </c>
    </row>
    <row r="1955" spans="1:16" outlineLevel="1" x14ac:dyDescent="0.2">
      <c r="A1955" s="5"/>
      <c r="D1955" s="3" t="s">
        <v>729</v>
      </c>
      <c r="N1955" s="2">
        <f>SUBTOTAL(9,N1952:N1954)</f>
        <v>388</v>
      </c>
      <c r="O1955" s="2">
        <f>SUBTOTAL(9,O1952:O1954)</f>
        <v>11755014.59</v>
      </c>
      <c r="P1955" s="2">
        <f>+O1955/N1955</f>
        <v>30296.429355670101</v>
      </c>
    </row>
    <row r="1956" spans="1:16" outlineLevel="2" x14ac:dyDescent="0.2">
      <c r="A1956" s="5">
        <v>46097</v>
      </c>
      <c r="B1956" s="2">
        <v>157816</v>
      </c>
      <c r="C1956" s="2">
        <v>1</v>
      </c>
      <c r="D1956" s="2" t="s">
        <v>38</v>
      </c>
      <c r="E1956" s="2" t="s">
        <v>39</v>
      </c>
      <c r="F1956" s="2" t="s">
        <v>290</v>
      </c>
      <c r="G1956" s="2" t="s">
        <v>349</v>
      </c>
      <c r="H1956" s="2" t="s">
        <v>23</v>
      </c>
      <c r="I1956" s="2" t="s">
        <v>23</v>
      </c>
      <c r="J1956" s="2">
        <v>40</v>
      </c>
      <c r="K1956" s="2" t="s">
        <v>43</v>
      </c>
      <c r="L1956" s="2">
        <v>2551</v>
      </c>
      <c r="M1956" s="2" t="s">
        <v>292</v>
      </c>
      <c r="N1956" s="2">
        <v>535</v>
      </c>
      <c r="O1956" s="2">
        <v>21440746.899999999</v>
      </c>
      <c r="P1956" s="2">
        <v>40076.160000000003</v>
      </c>
    </row>
    <row r="1957" spans="1:16" outlineLevel="2" x14ac:dyDescent="0.2">
      <c r="A1957" s="5">
        <v>46101</v>
      </c>
      <c r="B1957" s="2">
        <v>157817</v>
      </c>
      <c r="C1957" s="2">
        <v>1</v>
      </c>
      <c r="D1957" s="2" t="s">
        <v>38</v>
      </c>
      <c r="E1957" s="2" t="s">
        <v>39</v>
      </c>
      <c r="F1957" s="2" t="s">
        <v>290</v>
      </c>
      <c r="G1957" s="2" t="s">
        <v>349</v>
      </c>
      <c r="H1957" s="2" t="s">
        <v>23</v>
      </c>
      <c r="I1957" s="2" t="s">
        <v>23</v>
      </c>
      <c r="J1957" s="2">
        <v>40</v>
      </c>
      <c r="K1957" s="2" t="s">
        <v>43</v>
      </c>
      <c r="L1957" s="2">
        <v>2551</v>
      </c>
      <c r="M1957" s="2" t="s">
        <v>292</v>
      </c>
      <c r="N1957" s="2">
        <v>224</v>
      </c>
      <c r="O1957" s="2">
        <v>3844622.87</v>
      </c>
      <c r="P1957" s="2">
        <v>17163.490000000002</v>
      </c>
    </row>
    <row r="1958" spans="1:16" outlineLevel="2" x14ac:dyDescent="0.2">
      <c r="A1958" s="5">
        <v>46134</v>
      </c>
      <c r="B1958" s="2">
        <v>157817</v>
      </c>
      <c r="C1958" s="2">
        <v>2</v>
      </c>
      <c r="D1958" s="2" t="s">
        <v>38</v>
      </c>
      <c r="E1958" s="2" t="s">
        <v>39</v>
      </c>
      <c r="F1958" s="2" t="s">
        <v>290</v>
      </c>
      <c r="G1958" s="2" t="s">
        <v>22</v>
      </c>
      <c r="H1958" s="2" t="s">
        <v>23</v>
      </c>
      <c r="I1958" s="2" t="s">
        <v>133</v>
      </c>
      <c r="J1958" s="2">
        <v>40</v>
      </c>
      <c r="K1958" s="2" t="s">
        <v>43</v>
      </c>
      <c r="L1958" s="2">
        <v>2551</v>
      </c>
      <c r="M1958" s="2" t="s">
        <v>292</v>
      </c>
      <c r="N1958" s="2">
        <v>5</v>
      </c>
      <c r="O1958" s="2">
        <v>12491.6</v>
      </c>
      <c r="P1958" s="2">
        <v>2498.3200000000002</v>
      </c>
    </row>
    <row r="1959" spans="1:16" outlineLevel="1" x14ac:dyDescent="0.2">
      <c r="A1959" s="5"/>
      <c r="D1959" s="3" t="s">
        <v>721</v>
      </c>
      <c r="N1959" s="2">
        <f>SUBTOTAL(9,N1956:N1958)</f>
        <v>764</v>
      </c>
      <c r="O1959" s="2">
        <f>SUBTOTAL(9,O1956:O1958)</f>
        <v>25297861.370000001</v>
      </c>
      <c r="P1959" s="2">
        <f>+O1959/N1959</f>
        <v>33112.383992146599</v>
      </c>
    </row>
    <row r="1960" spans="1:16" outlineLevel="2" x14ac:dyDescent="0.2">
      <c r="A1960" s="5">
        <v>46099</v>
      </c>
      <c r="B1960" s="2">
        <v>157823</v>
      </c>
      <c r="C1960" s="2">
        <v>301</v>
      </c>
      <c r="D1960" s="2" t="s">
        <v>54</v>
      </c>
      <c r="E1960" s="2" t="s">
        <v>30</v>
      </c>
      <c r="F1960" s="2" t="s">
        <v>55</v>
      </c>
      <c r="G1960" s="2" t="s">
        <v>23</v>
      </c>
      <c r="H1960" s="2" t="s">
        <v>23</v>
      </c>
      <c r="I1960" s="2" t="s">
        <v>23</v>
      </c>
      <c r="J1960" s="2">
        <v>1</v>
      </c>
      <c r="K1960" s="2" t="s">
        <v>24</v>
      </c>
      <c r="L1960" s="2">
        <v>25095</v>
      </c>
      <c r="M1960" s="2" t="s">
        <v>216</v>
      </c>
      <c r="N1960" s="2">
        <v>4</v>
      </c>
      <c r="O1960" s="2">
        <v>19352.439999999999</v>
      </c>
      <c r="P1960" s="2">
        <v>4838.1099999999997</v>
      </c>
    </row>
    <row r="1961" spans="1:16" outlineLevel="2" x14ac:dyDescent="0.2">
      <c r="A1961" s="5">
        <v>46099</v>
      </c>
      <c r="B1961" s="2">
        <v>157823</v>
      </c>
      <c r="C1961" s="2">
        <v>307</v>
      </c>
      <c r="D1961" s="2" t="s">
        <v>54</v>
      </c>
      <c r="E1961" s="2" t="s">
        <v>20</v>
      </c>
      <c r="F1961" s="2" t="s">
        <v>55</v>
      </c>
      <c r="G1961" s="2" t="s">
        <v>23</v>
      </c>
      <c r="H1961" s="2" t="s">
        <v>23</v>
      </c>
      <c r="I1961" s="2" t="s">
        <v>23</v>
      </c>
      <c r="J1961" s="2">
        <v>1</v>
      </c>
      <c r="K1961" s="2" t="s">
        <v>24</v>
      </c>
      <c r="L1961" s="2">
        <v>25095</v>
      </c>
      <c r="M1961" s="2" t="s">
        <v>216</v>
      </c>
      <c r="N1961" s="2">
        <v>20</v>
      </c>
      <c r="O1961" s="2">
        <v>94895.32</v>
      </c>
      <c r="P1961" s="2">
        <v>4744.7700000000004</v>
      </c>
    </row>
    <row r="1962" spans="1:16" outlineLevel="1" x14ac:dyDescent="0.2">
      <c r="A1962" s="5"/>
      <c r="D1962" s="3" t="s">
        <v>719</v>
      </c>
      <c r="N1962" s="2">
        <f>SUBTOTAL(9,N1960:N1961)</f>
        <v>24</v>
      </c>
      <c r="O1962" s="2">
        <f>SUBTOTAL(9,O1960:O1961)</f>
        <v>114247.76000000001</v>
      </c>
      <c r="P1962" s="2">
        <f>+O1962/N1962</f>
        <v>4760.3233333333337</v>
      </c>
    </row>
    <row r="1963" spans="1:16" outlineLevel="2" x14ac:dyDescent="0.2">
      <c r="A1963" s="5">
        <v>46097</v>
      </c>
      <c r="B1963" s="2">
        <v>157828</v>
      </c>
      <c r="C1963" s="2">
        <v>1</v>
      </c>
      <c r="D1963" s="2" t="s">
        <v>38</v>
      </c>
      <c r="E1963" s="2" t="s">
        <v>39</v>
      </c>
      <c r="F1963" s="2" t="s">
        <v>63</v>
      </c>
      <c r="G1963" s="2" t="s">
        <v>22</v>
      </c>
      <c r="H1963" s="2" t="s">
        <v>23</v>
      </c>
      <c r="I1963" s="2" t="s">
        <v>243</v>
      </c>
      <c r="J1963" s="2">
        <v>1</v>
      </c>
      <c r="K1963" s="2" t="s">
        <v>24</v>
      </c>
      <c r="L1963" s="2">
        <v>2586</v>
      </c>
      <c r="M1963" s="2" t="s">
        <v>65</v>
      </c>
      <c r="N1963" s="2">
        <v>68</v>
      </c>
      <c r="O1963" s="2">
        <v>5512706.5199999996</v>
      </c>
      <c r="P1963" s="2">
        <v>81069.210000000006</v>
      </c>
    </row>
    <row r="1964" spans="1:16" outlineLevel="2" x14ac:dyDescent="0.2">
      <c r="A1964" s="5">
        <v>46097</v>
      </c>
      <c r="B1964" s="2">
        <v>157828</v>
      </c>
      <c r="C1964" s="2">
        <v>2</v>
      </c>
      <c r="D1964" s="2" t="s">
        <v>38</v>
      </c>
      <c r="E1964" s="2" t="s">
        <v>39</v>
      </c>
      <c r="F1964" s="2" t="s">
        <v>63</v>
      </c>
      <c r="G1964" s="2" t="s">
        <v>22</v>
      </c>
      <c r="H1964" s="2" t="s">
        <v>23</v>
      </c>
      <c r="I1964" s="2" t="s">
        <v>116</v>
      </c>
      <c r="J1964" s="2">
        <v>1</v>
      </c>
      <c r="K1964" s="2" t="s">
        <v>24</v>
      </c>
      <c r="L1964" s="2">
        <v>2586</v>
      </c>
      <c r="M1964" s="2" t="s">
        <v>65</v>
      </c>
      <c r="N1964" s="2">
        <v>467</v>
      </c>
      <c r="O1964" s="2">
        <v>40206083.710000001</v>
      </c>
      <c r="P1964" s="2">
        <v>86094.399999999994</v>
      </c>
    </row>
    <row r="1965" spans="1:16" outlineLevel="2" x14ac:dyDescent="0.2">
      <c r="A1965" s="5">
        <v>46097</v>
      </c>
      <c r="B1965" s="2">
        <v>157828</v>
      </c>
      <c r="C1965" s="2">
        <v>3</v>
      </c>
      <c r="D1965" s="2" t="s">
        <v>38</v>
      </c>
      <c r="E1965" s="2" t="s">
        <v>39</v>
      </c>
      <c r="F1965" s="2" t="s">
        <v>63</v>
      </c>
      <c r="G1965" s="2" t="s">
        <v>22</v>
      </c>
      <c r="H1965" s="2" t="s">
        <v>23</v>
      </c>
      <c r="I1965" s="2" t="s">
        <v>135</v>
      </c>
      <c r="J1965" s="2">
        <v>1</v>
      </c>
      <c r="K1965" s="2" t="s">
        <v>24</v>
      </c>
      <c r="L1965" s="2">
        <v>2586</v>
      </c>
      <c r="M1965" s="2" t="s">
        <v>65</v>
      </c>
      <c r="N1965" s="2">
        <v>440</v>
      </c>
      <c r="O1965" s="2">
        <v>38062178.600000001</v>
      </c>
      <c r="P1965" s="2">
        <v>86504.95</v>
      </c>
    </row>
    <row r="1966" spans="1:16" outlineLevel="2" x14ac:dyDescent="0.2">
      <c r="A1966" s="5">
        <v>46097</v>
      </c>
      <c r="B1966" s="2">
        <v>157828</v>
      </c>
      <c r="C1966" s="2">
        <v>4</v>
      </c>
      <c r="D1966" s="2" t="s">
        <v>38</v>
      </c>
      <c r="E1966" s="2" t="s">
        <v>39</v>
      </c>
      <c r="F1966" s="2" t="s">
        <v>63</v>
      </c>
      <c r="G1966" s="2" t="s">
        <v>22</v>
      </c>
      <c r="H1966" s="2" t="s">
        <v>23</v>
      </c>
      <c r="I1966" s="2" t="s">
        <v>133</v>
      </c>
      <c r="J1966" s="2">
        <v>1</v>
      </c>
      <c r="K1966" s="2" t="s">
        <v>24</v>
      </c>
      <c r="L1966" s="2">
        <v>2586</v>
      </c>
      <c r="M1966" s="2" t="s">
        <v>65</v>
      </c>
      <c r="N1966" s="2">
        <v>528</v>
      </c>
      <c r="O1966" s="2">
        <v>38209157.109999999</v>
      </c>
      <c r="P1966" s="2">
        <v>72365.83</v>
      </c>
    </row>
    <row r="1967" spans="1:16" outlineLevel="2" x14ac:dyDescent="0.2">
      <c r="A1967" s="5">
        <v>46097</v>
      </c>
      <c r="B1967" s="2">
        <v>157828</v>
      </c>
      <c r="C1967" s="2">
        <v>5</v>
      </c>
      <c r="D1967" s="2" t="s">
        <v>38</v>
      </c>
      <c r="E1967" s="2" t="s">
        <v>39</v>
      </c>
      <c r="F1967" s="2" t="s">
        <v>63</v>
      </c>
      <c r="G1967" s="2" t="s">
        <v>22</v>
      </c>
      <c r="H1967" s="2" t="s">
        <v>23</v>
      </c>
      <c r="I1967" s="2" t="s">
        <v>23</v>
      </c>
      <c r="J1967" s="2">
        <v>124</v>
      </c>
      <c r="K1967" s="2" t="s">
        <v>155</v>
      </c>
      <c r="L1967" s="2">
        <v>2586</v>
      </c>
      <c r="M1967" s="2" t="s">
        <v>65</v>
      </c>
      <c r="N1967" s="2">
        <v>60</v>
      </c>
      <c r="O1967" s="2">
        <v>5358859.8</v>
      </c>
      <c r="P1967" s="2">
        <v>89314.33</v>
      </c>
    </row>
    <row r="1968" spans="1:16" outlineLevel="2" x14ac:dyDescent="0.2">
      <c r="A1968" s="5">
        <v>46099</v>
      </c>
      <c r="B1968" s="2">
        <v>157829</v>
      </c>
      <c r="C1968" s="2">
        <v>1</v>
      </c>
      <c r="D1968" s="2" t="s">
        <v>38</v>
      </c>
      <c r="E1968" s="2" t="s">
        <v>39</v>
      </c>
      <c r="F1968" s="2" t="s">
        <v>63</v>
      </c>
      <c r="G1968" s="2" t="s">
        <v>22</v>
      </c>
      <c r="H1968" s="2" t="s">
        <v>23</v>
      </c>
      <c r="I1968" s="2" t="s">
        <v>243</v>
      </c>
      <c r="J1968" s="2">
        <v>1</v>
      </c>
      <c r="K1968" s="2" t="s">
        <v>24</v>
      </c>
      <c r="L1968" s="2">
        <v>1846</v>
      </c>
      <c r="M1968" s="2" t="s">
        <v>134</v>
      </c>
      <c r="N1968" s="2">
        <v>88</v>
      </c>
      <c r="O1968" s="2">
        <v>7122014.5899999999</v>
      </c>
      <c r="P1968" s="2">
        <v>80931.98</v>
      </c>
    </row>
    <row r="1969" spans="1:16" outlineLevel="2" x14ac:dyDescent="0.2">
      <c r="A1969" s="5">
        <v>46099</v>
      </c>
      <c r="B1969" s="2">
        <v>157829</v>
      </c>
      <c r="C1969" s="2">
        <v>2</v>
      </c>
      <c r="D1969" s="2" t="s">
        <v>38</v>
      </c>
      <c r="E1969" s="2" t="s">
        <v>39</v>
      </c>
      <c r="F1969" s="2" t="s">
        <v>63</v>
      </c>
      <c r="G1969" s="2" t="s">
        <v>22</v>
      </c>
      <c r="H1969" s="2" t="s">
        <v>23</v>
      </c>
      <c r="I1969" s="2" t="s">
        <v>116</v>
      </c>
      <c r="J1969" s="2">
        <v>1</v>
      </c>
      <c r="K1969" s="2" t="s">
        <v>24</v>
      </c>
      <c r="L1969" s="2">
        <v>1846</v>
      </c>
      <c r="M1969" s="2" t="s">
        <v>134</v>
      </c>
      <c r="N1969" s="2">
        <v>176</v>
      </c>
      <c r="O1969" s="2">
        <v>15124722.65</v>
      </c>
      <c r="P1969" s="2">
        <v>85935.92</v>
      </c>
    </row>
    <row r="1970" spans="1:16" outlineLevel="2" x14ac:dyDescent="0.2">
      <c r="A1970" s="5">
        <v>46101</v>
      </c>
      <c r="B1970" s="2">
        <v>157829</v>
      </c>
      <c r="C1970" s="2">
        <v>3</v>
      </c>
      <c r="D1970" s="2" t="s">
        <v>38</v>
      </c>
      <c r="E1970" s="2" t="s">
        <v>39</v>
      </c>
      <c r="F1970" s="2" t="s">
        <v>63</v>
      </c>
      <c r="G1970" s="2" t="s">
        <v>22</v>
      </c>
      <c r="H1970" s="2" t="s">
        <v>23</v>
      </c>
      <c r="I1970" s="2" t="s">
        <v>135</v>
      </c>
      <c r="J1970" s="2">
        <v>1</v>
      </c>
      <c r="K1970" s="2" t="s">
        <v>24</v>
      </c>
      <c r="L1970" s="2">
        <v>1846</v>
      </c>
      <c r="M1970" s="2" t="s">
        <v>134</v>
      </c>
      <c r="N1970" s="2">
        <v>232</v>
      </c>
      <c r="O1970" s="2">
        <v>20121658.449999999</v>
      </c>
      <c r="P1970" s="2">
        <v>86731.29</v>
      </c>
    </row>
    <row r="1971" spans="1:16" outlineLevel="2" x14ac:dyDescent="0.2">
      <c r="A1971" s="5">
        <v>46101</v>
      </c>
      <c r="B1971" s="2">
        <v>157829</v>
      </c>
      <c r="C1971" s="2">
        <v>5</v>
      </c>
      <c r="D1971" s="2" t="s">
        <v>38</v>
      </c>
      <c r="E1971" s="2" t="s">
        <v>39</v>
      </c>
      <c r="F1971" s="2" t="s">
        <v>63</v>
      </c>
      <c r="G1971" s="2" t="s">
        <v>22</v>
      </c>
      <c r="H1971" s="2" t="s">
        <v>23</v>
      </c>
      <c r="I1971" s="2" t="s">
        <v>23</v>
      </c>
      <c r="J1971" s="2">
        <v>1</v>
      </c>
      <c r="K1971" s="2" t="s">
        <v>24</v>
      </c>
      <c r="L1971" s="2">
        <v>1846</v>
      </c>
      <c r="M1971" s="2" t="s">
        <v>134</v>
      </c>
      <c r="N1971" s="2">
        <v>73</v>
      </c>
      <c r="O1971" s="2">
        <v>5457693.2599999998</v>
      </c>
      <c r="P1971" s="2">
        <v>74762.92</v>
      </c>
    </row>
    <row r="1972" spans="1:16" outlineLevel="2" x14ac:dyDescent="0.2">
      <c r="A1972" s="5">
        <v>46105</v>
      </c>
      <c r="B1972" s="2">
        <v>157830</v>
      </c>
      <c r="C1972" s="2">
        <v>1</v>
      </c>
      <c r="D1972" s="2" t="s">
        <v>38</v>
      </c>
      <c r="E1972" s="2" t="s">
        <v>39</v>
      </c>
      <c r="F1972" s="2" t="s">
        <v>40</v>
      </c>
      <c r="G1972" s="2" t="s">
        <v>41</v>
      </c>
      <c r="H1972" s="2" t="s">
        <v>23</v>
      </c>
      <c r="I1972" s="2" t="s">
        <v>410</v>
      </c>
      <c r="J1972" s="2">
        <v>40</v>
      </c>
      <c r="K1972" s="2" t="s">
        <v>43</v>
      </c>
      <c r="L1972" s="2">
        <v>2579</v>
      </c>
      <c r="M1972" s="2" t="s">
        <v>44</v>
      </c>
      <c r="N1972" s="2">
        <v>191</v>
      </c>
      <c r="O1972" s="2">
        <v>5891078.29</v>
      </c>
      <c r="P1972" s="2">
        <v>30843.34</v>
      </c>
    </row>
    <row r="1973" spans="1:16" outlineLevel="2" x14ac:dyDescent="0.2">
      <c r="A1973" s="5">
        <v>46105</v>
      </c>
      <c r="B1973" s="2">
        <v>157830</v>
      </c>
      <c r="C1973" s="2">
        <v>2</v>
      </c>
      <c r="D1973" s="2" t="s">
        <v>38</v>
      </c>
      <c r="E1973" s="2" t="s">
        <v>39</v>
      </c>
      <c r="F1973" s="2" t="s">
        <v>40</v>
      </c>
      <c r="G1973" s="2" t="s">
        <v>41</v>
      </c>
      <c r="H1973" s="2" t="s">
        <v>23</v>
      </c>
      <c r="I1973" s="2" t="s">
        <v>334</v>
      </c>
      <c r="J1973" s="2">
        <v>40</v>
      </c>
      <c r="K1973" s="2" t="s">
        <v>43</v>
      </c>
      <c r="L1973" s="2">
        <v>2579</v>
      </c>
      <c r="M1973" s="2" t="s">
        <v>44</v>
      </c>
      <c r="N1973" s="2">
        <v>192</v>
      </c>
      <c r="O1973" s="2">
        <v>6446337.1399999997</v>
      </c>
      <c r="P1973" s="2">
        <v>33574.67</v>
      </c>
    </row>
    <row r="1974" spans="1:16" outlineLevel="2" x14ac:dyDescent="0.2">
      <c r="A1974" s="5">
        <v>46114</v>
      </c>
      <c r="B1974" s="2">
        <v>157830</v>
      </c>
      <c r="C1974" s="2">
        <v>3</v>
      </c>
      <c r="D1974" s="2" t="s">
        <v>38</v>
      </c>
      <c r="E1974" s="2" t="s">
        <v>39</v>
      </c>
      <c r="F1974" s="2" t="s">
        <v>40</v>
      </c>
      <c r="G1974" s="2" t="s">
        <v>41</v>
      </c>
      <c r="H1974" s="2" t="s">
        <v>23</v>
      </c>
      <c r="I1974" s="2" t="s">
        <v>124</v>
      </c>
      <c r="J1974" s="2">
        <v>40</v>
      </c>
      <c r="K1974" s="2" t="s">
        <v>43</v>
      </c>
      <c r="L1974" s="2">
        <v>2579</v>
      </c>
      <c r="M1974" s="2" t="s">
        <v>44</v>
      </c>
      <c r="N1974" s="2">
        <v>105</v>
      </c>
      <c r="O1974" s="2">
        <v>1561066.46</v>
      </c>
      <c r="P1974" s="2">
        <v>14867.3</v>
      </c>
    </row>
    <row r="1975" spans="1:16" outlineLevel="2" x14ac:dyDescent="0.2">
      <c r="A1975" s="5">
        <v>46122</v>
      </c>
      <c r="B1975" s="2">
        <v>157830</v>
      </c>
      <c r="C1975" s="2">
        <v>4</v>
      </c>
      <c r="D1975" s="2" t="s">
        <v>38</v>
      </c>
      <c r="E1975" s="2" t="s">
        <v>39</v>
      </c>
      <c r="F1975" s="2" t="s">
        <v>40</v>
      </c>
      <c r="G1975" s="2" t="s">
        <v>22</v>
      </c>
      <c r="H1975" s="2" t="s">
        <v>23</v>
      </c>
      <c r="I1975" s="2" t="s">
        <v>42</v>
      </c>
      <c r="J1975" s="2">
        <v>40</v>
      </c>
      <c r="K1975" s="2" t="s">
        <v>43</v>
      </c>
      <c r="L1975" s="2">
        <v>2579</v>
      </c>
      <c r="M1975" s="2" t="s">
        <v>44</v>
      </c>
      <c r="N1975" s="2">
        <v>214</v>
      </c>
      <c r="O1975" s="2">
        <v>1994537.8</v>
      </c>
      <c r="P1975" s="2">
        <v>9320.27</v>
      </c>
    </row>
    <row r="1976" spans="1:16" outlineLevel="2" x14ac:dyDescent="0.2">
      <c r="A1976" s="5">
        <v>46111</v>
      </c>
      <c r="B1976" s="2">
        <v>157830</v>
      </c>
      <c r="C1976" s="2">
        <v>6</v>
      </c>
      <c r="D1976" s="2" t="s">
        <v>38</v>
      </c>
      <c r="E1976" s="2" t="s">
        <v>39</v>
      </c>
      <c r="F1976" s="2" t="s">
        <v>40</v>
      </c>
      <c r="G1976" s="2" t="s">
        <v>41</v>
      </c>
      <c r="H1976" s="2" t="s">
        <v>23</v>
      </c>
      <c r="I1976" s="2" t="s">
        <v>395</v>
      </c>
      <c r="J1976" s="2">
        <v>40</v>
      </c>
      <c r="K1976" s="2" t="s">
        <v>43</v>
      </c>
      <c r="L1976" s="2">
        <v>2579</v>
      </c>
      <c r="M1976" s="2" t="s">
        <v>44</v>
      </c>
      <c r="N1976" s="2">
        <v>60</v>
      </c>
      <c r="O1976" s="2">
        <v>567146.15</v>
      </c>
      <c r="P1976" s="2">
        <v>9452.44</v>
      </c>
    </row>
    <row r="1977" spans="1:16" outlineLevel="2" x14ac:dyDescent="0.2">
      <c r="A1977" s="5">
        <v>46101</v>
      </c>
      <c r="B1977" s="2">
        <v>157831</v>
      </c>
      <c r="C1977" s="2">
        <v>1</v>
      </c>
      <c r="D1977" s="2" t="s">
        <v>38</v>
      </c>
      <c r="E1977" s="2" t="s">
        <v>39</v>
      </c>
      <c r="F1977" s="2" t="s">
        <v>40</v>
      </c>
      <c r="G1977" s="2" t="s">
        <v>41</v>
      </c>
      <c r="H1977" s="2" t="s">
        <v>23</v>
      </c>
      <c r="I1977" s="2" t="s">
        <v>124</v>
      </c>
      <c r="J1977" s="2">
        <v>40</v>
      </c>
      <c r="K1977" s="2" t="s">
        <v>43</v>
      </c>
      <c r="L1977" s="2">
        <v>2579</v>
      </c>
      <c r="M1977" s="2" t="s">
        <v>44</v>
      </c>
      <c r="N1977" s="2">
        <v>197</v>
      </c>
      <c r="O1977" s="2">
        <v>4616547.2300000004</v>
      </c>
      <c r="P1977" s="2">
        <v>23434.25</v>
      </c>
    </row>
    <row r="1978" spans="1:16" outlineLevel="2" x14ac:dyDescent="0.2">
      <c r="A1978" s="5">
        <v>46108</v>
      </c>
      <c r="B1978" s="2">
        <v>157831</v>
      </c>
      <c r="C1978" s="2">
        <v>2</v>
      </c>
      <c r="D1978" s="2" t="s">
        <v>38</v>
      </c>
      <c r="E1978" s="2" t="s">
        <v>39</v>
      </c>
      <c r="F1978" s="2" t="s">
        <v>40</v>
      </c>
      <c r="G1978" s="2" t="s">
        <v>22</v>
      </c>
      <c r="H1978" s="2" t="s">
        <v>23</v>
      </c>
      <c r="I1978" s="2" t="s">
        <v>42</v>
      </c>
      <c r="J1978" s="2">
        <v>40</v>
      </c>
      <c r="K1978" s="2" t="s">
        <v>43</v>
      </c>
      <c r="L1978" s="2">
        <v>2579</v>
      </c>
      <c r="M1978" s="2" t="s">
        <v>44</v>
      </c>
      <c r="N1978" s="2">
        <v>400</v>
      </c>
      <c r="O1978" s="2">
        <v>3856811.25</v>
      </c>
      <c r="P1978" s="2">
        <v>9642.0300000000007</v>
      </c>
    </row>
    <row r="1979" spans="1:16" outlineLevel="2" x14ac:dyDescent="0.2">
      <c r="A1979" s="5">
        <v>46101</v>
      </c>
      <c r="B1979" s="2">
        <v>157831</v>
      </c>
      <c r="C1979" s="2">
        <v>3</v>
      </c>
      <c r="D1979" s="2" t="s">
        <v>38</v>
      </c>
      <c r="E1979" s="2" t="s">
        <v>39</v>
      </c>
      <c r="F1979" s="2" t="s">
        <v>40</v>
      </c>
      <c r="G1979" s="2" t="s">
        <v>41</v>
      </c>
      <c r="H1979" s="2" t="s">
        <v>23</v>
      </c>
      <c r="I1979" s="2" t="s">
        <v>395</v>
      </c>
      <c r="J1979" s="2">
        <v>40</v>
      </c>
      <c r="K1979" s="2" t="s">
        <v>43</v>
      </c>
      <c r="L1979" s="2">
        <v>2579</v>
      </c>
      <c r="M1979" s="2" t="s">
        <v>44</v>
      </c>
      <c r="N1979" s="2">
        <v>641</v>
      </c>
      <c r="O1979" s="2">
        <v>2644127.38</v>
      </c>
      <c r="P1979" s="2">
        <v>4125</v>
      </c>
    </row>
    <row r="1980" spans="1:16" outlineLevel="1" x14ac:dyDescent="0.2">
      <c r="A1980" s="5"/>
      <c r="D1980" s="3" t="s">
        <v>721</v>
      </c>
      <c r="N1980" s="2">
        <f>SUBTOTAL(9,N1963:N1979)</f>
        <v>4132</v>
      </c>
      <c r="O1980" s="2">
        <f>SUBTOTAL(9,O1963:O1979)</f>
        <v>202752726.38999999</v>
      </c>
      <c r="P1980" s="2">
        <f>+O1980/N1980</f>
        <v>49068.907645208128</v>
      </c>
    </row>
    <row r="1981" spans="1:16" outlineLevel="2" x14ac:dyDescent="0.2">
      <c r="A1981" s="5">
        <v>46097</v>
      </c>
      <c r="B1981" s="2">
        <v>157833</v>
      </c>
      <c r="C1981" s="2">
        <v>1</v>
      </c>
      <c r="D1981" s="2" t="s">
        <v>160</v>
      </c>
      <c r="E1981" s="2" t="s">
        <v>222</v>
      </c>
      <c r="F1981" s="2" t="s">
        <v>40</v>
      </c>
      <c r="G1981" s="2" t="s">
        <v>22</v>
      </c>
      <c r="H1981" s="2" t="s">
        <v>23</v>
      </c>
      <c r="I1981" s="2" t="s">
        <v>23</v>
      </c>
      <c r="J1981" s="2">
        <v>1</v>
      </c>
      <c r="K1981" s="2" t="s">
        <v>24</v>
      </c>
      <c r="L1981" s="2">
        <v>2521</v>
      </c>
      <c r="M1981" s="2" t="s">
        <v>82</v>
      </c>
      <c r="N1981" s="2">
        <v>180</v>
      </c>
      <c r="O1981" s="2">
        <v>2976606.51</v>
      </c>
      <c r="P1981" s="2">
        <v>16536.7</v>
      </c>
    </row>
    <row r="1982" spans="1:16" outlineLevel="1" x14ac:dyDescent="0.2">
      <c r="A1982" s="5"/>
      <c r="D1982" s="3" t="s">
        <v>709</v>
      </c>
      <c r="N1982" s="2">
        <f>SUBTOTAL(9,N1981:N1981)</f>
        <v>180</v>
      </c>
      <c r="O1982" s="2">
        <f>SUBTOTAL(9,O1981:O1981)</f>
        <v>2976606.51</v>
      </c>
      <c r="P1982" s="2">
        <f>+O1982/N1982</f>
        <v>16536.702833333333</v>
      </c>
    </row>
    <row r="1983" spans="1:16" outlineLevel="2" x14ac:dyDescent="0.2">
      <c r="A1983" s="5">
        <v>46097</v>
      </c>
      <c r="B1983" s="2">
        <v>157833</v>
      </c>
      <c r="C1983" s="2">
        <v>2</v>
      </c>
      <c r="D1983" s="2" t="s">
        <v>131</v>
      </c>
      <c r="E1983" s="2" t="s">
        <v>132</v>
      </c>
      <c r="F1983" s="2" t="s">
        <v>40</v>
      </c>
      <c r="G1983" s="2" t="s">
        <v>22</v>
      </c>
      <c r="H1983" s="2" t="s">
        <v>23</v>
      </c>
      <c r="I1983" s="2" t="s">
        <v>23</v>
      </c>
      <c r="J1983" s="2">
        <v>1</v>
      </c>
      <c r="K1983" s="2" t="s">
        <v>24</v>
      </c>
      <c r="L1983" s="2">
        <v>2521</v>
      </c>
      <c r="M1983" s="2" t="s">
        <v>82</v>
      </c>
      <c r="N1983" s="2">
        <v>226</v>
      </c>
      <c r="O1983" s="2">
        <v>9238279.1899999995</v>
      </c>
      <c r="P1983" s="2">
        <v>40877.339999999997</v>
      </c>
    </row>
    <row r="1984" spans="1:16" outlineLevel="1" x14ac:dyDescent="0.2">
      <c r="A1984" s="5"/>
      <c r="D1984" s="3" t="s">
        <v>713</v>
      </c>
      <c r="N1984" s="2">
        <f>SUBTOTAL(9,N1983:N1983)</f>
        <v>226</v>
      </c>
      <c r="O1984" s="2">
        <f>SUBTOTAL(9,O1983:O1983)</f>
        <v>9238279.1899999995</v>
      </c>
      <c r="P1984" s="2">
        <f>+O1984/N1984</f>
        <v>40877.341548672564</v>
      </c>
    </row>
    <row r="1985" spans="1:16" outlineLevel="2" x14ac:dyDescent="0.2">
      <c r="A1985" s="5">
        <v>46097</v>
      </c>
      <c r="B1985" s="2">
        <v>157833</v>
      </c>
      <c r="C1985" s="2">
        <v>3</v>
      </c>
      <c r="D1985" s="2" t="s">
        <v>81</v>
      </c>
      <c r="E1985" s="2" t="s">
        <v>23</v>
      </c>
      <c r="F1985" s="2" t="s">
        <v>40</v>
      </c>
      <c r="G1985" s="2" t="s">
        <v>22</v>
      </c>
      <c r="H1985" s="2" t="s">
        <v>23</v>
      </c>
      <c r="I1985" s="2" t="s">
        <v>23</v>
      </c>
      <c r="J1985" s="2">
        <v>1</v>
      </c>
      <c r="K1985" s="2" t="s">
        <v>24</v>
      </c>
      <c r="L1985" s="2">
        <v>2521</v>
      </c>
      <c r="M1985" s="2" t="s">
        <v>82</v>
      </c>
      <c r="N1985" s="2">
        <v>144</v>
      </c>
      <c r="O1985" s="2">
        <v>5818671.3099999996</v>
      </c>
      <c r="P1985" s="2">
        <v>40407.440000000002</v>
      </c>
    </row>
    <row r="1986" spans="1:16" outlineLevel="1" x14ac:dyDescent="0.2">
      <c r="A1986" s="5"/>
      <c r="D1986" s="3" t="s">
        <v>693</v>
      </c>
      <c r="N1986" s="2">
        <f>SUBTOTAL(9,N1985:N1985)</f>
        <v>144</v>
      </c>
      <c r="O1986" s="2">
        <f>SUBTOTAL(9,O1985:O1985)</f>
        <v>5818671.3099999996</v>
      </c>
      <c r="P1986" s="2">
        <f>+O1986/N1986</f>
        <v>40407.439652777772</v>
      </c>
    </row>
    <row r="1987" spans="1:16" outlineLevel="2" x14ac:dyDescent="0.2">
      <c r="A1987" s="5">
        <v>46097</v>
      </c>
      <c r="B1987" s="2">
        <v>157834</v>
      </c>
      <c r="C1987" s="2">
        <v>1</v>
      </c>
      <c r="D1987" s="2" t="s">
        <v>197</v>
      </c>
      <c r="E1987" s="2" t="s">
        <v>198</v>
      </c>
      <c r="F1987" s="2" t="s">
        <v>199</v>
      </c>
      <c r="G1987" s="2" t="s">
        <v>22</v>
      </c>
      <c r="H1987" s="2" t="s">
        <v>23</v>
      </c>
      <c r="I1987" s="2" t="s">
        <v>23</v>
      </c>
      <c r="J1987" s="2">
        <v>2</v>
      </c>
      <c r="K1987" s="2" t="s">
        <v>48</v>
      </c>
      <c r="L1987" s="2">
        <v>182</v>
      </c>
      <c r="M1987" s="2" t="s">
        <v>263</v>
      </c>
      <c r="N1987" s="2">
        <v>204</v>
      </c>
      <c r="O1987" s="2">
        <v>3753253.73</v>
      </c>
      <c r="P1987" s="2">
        <v>18398.3</v>
      </c>
    </row>
    <row r="1988" spans="1:16" outlineLevel="1" x14ac:dyDescent="0.2">
      <c r="A1988" s="5"/>
      <c r="D1988" s="3" t="s">
        <v>734</v>
      </c>
      <c r="N1988" s="2">
        <f>SUBTOTAL(9,N1987:N1987)</f>
        <v>204</v>
      </c>
      <c r="O1988" s="2">
        <f>SUBTOTAL(9,O1987:O1987)</f>
        <v>3753253.73</v>
      </c>
      <c r="P1988" s="2">
        <f>+O1988/N1988</f>
        <v>18398.302598039216</v>
      </c>
    </row>
    <row r="1989" spans="1:16" outlineLevel="2" x14ac:dyDescent="0.2">
      <c r="A1989" s="5">
        <v>46099</v>
      </c>
      <c r="B1989" s="2">
        <v>157837</v>
      </c>
      <c r="C1989" s="2">
        <v>1</v>
      </c>
      <c r="D1989" s="2" t="s">
        <v>413</v>
      </c>
      <c r="E1989" s="2" t="s">
        <v>284</v>
      </c>
      <c r="F1989" s="2" t="s">
        <v>199</v>
      </c>
      <c r="G1989" s="2" t="s">
        <v>22</v>
      </c>
      <c r="H1989" s="2" t="s">
        <v>23</v>
      </c>
      <c r="I1989" s="2" t="s">
        <v>23</v>
      </c>
      <c r="J1989" s="2">
        <v>2</v>
      </c>
      <c r="K1989" s="2" t="s">
        <v>48</v>
      </c>
      <c r="L1989" s="2">
        <v>155</v>
      </c>
      <c r="M1989" s="2" t="s">
        <v>328</v>
      </c>
      <c r="N1989" s="2">
        <v>203</v>
      </c>
      <c r="O1989" s="2">
        <v>3550435.77</v>
      </c>
      <c r="P1989" s="2">
        <v>17489.830000000002</v>
      </c>
    </row>
    <row r="1990" spans="1:16" outlineLevel="1" x14ac:dyDescent="0.2">
      <c r="A1990" s="5"/>
      <c r="D1990" s="3" t="s">
        <v>771</v>
      </c>
      <c r="N1990" s="2">
        <f>SUBTOTAL(9,N1989:N1989)</f>
        <v>203</v>
      </c>
      <c r="O1990" s="2">
        <f>SUBTOTAL(9,O1989:O1989)</f>
        <v>3550435.77</v>
      </c>
      <c r="P1990" s="2">
        <f>+O1990/N1990</f>
        <v>17489.831379310344</v>
      </c>
    </row>
    <row r="1991" spans="1:16" outlineLevel="2" x14ac:dyDescent="0.2">
      <c r="A1991" s="5">
        <v>46101</v>
      </c>
      <c r="B1991" s="2">
        <v>157855</v>
      </c>
      <c r="C1991" s="2">
        <v>1</v>
      </c>
      <c r="D1991" s="2" t="s">
        <v>197</v>
      </c>
      <c r="E1991" s="2" t="s">
        <v>284</v>
      </c>
      <c r="F1991" s="2" t="s">
        <v>23</v>
      </c>
      <c r="G1991" s="2" t="s">
        <v>23</v>
      </c>
      <c r="H1991" s="2" t="s">
        <v>23</v>
      </c>
      <c r="I1991" s="2" t="s">
        <v>23</v>
      </c>
      <c r="J1991" s="2">
        <v>1</v>
      </c>
      <c r="K1991" s="2" t="s">
        <v>24</v>
      </c>
      <c r="L1991" s="2">
        <v>3003</v>
      </c>
      <c r="M1991" s="2" t="s">
        <v>414</v>
      </c>
      <c r="N1991" s="2">
        <v>61</v>
      </c>
      <c r="O1991" s="2">
        <v>1008978.91</v>
      </c>
      <c r="P1991" s="2">
        <v>16540.64</v>
      </c>
    </row>
    <row r="1992" spans="1:16" outlineLevel="1" x14ac:dyDescent="0.2">
      <c r="A1992" s="5"/>
      <c r="D1992" s="3" t="s">
        <v>734</v>
      </c>
      <c r="N1992" s="2">
        <f>SUBTOTAL(9,N1991:N1991)</f>
        <v>61</v>
      </c>
      <c r="O1992" s="2">
        <f>SUBTOTAL(9,O1991:O1991)</f>
        <v>1008978.91</v>
      </c>
      <c r="P1992" s="2">
        <f>+O1992/N1992</f>
        <v>16540.63786885246</v>
      </c>
    </row>
    <row r="1993" spans="1:16" outlineLevel="2" x14ac:dyDescent="0.2">
      <c r="A1993" s="5">
        <v>46122</v>
      </c>
      <c r="B1993" s="2">
        <v>157858</v>
      </c>
      <c r="C1993" s="2">
        <v>3</v>
      </c>
      <c r="D1993" s="2" t="s">
        <v>29</v>
      </c>
      <c r="E1993" s="2" t="s">
        <v>316</v>
      </c>
      <c r="F1993" s="2" t="s">
        <v>31</v>
      </c>
      <c r="G1993" s="2" t="s">
        <v>55</v>
      </c>
      <c r="H1993" s="2" t="s">
        <v>23</v>
      </c>
      <c r="I1993" s="2" t="s">
        <v>23</v>
      </c>
      <c r="J1993" s="2">
        <v>1</v>
      </c>
      <c r="K1993" s="2" t="s">
        <v>24</v>
      </c>
      <c r="L1993" s="2">
        <v>25177</v>
      </c>
      <c r="M1993" s="2" t="s">
        <v>32</v>
      </c>
      <c r="N1993" s="2">
        <v>62</v>
      </c>
      <c r="O1993" s="2">
        <v>85821.28</v>
      </c>
      <c r="P1993" s="2">
        <v>1384.21</v>
      </c>
    </row>
    <row r="1994" spans="1:16" outlineLevel="2" x14ac:dyDescent="0.2">
      <c r="A1994" s="5">
        <v>46108</v>
      </c>
      <c r="B1994" s="2">
        <v>157858</v>
      </c>
      <c r="C1994" s="2">
        <v>4</v>
      </c>
      <c r="D1994" s="2" t="s">
        <v>29</v>
      </c>
      <c r="E1994" s="2" t="s">
        <v>55</v>
      </c>
      <c r="F1994" s="2" t="s">
        <v>23</v>
      </c>
      <c r="G1994" s="2" t="s">
        <v>23</v>
      </c>
      <c r="H1994" s="2" t="s">
        <v>23</v>
      </c>
      <c r="I1994" s="2" t="s">
        <v>23</v>
      </c>
      <c r="J1994" s="2">
        <v>1</v>
      </c>
      <c r="K1994" s="2" t="s">
        <v>24</v>
      </c>
      <c r="L1994" s="2">
        <v>25177</v>
      </c>
      <c r="M1994" s="2" t="s">
        <v>32</v>
      </c>
      <c r="N1994" s="2">
        <v>23</v>
      </c>
      <c r="O1994" s="2">
        <v>79072.850000000006</v>
      </c>
      <c r="P1994" s="2">
        <v>3437.95</v>
      </c>
    </row>
    <row r="1995" spans="1:16" outlineLevel="2" x14ac:dyDescent="0.2">
      <c r="A1995" s="5">
        <v>46108</v>
      </c>
      <c r="B1995" s="2">
        <v>157858</v>
      </c>
      <c r="C1995" s="2">
        <v>5</v>
      </c>
      <c r="D1995" s="2" t="s">
        <v>29</v>
      </c>
      <c r="E1995" s="2" t="s">
        <v>55</v>
      </c>
      <c r="F1995" s="2" t="s">
        <v>23</v>
      </c>
      <c r="G1995" s="2" t="s">
        <v>23</v>
      </c>
      <c r="H1995" s="2" t="s">
        <v>23</v>
      </c>
      <c r="I1995" s="2" t="s">
        <v>23</v>
      </c>
      <c r="J1995" s="2">
        <v>1</v>
      </c>
      <c r="K1995" s="2" t="s">
        <v>24</v>
      </c>
      <c r="L1995" s="2">
        <v>25177</v>
      </c>
      <c r="M1995" s="2" t="s">
        <v>32</v>
      </c>
      <c r="N1995" s="2">
        <v>50</v>
      </c>
      <c r="O1995" s="2">
        <v>171897.5</v>
      </c>
      <c r="P1995" s="2">
        <v>3437.95</v>
      </c>
    </row>
    <row r="1996" spans="1:16" outlineLevel="2" x14ac:dyDescent="0.2">
      <c r="A1996" s="5">
        <v>46122</v>
      </c>
      <c r="B1996" s="2">
        <v>157858</v>
      </c>
      <c r="C1996" s="2">
        <v>6</v>
      </c>
      <c r="D1996" s="2" t="s">
        <v>29</v>
      </c>
      <c r="E1996" s="2" t="s">
        <v>55</v>
      </c>
      <c r="F1996" s="2" t="s">
        <v>23</v>
      </c>
      <c r="G1996" s="2" t="s">
        <v>23</v>
      </c>
      <c r="H1996" s="2" t="s">
        <v>23</v>
      </c>
      <c r="I1996" s="2" t="s">
        <v>23</v>
      </c>
      <c r="J1996" s="2">
        <v>1</v>
      </c>
      <c r="K1996" s="2" t="s">
        <v>24</v>
      </c>
      <c r="L1996" s="2">
        <v>25177</v>
      </c>
      <c r="M1996" s="2" t="s">
        <v>32</v>
      </c>
      <c r="N1996" s="2">
        <v>97</v>
      </c>
      <c r="O1996" s="2">
        <v>219001.04</v>
      </c>
      <c r="P1996" s="2">
        <v>2257.7399999999998</v>
      </c>
    </row>
    <row r="1997" spans="1:16" outlineLevel="1" x14ac:dyDescent="0.2">
      <c r="A1997" s="5"/>
      <c r="D1997" s="3" t="s">
        <v>703</v>
      </c>
      <c r="N1997" s="2">
        <f>SUBTOTAL(9,N1993:N1996)</f>
        <v>232</v>
      </c>
      <c r="O1997" s="2">
        <f>SUBTOTAL(9,O1993:O1996)</f>
        <v>555792.67000000004</v>
      </c>
      <c r="P1997" s="2">
        <f>+O1997/N1997</f>
        <v>2395.6580603448278</v>
      </c>
    </row>
    <row r="1998" spans="1:16" outlineLevel="2" x14ac:dyDescent="0.2">
      <c r="A1998" s="5">
        <v>46101</v>
      </c>
      <c r="B1998" s="2">
        <v>157862</v>
      </c>
      <c r="C1998" s="2">
        <v>2</v>
      </c>
      <c r="D1998" s="2" t="s">
        <v>338</v>
      </c>
      <c r="E1998" s="2" t="s">
        <v>23</v>
      </c>
      <c r="F1998" s="2" t="s">
        <v>289</v>
      </c>
      <c r="G1998" s="2" t="s">
        <v>22</v>
      </c>
      <c r="H1998" s="2" t="s">
        <v>23</v>
      </c>
      <c r="I1998" s="2" t="s">
        <v>23</v>
      </c>
      <c r="J1998" s="2">
        <v>46</v>
      </c>
      <c r="K1998" s="2" t="s">
        <v>392</v>
      </c>
      <c r="L1998" s="2">
        <v>759</v>
      </c>
      <c r="M1998" s="2" t="s">
        <v>415</v>
      </c>
      <c r="N1998" s="2">
        <v>948</v>
      </c>
      <c r="O1998" s="2">
        <v>39850.74</v>
      </c>
      <c r="P1998" s="2">
        <v>42.04</v>
      </c>
    </row>
    <row r="1999" spans="1:16" outlineLevel="1" x14ac:dyDescent="0.2">
      <c r="A1999" s="5"/>
      <c r="D1999" s="3" t="s">
        <v>754</v>
      </c>
      <c r="N1999" s="2">
        <f>SUBTOTAL(9,N1998:N1998)</f>
        <v>948</v>
      </c>
      <c r="O1999" s="2">
        <f>SUBTOTAL(9,O1998:O1998)</f>
        <v>39850.74</v>
      </c>
      <c r="P1999" s="2">
        <f>+O1999/N1999</f>
        <v>42.036645569620248</v>
      </c>
    </row>
    <row r="2000" spans="1:16" outlineLevel="2" x14ac:dyDescent="0.2">
      <c r="A2000" s="5">
        <v>46153</v>
      </c>
      <c r="B2000" s="2">
        <v>157864</v>
      </c>
      <c r="C2000" s="2">
        <v>315</v>
      </c>
      <c r="D2000" s="2" t="s">
        <v>203</v>
      </c>
      <c r="E2000" s="2" t="s">
        <v>125</v>
      </c>
      <c r="F2000" s="2" t="s">
        <v>55</v>
      </c>
      <c r="G2000" s="2" t="s">
        <v>23</v>
      </c>
      <c r="H2000" s="2" t="s">
        <v>23</v>
      </c>
      <c r="I2000" s="2" t="s">
        <v>23</v>
      </c>
      <c r="J2000" s="2">
        <v>2</v>
      </c>
      <c r="K2000" s="2" t="s">
        <v>48</v>
      </c>
      <c r="L2000" s="2">
        <v>25221</v>
      </c>
      <c r="M2000" s="2" t="s">
        <v>383</v>
      </c>
      <c r="N2000" s="2">
        <v>13</v>
      </c>
      <c r="O2000" s="2">
        <v>56747.47</v>
      </c>
      <c r="P2000" s="2">
        <v>4365.1899999999996</v>
      </c>
    </row>
    <row r="2001" spans="1:16" outlineLevel="1" x14ac:dyDescent="0.2">
      <c r="A2001" s="5"/>
      <c r="D2001" s="3" t="s">
        <v>735</v>
      </c>
      <c r="N2001" s="2">
        <f>SUBTOTAL(9,N2000:N2000)</f>
        <v>13</v>
      </c>
      <c r="O2001" s="2">
        <f>SUBTOTAL(9,O2000:O2000)</f>
        <v>56747.47</v>
      </c>
      <c r="P2001" s="2">
        <f>+O2001/N2001</f>
        <v>4365.1900000000005</v>
      </c>
    </row>
    <row r="2002" spans="1:16" outlineLevel="2" x14ac:dyDescent="0.2">
      <c r="A2002" s="5">
        <v>46101</v>
      </c>
      <c r="B2002" s="2">
        <v>157868</v>
      </c>
      <c r="C2002" s="2">
        <v>301</v>
      </c>
      <c r="D2002" s="2" t="s">
        <v>110</v>
      </c>
      <c r="E2002" s="2" t="s">
        <v>111</v>
      </c>
      <c r="F2002" s="2" t="s">
        <v>55</v>
      </c>
      <c r="G2002" s="2" t="s">
        <v>23</v>
      </c>
      <c r="H2002" s="2" t="s">
        <v>23</v>
      </c>
      <c r="I2002" s="2" t="s">
        <v>23</v>
      </c>
      <c r="J2002" s="2">
        <v>1</v>
      </c>
      <c r="K2002" s="2" t="s">
        <v>24</v>
      </c>
      <c r="L2002" s="2">
        <v>600</v>
      </c>
      <c r="M2002" s="2" t="s">
        <v>112</v>
      </c>
      <c r="N2002" s="2">
        <v>4</v>
      </c>
      <c r="O2002" s="2">
        <v>6284.32</v>
      </c>
      <c r="P2002" s="2">
        <v>1571.08</v>
      </c>
    </row>
    <row r="2003" spans="1:16" outlineLevel="1" x14ac:dyDescent="0.2">
      <c r="A2003" s="5"/>
      <c r="D2003" s="3" t="s">
        <v>697</v>
      </c>
      <c r="N2003" s="2">
        <f>SUBTOTAL(9,N2002:N2002)</f>
        <v>4</v>
      </c>
      <c r="O2003" s="2">
        <f>SUBTOTAL(9,O2002:O2002)</f>
        <v>6284.32</v>
      </c>
      <c r="P2003" s="2">
        <f>+O2003/N2003</f>
        <v>1571.08</v>
      </c>
    </row>
    <row r="2004" spans="1:16" outlineLevel="2" x14ac:dyDescent="0.2">
      <c r="A2004" s="5">
        <v>46099</v>
      </c>
      <c r="B2004" s="2">
        <v>157886</v>
      </c>
      <c r="C2004" s="2">
        <v>1</v>
      </c>
      <c r="D2004" s="2" t="s">
        <v>140</v>
      </c>
      <c r="E2004" s="2" t="s">
        <v>141</v>
      </c>
      <c r="F2004" s="2" t="s">
        <v>108</v>
      </c>
      <c r="G2004" s="2" t="s">
        <v>22</v>
      </c>
      <c r="H2004" s="2" t="s">
        <v>23</v>
      </c>
      <c r="I2004" s="2" t="s">
        <v>23</v>
      </c>
      <c r="J2004" s="2">
        <v>1</v>
      </c>
      <c r="K2004" s="2" t="s">
        <v>24</v>
      </c>
      <c r="L2004" s="2">
        <v>1833</v>
      </c>
      <c r="M2004" s="2" t="s">
        <v>142</v>
      </c>
      <c r="N2004" s="2">
        <v>20</v>
      </c>
      <c r="O2004" s="2">
        <v>644644.89</v>
      </c>
      <c r="P2004" s="2">
        <v>32232.240000000002</v>
      </c>
    </row>
    <row r="2005" spans="1:16" outlineLevel="1" x14ac:dyDescent="0.2">
      <c r="A2005" s="5"/>
      <c r="D2005" s="3" t="s">
        <v>696</v>
      </c>
      <c r="N2005" s="2">
        <f>SUBTOTAL(9,N2004:N2004)</f>
        <v>20</v>
      </c>
      <c r="O2005" s="2">
        <f>SUBTOTAL(9,O2004:O2004)</f>
        <v>644644.89</v>
      </c>
      <c r="P2005" s="2">
        <f>+O2005/N2005</f>
        <v>32232.244500000001</v>
      </c>
    </row>
    <row r="2006" spans="1:16" outlineLevel="2" x14ac:dyDescent="0.2">
      <c r="A2006" s="5">
        <v>46099</v>
      </c>
      <c r="B2006" s="2">
        <v>157887</v>
      </c>
      <c r="C2006" s="2">
        <v>1</v>
      </c>
      <c r="D2006" s="2" t="s">
        <v>207</v>
      </c>
      <c r="E2006" s="2" t="s">
        <v>23</v>
      </c>
      <c r="F2006" s="2" t="s">
        <v>47</v>
      </c>
      <c r="G2006" s="2" t="s">
        <v>22</v>
      </c>
      <c r="H2006" s="2" t="s">
        <v>208</v>
      </c>
      <c r="I2006" s="2" t="s">
        <v>23</v>
      </c>
      <c r="J2006" s="2">
        <v>41</v>
      </c>
      <c r="K2006" s="2" t="s">
        <v>129</v>
      </c>
      <c r="L2006" s="2">
        <v>25213</v>
      </c>
      <c r="M2006" s="2" t="s">
        <v>130</v>
      </c>
      <c r="N2006" s="2">
        <v>46</v>
      </c>
      <c r="O2006" s="2">
        <v>163186.32999999999</v>
      </c>
      <c r="P2006" s="2">
        <v>3547.53</v>
      </c>
    </row>
    <row r="2007" spans="1:16" outlineLevel="2" x14ac:dyDescent="0.2">
      <c r="A2007" s="5">
        <v>46099</v>
      </c>
      <c r="B2007" s="2">
        <v>157887</v>
      </c>
      <c r="C2007" s="2">
        <v>2</v>
      </c>
      <c r="D2007" s="2" t="s">
        <v>207</v>
      </c>
      <c r="E2007" s="2" t="s">
        <v>23</v>
      </c>
      <c r="F2007" s="2" t="s">
        <v>47</v>
      </c>
      <c r="G2007" s="2" t="s">
        <v>22</v>
      </c>
      <c r="H2007" s="2" t="s">
        <v>209</v>
      </c>
      <c r="I2007" s="2" t="s">
        <v>23</v>
      </c>
      <c r="J2007" s="2">
        <v>41</v>
      </c>
      <c r="K2007" s="2" t="s">
        <v>129</v>
      </c>
      <c r="L2007" s="2">
        <v>25213</v>
      </c>
      <c r="M2007" s="2" t="s">
        <v>130</v>
      </c>
      <c r="N2007" s="2">
        <v>25</v>
      </c>
      <c r="O2007" s="2">
        <v>76427.87</v>
      </c>
      <c r="P2007" s="2">
        <v>3057.11</v>
      </c>
    </row>
    <row r="2008" spans="1:16" outlineLevel="1" x14ac:dyDescent="0.2">
      <c r="A2008" s="5"/>
      <c r="D2008" s="3" t="s">
        <v>699</v>
      </c>
      <c r="N2008" s="2">
        <f>SUBTOTAL(9,N2006:N2007)</f>
        <v>71</v>
      </c>
      <c r="O2008" s="2">
        <f>SUBTOTAL(9,O2006:O2007)</f>
        <v>239614.19999999998</v>
      </c>
      <c r="P2008" s="2">
        <f>+O2008/N2008</f>
        <v>3374.8478873239433</v>
      </c>
    </row>
    <row r="2009" spans="1:16" outlineLevel="2" x14ac:dyDescent="0.2">
      <c r="A2009" s="5">
        <v>46099</v>
      </c>
      <c r="B2009" s="2">
        <v>157887</v>
      </c>
      <c r="C2009" s="2">
        <v>3</v>
      </c>
      <c r="D2009" s="2" t="s">
        <v>128</v>
      </c>
      <c r="E2009" s="2" t="s">
        <v>23</v>
      </c>
      <c r="F2009" s="2" t="s">
        <v>47</v>
      </c>
      <c r="G2009" s="2" t="s">
        <v>22</v>
      </c>
      <c r="H2009" s="2" t="s">
        <v>23</v>
      </c>
      <c r="I2009" s="2" t="s">
        <v>23</v>
      </c>
      <c r="J2009" s="2">
        <v>41</v>
      </c>
      <c r="K2009" s="2" t="s">
        <v>129</v>
      </c>
      <c r="L2009" s="2">
        <v>25213</v>
      </c>
      <c r="M2009" s="2" t="s">
        <v>130</v>
      </c>
      <c r="N2009" s="2">
        <v>50</v>
      </c>
      <c r="O2009" s="2">
        <v>176969.68</v>
      </c>
      <c r="P2009" s="2">
        <v>3539.39</v>
      </c>
    </row>
    <row r="2010" spans="1:16" outlineLevel="1" x14ac:dyDescent="0.2">
      <c r="A2010" s="5"/>
      <c r="D2010" s="3" t="s">
        <v>732</v>
      </c>
      <c r="N2010" s="2">
        <f>SUBTOTAL(9,N2009:N2009)</f>
        <v>50</v>
      </c>
      <c r="O2010" s="2">
        <f>SUBTOTAL(9,O2009:O2009)</f>
        <v>176969.68</v>
      </c>
      <c r="P2010" s="2">
        <f>+O2010/N2010</f>
        <v>3539.3935999999999</v>
      </c>
    </row>
    <row r="2011" spans="1:16" outlineLevel="2" x14ac:dyDescent="0.2">
      <c r="A2011" s="5">
        <v>46099</v>
      </c>
      <c r="B2011" s="2">
        <v>157888</v>
      </c>
      <c r="C2011" s="2">
        <v>1</v>
      </c>
      <c r="D2011" s="2" t="s">
        <v>226</v>
      </c>
      <c r="E2011" s="2" t="s">
        <v>151</v>
      </c>
      <c r="F2011" s="2" t="s">
        <v>47</v>
      </c>
      <c r="G2011" s="2" t="s">
        <v>22</v>
      </c>
      <c r="H2011" s="2" t="s">
        <v>23</v>
      </c>
      <c r="I2011" s="2" t="s">
        <v>23</v>
      </c>
      <c r="J2011" s="2">
        <v>2</v>
      </c>
      <c r="K2011" s="2" t="s">
        <v>48</v>
      </c>
      <c r="L2011" s="2">
        <v>1964</v>
      </c>
      <c r="M2011" s="2" t="s">
        <v>49</v>
      </c>
      <c r="N2011" s="2">
        <v>15</v>
      </c>
      <c r="O2011" s="2">
        <v>149580.45000000001</v>
      </c>
      <c r="P2011" s="2">
        <v>9972.0300000000007</v>
      </c>
    </row>
    <row r="2012" spans="1:16" outlineLevel="2" x14ac:dyDescent="0.2">
      <c r="A2012" s="5">
        <v>46099</v>
      </c>
      <c r="B2012" s="2">
        <v>157888</v>
      </c>
      <c r="C2012" s="2">
        <v>2</v>
      </c>
      <c r="D2012" s="2" t="s">
        <v>226</v>
      </c>
      <c r="E2012" s="2" t="s">
        <v>67</v>
      </c>
      <c r="F2012" s="2" t="s">
        <v>47</v>
      </c>
      <c r="G2012" s="2" t="s">
        <v>22</v>
      </c>
      <c r="H2012" s="2" t="s">
        <v>23</v>
      </c>
      <c r="I2012" s="2" t="s">
        <v>23</v>
      </c>
      <c r="J2012" s="2">
        <v>2</v>
      </c>
      <c r="K2012" s="2" t="s">
        <v>48</v>
      </c>
      <c r="L2012" s="2">
        <v>1964</v>
      </c>
      <c r="M2012" s="2" t="s">
        <v>49</v>
      </c>
      <c r="N2012" s="2">
        <v>5</v>
      </c>
      <c r="O2012" s="2">
        <v>41459.19</v>
      </c>
      <c r="P2012" s="2">
        <v>8291.84</v>
      </c>
    </row>
    <row r="2013" spans="1:16" outlineLevel="1" x14ac:dyDescent="0.2">
      <c r="A2013" s="5"/>
      <c r="D2013" s="3" t="s">
        <v>736</v>
      </c>
      <c r="N2013" s="2">
        <f>SUBTOTAL(9,N2011:N2012)</f>
        <v>20</v>
      </c>
      <c r="O2013" s="2">
        <f>SUBTOTAL(9,O2011:O2012)</f>
        <v>191039.64</v>
      </c>
      <c r="P2013" s="2">
        <f>+O2013/N2013</f>
        <v>9551.982</v>
      </c>
    </row>
    <row r="2014" spans="1:16" outlineLevel="2" x14ac:dyDescent="0.2">
      <c r="A2014" s="5">
        <v>46099</v>
      </c>
      <c r="B2014" s="2">
        <v>157888</v>
      </c>
      <c r="C2014" s="2">
        <v>3</v>
      </c>
      <c r="D2014" s="2" t="s">
        <v>45</v>
      </c>
      <c r="E2014" s="2" t="s">
        <v>228</v>
      </c>
      <c r="F2014" s="2" t="s">
        <v>47</v>
      </c>
      <c r="G2014" s="2" t="s">
        <v>22</v>
      </c>
      <c r="H2014" s="2" t="s">
        <v>23</v>
      </c>
      <c r="I2014" s="2" t="s">
        <v>23</v>
      </c>
      <c r="J2014" s="2">
        <v>41</v>
      </c>
      <c r="K2014" s="2" t="s">
        <v>129</v>
      </c>
      <c r="L2014" s="2">
        <v>1964</v>
      </c>
      <c r="M2014" s="2" t="s">
        <v>49</v>
      </c>
      <c r="N2014" s="2">
        <v>41</v>
      </c>
      <c r="O2014" s="2">
        <v>670216.01</v>
      </c>
      <c r="P2014" s="2">
        <v>16346.73</v>
      </c>
    </row>
    <row r="2015" spans="1:16" outlineLevel="1" x14ac:dyDescent="0.2">
      <c r="A2015" s="5"/>
      <c r="D2015" s="3" t="s">
        <v>733</v>
      </c>
      <c r="N2015" s="2">
        <f>SUBTOTAL(9,N2014:N2014)</f>
        <v>41</v>
      </c>
      <c r="O2015" s="2">
        <f>SUBTOTAL(9,O2014:O2014)</f>
        <v>670216.01</v>
      </c>
      <c r="P2015" s="2">
        <f>+O2015/N2015</f>
        <v>16346.731951219512</v>
      </c>
    </row>
    <row r="2016" spans="1:16" outlineLevel="2" x14ac:dyDescent="0.2">
      <c r="A2016" s="5">
        <v>46099</v>
      </c>
      <c r="B2016" s="2">
        <v>157888</v>
      </c>
      <c r="C2016" s="2">
        <v>4</v>
      </c>
      <c r="D2016" s="2" t="s">
        <v>226</v>
      </c>
      <c r="E2016" s="2" t="s">
        <v>227</v>
      </c>
      <c r="F2016" s="2" t="s">
        <v>47</v>
      </c>
      <c r="G2016" s="2" t="s">
        <v>22</v>
      </c>
      <c r="H2016" s="2" t="s">
        <v>23</v>
      </c>
      <c r="I2016" s="2" t="s">
        <v>23</v>
      </c>
      <c r="J2016" s="2">
        <v>41</v>
      </c>
      <c r="K2016" s="2" t="s">
        <v>129</v>
      </c>
      <c r="L2016" s="2">
        <v>1964</v>
      </c>
      <c r="M2016" s="2" t="s">
        <v>49</v>
      </c>
      <c r="N2016" s="2">
        <v>64</v>
      </c>
      <c r="O2016" s="2">
        <v>1436596.24</v>
      </c>
      <c r="P2016" s="2">
        <v>22446.82</v>
      </c>
    </row>
    <row r="2017" spans="1:16" outlineLevel="1" x14ac:dyDescent="0.2">
      <c r="A2017" s="5"/>
      <c r="D2017" s="3" t="s">
        <v>736</v>
      </c>
      <c r="N2017" s="2">
        <f>SUBTOTAL(9,N2016:N2016)</f>
        <v>64</v>
      </c>
      <c r="O2017" s="2">
        <f>SUBTOTAL(9,O2016:O2016)</f>
        <v>1436596.24</v>
      </c>
      <c r="P2017" s="2">
        <f>+O2017/N2017</f>
        <v>22446.81625</v>
      </c>
    </row>
    <row r="2018" spans="1:16" outlineLevel="2" x14ac:dyDescent="0.2">
      <c r="A2018" s="5">
        <v>46099</v>
      </c>
      <c r="B2018" s="2">
        <v>157888</v>
      </c>
      <c r="C2018" s="2">
        <v>5</v>
      </c>
      <c r="D2018" s="2" t="s">
        <v>45</v>
      </c>
      <c r="E2018" s="2" t="s">
        <v>227</v>
      </c>
      <c r="F2018" s="2" t="s">
        <v>47</v>
      </c>
      <c r="G2018" s="2" t="s">
        <v>22</v>
      </c>
      <c r="H2018" s="2" t="s">
        <v>23</v>
      </c>
      <c r="I2018" s="2" t="s">
        <v>23</v>
      </c>
      <c r="J2018" s="2">
        <v>41</v>
      </c>
      <c r="K2018" s="2" t="s">
        <v>129</v>
      </c>
      <c r="L2018" s="2">
        <v>1964</v>
      </c>
      <c r="M2018" s="2" t="s">
        <v>49</v>
      </c>
      <c r="N2018" s="2">
        <v>59</v>
      </c>
      <c r="O2018" s="2">
        <v>908131.22</v>
      </c>
      <c r="P2018" s="2">
        <v>15392.05</v>
      </c>
    </row>
    <row r="2019" spans="1:16" outlineLevel="1" x14ac:dyDescent="0.2">
      <c r="A2019" s="5"/>
      <c r="D2019" s="3" t="s">
        <v>733</v>
      </c>
      <c r="N2019" s="2">
        <f>SUBTOTAL(9,N2018:N2018)</f>
        <v>59</v>
      </c>
      <c r="O2019" s="2">
        <f>SUBTOTAL(9,O2018:O2018)</f>
        <v>908131.22</v>
      </c>
      <c r="P2019" s="2">
        <f>+O2019/N2019</f>
        <v>15392.054576271186</v>
      </c>
    </row>
    <row r="2020" spans="1:16" outlineLevel="2" x14ac:dyDescent="0.2">
      <c r="A2020" s="5">
        <v>46099</v>
      </c>
      <c r="B2020" s="2">
        <v>157892</v>
      </c>
      <c r="C2020" s="2">
        <v>1</v>
      </c>
      <c r="D2020" s="2" t="s">
        <v>416</v>
      </c>
      <c r="E2020" s="2" t="s">
        <v>23</v>
      </c>
      <c r="F2020" s="2" t="s">
        <v>47</v>
      </c>
      <c r="G2020" s="2" t="s">
        <v>22</v>
      </c>
      <c r="H2020" s="2" t="s">
        <v>23</v>
      </c>
      <c r="I2020" s="2" t="s">
        <v>23</v>
      </c>
      <c r="J2020" s="2">
        <v>86</v>
      </c>
      <c r="K2020" s="2" t="s">
        <v>73</v>
      </c>
      <c r="L2020" s="2">
        <v>2338</v>
      </c>
      <c r="M2020" s="2" t="s">
        <v>417</v>
      </c>
      <c r="N2020" s="2">
        <v>15</v>
      </c>
      <c r="O2020" s="2">
        <v>555922.18000000005</v>
      </c>
      <c r="P2020" s="2">
        <v>37061.480000000003</v>
      </c>
    </row>
    <row r="2021" spans="1:16" outlineLevel="1" x14ac:dyDescent="0.2">
      <c r="A2021" s="5"/>
      <c r="D2021" s="3" t="s">
        <v>772</v>
      </c>
      <c r="N2021" s="2">
        <f>SUBTOTAL(9,N2020:N2020)</f>
        <v>15</v>
      </c>
      <c r="O2021" s="2">
        <f>SUBTOTAL(9,O2020:O2020)</f>
        <v>555922.18000000005</v>
      </c>
      <c r="P2021" s="2">
        <f>+O2021/N2021</f>
        <v>37061.47866666667</v>
      </c>
    </row>
    <row r="2022" spans="1:16" outlineLevel="2" x14ac:dyDescent="0.2">
      <c r="A2022" s="5">
        <v>46100</v>
      </c>
      <c r="B2022" s="2">
        <v>157893</v>
      </c>
      <c r="C2022" s="2">
        <v>1</v>
      </c>
      <c r="D2022" s="2" t="s">
        <v>83</v>
      </c>
      <c r="E2022" s="2" t="s">
        <v>348</v>
      </c>
      <c r="F2022" s="2" t="s">
        <v>55</v>
      </c>
      <c r="G2022" s="2" t="s">
        <v>23</v>
      </c>
      <c r="H2022" s="2" t="s">
        <v>23</v>
      </c>
      <c r="I2022" s="2" t="s">
        <v>23</v>
      </c>
      <c r="J2022" s="2">
        <v>1</v>
      </c>
      <c r="K2022" s="2" t="s">
        <v>24</v>
      </c>
      <c r="L2022" s="2">
        <v>2353</v>
      </c>
      <c r="M2022" s="2" t="s">
        <v>347</v>
      </c>
      <c r="N2022" s="2">
        <v>11</v>
      </c>
      <c r="O2022" s="2">
        <v>357987.07</v>
      </c>
      <c r="P2022" s="2">
        <v>32544.28</v>
      </c>
    </row>
    <row r="2023" spans="1:16" outlineLevel="1" x14ac:dyDescent="0.2">
      <c r="A2023" s="5"/>
      <c r="D2023" s="3" t="s">
        <v>701</v>
      </c>
      <c r="N2023" s="2">
        <f>SUBTOTAL(9,N2022:N2022)</f>
        <v>11</v>
      </c>
      <c r="O2023" s="2">
        <f>SUBTOTAL(9,O2022:O2022)</f>
        <v>357987.07</v>
      </c>
      <c r="P2023" s="2">
        <f>+O2023/N2023</f>
        <v>32544.279090909091</v>
      </c>
    </row>
    <row r="2024" spans="1:16" outlineLevel="2" x14ac:dyDescent="0.2">
      <c r="A2024" s="5">
        <v>46108</v>
      </c>
      <c r="B2024" s="2">
        <v>157895</v>
      </c>
      <c r="C2024" s="2">
        <v>315</v>
      </c>
      <c r="D2024" s="2" t="s">
        <v>54</v>
      </c>
      <c r="E2024" s="2" t="s">
        <v>30</v>
      </c>
      <c r="F2024" s="2" t="s">
        <v>55</v>
      </c>
      <c r="G2024" s="2" t="s">
        <v>23</v>
      </c>
      <c r="H2024" s="2" t="s">
        <v>23</v>
      </c>
      <c r="I2024" s="2" t="s">
        <v>23</v>
      </c>
      <c r="J2024" s="2">
        <v>2</v>
      </c>
      <c r="K2024" s="2" t="s">
        <v>48</v>
      </c>
      <c r="L2024" s="2">
        <v>1964</v>
      </c>
      <c r="M2024" s="2" t="s">
        <v>49</v>
      </c>
      <c r="N2024" s="2">
        <v>3</v>
      </c>
      <c r="O2024" s="2">
        <v>13114.17</v>
      </c>
      <c r="P2024" s="2">
        <v>4371.3900000000003</v>
      </c>
    </row>
    <row r="2025" spans="1:16" outlineLevel="2" x14ac:dyDescent="0.2">
      <c r="A2025" s="5">
        <v>46101</v>
      </c>
      <c r="B2025" s="2">
        <v>157898</v>
      </c>
      <c r="C2025" s="2">
        <v>300</v>
      </c>
      <c r="D2025" s="2" t="s">
        <v>54</v>
      </c>
      <c r="E2025" s="2" t="s">
        <v>20</v>
      </c>
      <c r="F2025" s="2" t="s">
        <v>55</v>
      </c>
      <c r="G2025" s="2" t="s">
        <v>23</v>
      </c>
      <c r="H2025" s="2" t="s">
        <v>23</v>
      </c>
      <c r="I2025" s="2" t="s">
        <v>23</v>
      </c>
      <c r="J2025" s="2">
        <v>1</v>
      </c>
      <c r="K2025" s="2" t="s">
        <v>24</v>
      </c>
      <c r="L2025" s="2">
        <v>25095</v>
      </c>
      <c r="M2025" s="2" t="s">
        <v>216</v>
      </c>
      <c r="N2025" s="2">
        <v>2</v>
      </c>
      <c r="O2025" s="2">
        <v>8742.7800000000007</v>
      </c>
      <c r="P2025" s="2">
        <v>4371.3900000000003</v>
      </c>
    </row>
    <row r="2026" spans="1:16" outlineLevel="2" x14ac:dyDescent="0.2">
      <c r="A2026" s="5">
        <v>46101</v>
      </c>
      <c r="B2026" s="2">
        <v>157900</v>
      </c>
      <c r="C2026" s="2">
        <v>315</v>
      </c>
      <c r="D2026" s="2" t="s">
        <v>54</v>
      </c>
      <c r="E2026" s="2" t="s">
        <v>20</v>
      </c>
      <c r="F2026" s="2" t="s">
        <v>55</v>
      </c>
      <c r="G2026" s="2" t="s">
        <v>23</v>
      </c>
      <c r="H2026" s="2" t="s">
        <v>23</v>
      </c>
      <c r="I2026" s="2" t="s">
        <v>23</v>
      </c>
      <c r="J2026" s="2">
        <v>1</v>
      </c>
      <c r="K2026" s="2" t="s">
        <v>24</v>
      </c>
      <c r="L2026" s="2">
        <v>25095</v>
      </c>
      <c r="M2026" s="2" t="s">
        <v>216</v>
      </c>
      <c r="N2026" s="2">
        <v>3</v>
      </c>
      <c r="O2026" s="2">
        <v>13114.17</v>
      </c>
      <c r="P2026" s="2">
        <v>4371.3900000000003</v>
      </c>
    </row>
    <row r="2027" spans="1:16" outlineLevel="1" x14ac:dyDescent="0.2">
      <c r="A2027" s="5"/>
      <c r="D2027" s="3" t="s">
        <v>719</v>
      </c>
      <c r="N2027" s="2">
        <f>SUBTOTAL(9,N2024:N2026)</f>
        <v>8</v>
      </c>
      <c r="O2027" s="2">
        <f>SUBTOTAL(9,O2024:O2026)</f>
        <v>34971.120000000003</v>
      </c>
      <c r="P2027" s="2">
        <f>+O2027/N2027</f>
        <v>4371.3900000000003</v>
      </c>
    </row>
    <row r="2028" spans="1:16" outlineLevel="2" x14ac:dyDescent="0.2">
      <c r="A2028" s="5">
        <v>46099</v>
      </c>
      <c r="B2028" s="2">
        <v>157903</v>
      </c>
      <c r="C2028" s="2">
        <v>1</v>
      </c>
      <c r="D2028" s="2" t="s">
        <v>38</v>
      </c>
      <c r="E2028" s="2" t="s">
        <v>39</v>
      </c>
      <c r="F2028" s="2" t="s">
        <v>21</v>
      </c>
      <c r="G2028" s="2" t="s">
        <v>22</v>
      </c>
      <c r="H2028" s="2" t="s">
        <v>23</v>
      </c>
      <c r="I2028" s="2" t="s">
        <v>135</v>
      </c>
      <c r="J2028" s="2">
        <v>1</v>
      </c>
      <c r="K2028" s="2" t="s">
        <v>24</v>
      </c>
      <c r="L2028" s="2">
        <v>25186</v>
      </c>
      <c r="M2028" s="2" t="s">
        <v>418</v>
      </c>
      <c r="N2028" s="2">
        <v>354</v>
      </c>
      <c r="O2028" s="2">
        <v>13705514.35</v>
      </c>
      <c r="P2028" s="2">
        <v>38716.14</v>
      </c>
    </row>
    <row r="2029" spans="1:16" outlineLevel="2" x14ac:dyDescent="0.2">
      <c r="A2029" s="5">
        <v>46099</v>
      </c>
      <c r="B2029" s="2">
        <v>157903</v>
      </c>
      <c r="C2029" s="2">
        <v>2</v>
      </c>
      <c r="D2029" s="2" t="s">
        <v>38</v>
      </c>
      <c r="E2029" s="2" t="s">
        <v>39</v>
      </c>
      <c r="F2029" s="2" t="s">
        <v>21</v>
      </c>
      <c r="G2029" s="2" t="s">
        <v>22</v>
      </c>
      <c r="H2029" s="2" t="s">
        <v>23</v>
      </c>
      <c r="I2029" s="2" t="s">
        <v>133</v>
      </c>
      <c r="J2029" s="2">
        <v>1</v>
      </c>
      <c r="K2029" s="2" t="s">
        <v>24</v>
      </c>
      <c r="L2029" s="2">
        <v>25186</v>
      </c>
      <c r="M2029" s="2" t="s">
        <v>418</v>
      </c>
      <c r="N2029" s="2">
        <v>108</v>
      </c>
      <c r="O2029" s="2">
        <v>4593746.3600000003</v>
      </c>
      <c r="P2029" s="2">
        <v>42534.69</v>
      </c>
    </row>
    <row r="2030" spans="1:16" outlineLevel="1" x14ac:dyDescent="0.2">
      <c r="A2030" s="5"/>
      <c r="D2030" s="3" t="s">
        <v>721</v>
      </c>
      <c r="N2030" s="2">
        <f>SUBTOTAL(9,N2028:N2029)</f>
        <v>462</v>
      </c>
      <c r="O2030" s="2">
        <f>SUBTOTAL(9,O2028:O2029)</f>
        <v>18299260.710000001</v>
      </c>
      <c r="P2030" s="2">
        <f>+O2030/N2030</f>
        <v>39608.789415584419</v>
      </c>
    </row>
    <row r="2031" spans="1:16" outlineLevel="2" x14ac:dyDescent="0.2">
      <c r="A2031" s="5">
        <v>46176</v>
      </c>
      <c r="B2031" s="2">
        <v>157906</v>
      </c>
      <c r="C2031" s="2">
        <v>315</v>
      </c>
      <c r="D2031" s="2" t="s">
        <v>26</v>
      </c>
      <c r="E2031" s="2" t="s">
        <v>55</v>
      </c>
      <c r="F2031" s="2" t="s">
        <v>23</v>
      </c>
      <c r="G2031" s="2" t="s">
        <v>23</v>
      </c>
      <c r="H2031" s="2" t="s">
        <v>23</v>
      </c>
      <c r="I2031" s="2" t="s">
        <v>23</v>
      </c>
      <c r="J2031" s="2">
        <v>5</v>
      </c>
      <c r="K2031" s="2" t="s">
        <v>27</v>
      </c>
      <c r="L2031" s="2">
        <v>25050</v>
      </c>
      <c r="M2031" s="2" t="s">
        <v>419</v>
      </c>
      <c r="N2031" s="2">
        <v>7</v>
      </c>
      <c r="O2031" s="2">
        <v>27756.01</v>
      </c>
      <c r="P2031" s="2">
        <v>3965.14</v>
      </c>
    </row>
    <row r="2032" spans="1:16" outlineLevel="1" x14ac:dyDescent="0.2">
      <c r="A2032" s="5"/>
      <c r="D2032" s="3" t="s">
        <v>711</v>
      </c>
      <c r="N2032" s="2">
        <f>SUBTOTAL(9,N2031:N2031)</f>
        <v>7</v>
      </c>
      <c r="O2032" s="2">
        <f>SUBTOTAL(9,O2031:O2031)</f>
        <v>27756.01</v>
      </c>
      <c r="P2032" s="2">
        <f>+O2032/N2032</f>
        <v>3965.1442857142856</v>
      </c>
    </row>
    <row r="2033" spans="1:16" outlineLevel="2" x14ac:dyDescent="0.2">
      <c r="A2033" s="5">
        <v>46101</v>
      </c>
      <c r="B2033" s="2">
        <v>157935</v>
      </c>
      <c r="C2033" s="2">
        <v>1</v>
      </c>
      <c r="D2033" s="2" t="s">
        <v>207</v>
      </c>
      <c r="E2033" s="2" t="s">
        <v>23</v>
      </c>
      <c r="F2033" s="2" t="s">
        <v>47</v>
      </c>
      <c r="G2033" s="2" t="s">
        <v>22</v>
      </c>
      <c r="H2033" s="2" t="s">
        <v>23</v>
      </c>
      <c r="I2033" s="2" t="s">
        <v>23</v>
      </c>
      <c r="J2033" s="2">
        <v>1</v>
      </c>
      <c r="K2033" s="2" t="s">
        <v>24</v>
      </c>
      <c r="L2033" s="2">
        <v>25213</v>
      </c>
      <c r="M2033" s="2" t="s">
        <v>130</v>
      </c>
      <c r="N2033" s="2">
        <v>5</v>
      </c>
      <c r="O2033" s="2">
        <v>398966.3</v>
      </c>
      <c r="P2033" s="2">
        <v>79793.259999999995</v>
      </c>
    </row>
    <row r="2034" spans="1:16" outlineLevel="1" x14ac:dyDescent="0.2">
      <c r="A2034" s="5"/>
      <c r="D2034" s="3" t="s">
        <v>699</v>
      </c>
      <c r="N2034" s="2">
        <f>SUBTOTAL(9,N2033:N2033)</f>
        <v>5</v>
      </c>
      <c r="O2034" s="2">
        <f>SUBTOTAL(9,O2033:O2033)</f>
        <v>398966.3</v>
      </c>
      <c r="P2034" s="2">
        <f>+O2034/N2034</f>
        <v>79793.259999999995</v>
      </c>
    </row>
    <row r="2035" spans="1:16" outlineLevel="2" x14ac:dyDescent="0.2">
      <c r="A2035" s="5">
        <v>46101</v>
      </c>
      <c r="B2035" s="2">
        <v>157935</v>
      </c>
      <c r="C2035" s="2">
        <v>2</v>
      </c>
      <c r="D2035" s="2" t="s">
        <v>128</v>
      </c>
      <c r="E2035" s="2" t="s">
        <v>23</v>
      </c>
      <c r="F2035" s="2" t="s">
        <v>47</v>
      </c>
      <c r="G2035" s="2" t="s">
        <v>22</v>
      </c>
      <c r="H2035" s="2" t="s">
        <v>23</v>
      </c>
      <c r="I2035" s="2" t="s">
        <v>23</v>
      </c>
      <c r="J2035" s="2">
        <v>1</v>
      </c>
      <c r="K2035" s="2" t="s">
        <v>24</v>
      </c>
      <c r="L2035" s="2">
        <v>25213</v>
      </c>
      <c r="M2035" s="2" t="s">
        <v>130</v>
      </c>
      <c r="N2035" s="2">
        <v>5</v>
      </c>
      <c r="O2035" s="2">
        <v>437237.3</v>
      </c>
      <c r="P2035" s="2">
        <v>87447.46</v>
      </c>
    </row>
    <row r="2036" spans="1:16" outlineLevel="1" x14ac:dyDescent="0.2">
      <c r="A2036" s="5"/>
      <c r="D2036" s="3" t="s">
        <v>732</v>
      </c>
      <c r="N2036" s="2">
        <f>SUBTOTAL(9,N2035:N2035)</f>
        <v>5</v>
      </c>
      <c r="O2036" s="2">
        <f>SUBTOTAL(9,O2035:O2035)</f>
        <v>437237.3</v>
      </c>
      <c r="P2036" s="2">
        <f>+O2036/N2036</f>
        <v>87447.459999999992</v>
      </c>
    </row>
    <row r="2037" spans="1:16" outlineLevel="2" x14ac:dyDescent="0.2">
      <c r="A2037" s="5">
        <v>46101</v>
      </c>
      <c r="B2037" s="2">
        <v>157936</v>
      </c>
      <c r="C2037" s="2">
        <v>1</v>
      </c>
      <c r="D2037" s="2" t="s">
        <v>140</v>
      </c>
      <c r="E2037" s="2" t="s">
        <v>248</v>
      </c>
      <c r="F2037" s="2" t="s">
        <v>108</v>
      </c>
      <c r="G2037" s="2" t="s">
        <v>22</v>
      </c>
      <c r="H2037" s="2" t="s">
        <v>23</v>
      </c>
      <c r="I2037" s="2" t="s">
        <v>23</v>
      </c>
      <c r="J2037" s="2">
        <v>1</v>
      </c>
      <c r="K2037" s="2" t="s">
        <v>24</v>
      </c>
      <c r="L2037" s="2">
        <v>1833</v>
      </c>
      <c r="M2037" s="2" t="s">
        <v>142</v>
      </c>
      <c r="N2037" s="2">
        <v>10</v>
      </c>
      <c r="O2037" s="2">
        <v>290650.99</v>
      </c>
      <c r="P2037" s="2">
        <v>29065.1</v>
      </c>
    </row>
    <row r="2038" spans="1:16" outlineLevel="1" x14ac:dyDescent="0.2">
      <c r="A2038" s="5"/>
      <c r="D2038" s="3" t="s">
        <v>696</v>
      </c>
      <c r="N2038" s="2">
        <f>SUBTOTAL(9,N2037:N2037)</f>
        <v>10</v>
      </c>
      <c r="O2038" s="2">
        <f>SUBTOTAL(9,O2037:O2037)</f>
        <v>290650.99</v>
      </c>
      <c r="P2038" s="2">
        <f>+O2038/N2038</f>
        <v>29065.098999999998</v>
      </c>
    </row>
    <row r="2039" spans="1:16" outlineLevel="2" x14ac:dyDescent="0.2">
      <c r="A2039" s="5">
        <v>46101</v>
      </c>
      <c r="B2039" s="2">
        <v>157937</v>
      </c>
      <c r="C2039" s="2">
        <v>1</v>
      </c>
      <c r="D2039" s="2" t="s">
        <v>29</v>
      </c>
      <c r="E2039" s="2" t="s">
        <v>420</v>
      </c>
      <c r="F2039" s="2" t="s">
        <v>31</v>
      </c>
      <c r="G2039" s="2" t="s">
        <v>22</v>
      </c>
      <c r="H2039" s="2" t="s">
        <v>23</v>
      </c>
      <c r="I2039" s="2" t="s">
        <v>421</v>
      </c>
      <c r="J2039" s="2">
        <v>1</v>
      </c>
      <c r="K2039" s="2" t="s">
        <v>24</v>
      </c>
      <c r="L2039" s="2">
        <v>226</v>
      </c>
      <c r="M2039" s="2" t="s">
        <v>59</v>
      </c>
      <c r="N2039" s="2">
        <v>104</v>
      </c>
      <c r="O2039" s="2">
        <v>1786447.69</v>
      </c>
      <c r="P2039" s="2">
        <v>17177.38</v>
      </c>
    </row>
    <row r="2040" spans="1:16" outlineLevel="1" x14ac:dyDescent="0.2">
      <c r="A2040" s="5"/>
      <c r="D2040" s="3" t="s">
        <v>703</v>
      </c>
      <c r="N2040" s="2">
        <f>SUBTOTAL(9,N2039:N2039)</f>
        <v>104</v>
      </c>
      <c r="O2040" s="2">
        <f>SUBTOTAL(9,O2039:O2039)</f>
        <v>1786447.69</v>
      </c>
      <c r="P2040" s="2">
        <f>+O2040/N2040</f>
        <v>17177.381634615384</v>
      </c>
    </row>
    <row r="2041" spans="1:16" outlineLevel="2" x14ac:dyDescent="0.2">
      <c r="A2041" s="5">
        <v>46101</v>
      </c>
      <c r="B2041" s="2">
        <v>157937</v>
      </c>
      <c r="C2041" s="2">
        <v>2</v>
      </c>
      <c r="D2041" s="2" t="s">
        <v>336</v>
      </c>
      <c r="E2041" s="2" t="s">
        <v>422</v>
      </c>
      <c r="F2041" s="2" t="s">
        <v>31</v>
      </c>
      <c r="G2041" s="2" t="s">
        <v>340</v>
      </c>
      <c r="H2041" s="2" t="s">
        <v>23</v>
      </c>
      <c r="I2041" s="2" t="s">
        <v>423</v>
      </c>
      <c r="J2041" s="2">
        <v>88</v>
      </c>
      <c r="K2041" s="2" t="s">
        <v>255</v>
      </c>
      <c r="L2041" s="2">
        <v>226</v>
      </c>
      <c r="M2041" s="2" t="s">
        <v>59</v>
      </c>
      <c r="N2041" s="2">
        <v>104</v>
      </c>
      <c r="O2041" s="2">
        <v>3068927.25</v>
      </c>
      <c r="P2041" s="2">
        <v>29508.92</v>
      </c>
    </row>
    <row r="2042" spans="1:16" outlineLevel="2" x14ac:dyDescent="0.2">
      <c r="A2042" s="5">
        <v>46101</v>
      </c>
      <c r="B2042" s="2">
        <v>157937</v>
      </c>
      <c r="C2042" s="2">
        <v>3</v>
      </c>
      <c r="D2042" s="2" t="s">
        <v>336</v>
      </c>
      <c r="E2042" s="2" t="s">
        <v>370</v>
      </c>
      <c r="F2042" s="2" t="s">
        <v>31</v>
      </c>
      <c r="G2042" s="2" t="s">
        <v>340</v>
      </c>
      <c r="H2042" s="2" t="s">
        <v>23</v>
      </c>
      <c r="I2042" s="2" t="s">
        <v>424</v>
      </c>
      <c r="J2042" s="2">
        <v>88</v>
      </c>
      <c r="K2042" s="2" t="s">
        <v>255</v>
      </c>
      <c r="L2042" s="2">
        <v>226</v>
      </c>
      <c r="M2042" s="2" t="s">
        <v>59</v>
      </c>
      <c r="N2042" s="2">
        <v>176</v>
      </c>
      <c r="O2042" s="2">
        <v>6545561.4900000002</v>
      </c>
      <c r="P2042" s="2">
        <v>37190.69</v>
      </c>
    </row>
    <row r="2043" spans="1:16" outlineLevel="2" x14ac:dyDescent="0.2">
      <c r="A2043" s="5">
        <v>46101</v>
      </c>
      <c r="B2043" s="2">
        <v>157937</v>
      </c>
      <c r="C2043" s="2">
        <v>4</v>
      </c>
      <c r="D2043" s="2" t="s">
        <v>336</v>
      </c>
      <c r="E2043" s="2" t="s">
        <v>348</v>
      </c>
      <c r="F2043" s="2" t="s">
        <v>31</v>
      </c>
      <c r="G2043" s="2" t="s">
        <v>340</v>
      </c>
      <c r="H2043" s="2" t="s">
        <v>23</v>
      </c>
      <c r="I2043" s="2" t="s">
        <v>313</v>
      </c>
      <c r="J2043" s="2">
        <v>88</v>
      </c>
      <c r="K2043" s="2" t="s">
        <v>255</v>
      </c>
      <c r="L2043" s="2">
        <v>226</v>
      </c>
      <c r="M2043" s="2" t="s">
        <v>59</v>
      </c>
      <c r="N2043" s="2">
        <v>88</v>
      </c>
      <c r="O2043" s="2">
        <v>2291269.79</v>
      </c>
      <c r="P2043" s="2">
        <v>26037.16</v>
      </c>
    </row>
    <row r="2044" spans="1:16" outlineLevel="1" x14ac:dyDescent="0.2">
      <c r="A2044" s="5"/>
      <c r="D2044" s="3" t="s">
        <v>753</v>
      </c>
      <c r="N2044" s="2">
        <f>SUBTOTAL(9,N2041:N2043)</f>
        <v>368</v>
      </c>
      <c r="O2044" s="2">
        <f>SUBTOTAL(9,O2041:O2043)</f>
        <v>11905758.530000001</v>
      </c>
      <c r="P2044" s="2">
        <f>+O2044/N2044</f>
        <v>32352.604701086959</v>
      </c>
    </row>
    <row r="2045" spans="1:16" outlineLevel="2" x14ac:dyDescent="0.2">
      <c r="A2045" s="5">
        <v>46101</v>
      </c>
      <c r="B2045" s="2">
        <v>157937</v>
      </c>
      <c r="C2045" s="2">
        <v>5</v>
      </c>
      <c r="D2045" s="2" t="s">
        <v>369</v>
      </c>
      <c r="E2045" s="2" t="s">
        <v>370</v>
      </c>
      <c r="F2045" s="2" t="s">
        <v>31</v>
      </c>
      <c r="G2045" s="2" t="s">
        <v>337</v>
      </c>
      <c r="H2045" s="2" t="s">
        <v>23</v>
      </c>
      <c r="I2045" s="2" t="s">
        <v>180</v>
      </c>
      <c r="J2045" s="2">
        <v>1</v>
      </c>
      <c r="K2045" s="2" t="s">
        <v>24</v>
      </c>
      <c r="L2045" s="2">
        <v>226</v>
      </c>
      <c r="M2045" s="2" t="s">
        <v>59</v>
      </c>
      <c r="N2045" s="2">
        <v>104</v>
      </c>
      <c r="O2045" s="2">
        <v>3522838.68</v>
      </c>
      <c r="P2045" s="2">
        <v>33873.449999999997</v>
      </c>
    </row>
    <row r="2046" spans="1:16" outlineLevel="1" x14ac:dyDescent="0.2">
      <c r="A2046" s="5"/>
      <c r="D2046" s="3" t="s">
        <v>765</v>
      </c>
      <c r="N2046" s="2">
        <f>SUBTOTAL(9,N2045:N2045)</f>
        <v>104</v>
      </c>
      <c r="O2046" s="2">
        <f>SUBTOTAL(9,O2045:O2045)</f>
        <v>3522838.68</v>
      </c>
      <c r="P2046" s="2">
        <f>+O2046/N2046</f>
        <v>33873.448846153849</v>
      </c>
    </row>
    <row r="2047" spans="1:16" outlineLevel="2" x14ac:dyDescent="0.2">
      <c r="A2047" s="5">
        <v>46101</v>
      </c>
      <c r="B2047" s="2">
        <v>157938</v>
      </c>
      <c r="C2047" s="2">
        <v>1</v>
      </c>
      <c r="D2047" s="2" t="s">
        <v>45</v>
      </c>
      <c r="E2047" s="2" t="s">
        <v>228</v>
      </c>
      <c r="F2047" s="2" t="s">
        <v>47</v>
      </c>
      <c r="G2047" s="2" t="s">
        <v>22</v>
      </c>
      <c r="H2047" s="2" t="s">
        <v>23</v>
      </c>
      <c r="I2047" s="2" t="s">
        <v>23</v>
      </c>
      <c r="J2047" s="2">
        <v>41</v>
      </c>
      <c r="K2047" s="2" t="s">
        <v>129</v>
      </c>
      <c r="L2047" s="2">
        <v>1964</v>
      </c>
      <c r="M2047" s="2" t="s">
        <v>49</v>
      </c>
      <c r="N2047" s="2">
        <v>38</v>
      </c>
      <c r="O2047" s="2">
        <v>668302.92000000004</v>
      </c>
      <c r="P2047" s="2">
        <v>17586.919999999998</v>
      </c>
    </row>
    <row r="2048" spans="1:16" outlineLevel="1" x14ac:dyDescent="0.2">
      <c r="A2048" s="5"/>
      <c r="D2048" s="3" t="s">
        <v>733</v>
      </c>
      <c r="N2048" s="2">
        <f>SUBTOTAL(9,N2047:N2047)</f>
        <v>38</v>
      </c>
      <c r="O2048" s="2">
        <f>SUBTOTAL(9,O2047:O2047)</f>
        <v>668302.92000000004</v>
      </c>
      <c r="P2048" s="2">
        <f>+O2048/N2048</f>
        <v>17586.918947368424</v>
      </c>
    </row>
    <row r="2049" spans="1:16" outlineLevel="2" x14ac:dyDescent="0.2">
      <c r="A2049" s="5">
        <v>46101</v>
      </c>
      <c r="B2049" s="2">
        <v>157938</v>
      </c>
      <c r="C2049" s="2">
        <v>2</v>
      </c>
      <c r="D2049" s="2" t="s">
        <v>226</v>
      </c>
      <c r="E2049" s="2" t="s">
        <v>227</v>
      </c>
      <c r="F2049" s="2" t="s">
        <v>47</v>
      </c>
      <c r="G2049" s="2" t="s">
        <v>22</v>
      </c>
      <c r="H2049" s="2" t="s">
        <v>23</v>
      </c>
      <c r="I2049" s="2" t="s">
        <v>23</v>
      </c>
      <c r="J2049" s="2">
        <v>41</v>
      </c>
      <c r="K2049" s="2" t="s">
        <v>129</v>
      </c>
      <c r="L2049" s="2">
        <v>1964</v>
      </c>
      <c r="M2049" s="2" t="s">
        <v>49</v>
      </c>
      <c r="N2049" s="2">
        <v>56</v>
      </c>
      <c r="O2049" s="2">
        <v>1273448.1599999999</v>
      </c>
      <c r="P2049" s="2">
        <v>22740.15</v>
      </c>
    </row>
    <row r="2050" spans="1:16" outlineLevel="2" x14ac:dyDescent="0.2">
      <c r="A2050" s="5">
        <v>46101</v>
      </c>
      <c r="B2050" s="2">
        <v>157938</v>
      </c>
      <c r="C2050" s="2">
        <v>3</v>
      </c>
      <c r="D2050" s="2" t="s">
        <v>226</v>
      </c>
      <c r="E2050" s="2" t="s">
        <v>276</v>
      </c>
      <c r="F2050" s="2" t="s">
        <v>47</v>
      </c>
      <c r="G2050" s="2" t="s">
        <v>22</v>
      </c>
      <c r="H2050" s="2" t="s">
        <v>23</v>
      </c>
      <c r="I2050" s="2" t="s">
        <v>23</v>
      </c>
      <c r="J2050" s="2">
        <v>2</v>
      </c>
      <c r="K2050" s="2" t="s">
        <v>48</v>
      </c>
      <c r="L2050" s="2">
        <v>1964</v>
      </c>
      <c r="M2050" s="2" t="s">
        <v>49</v>
      </c>
      <c r="N2050" s="2">
        <v>4</v>
      </c>
      <c r="O2050" s="2">
        <v>39888.1</v>
      </c>
      <c r="P2050" s="2">
        <v>9972.0300000000007</v>
      </c>
    </row>
    <row r="2051" spans="1:16" outlineLevel="1" x14ac:dyDescent="0.2">
      <c r="A2051" s="5"/>
      <c r="D2051" s="3" t="s">
        <v>736</v>
      </c>
      <c r="N2051" s="2">
        <f>SUBTOTAL(9,N2049:N2050)</f>
        <v>60</v>
      </c>
      <c r="O2051" s="2">
        <f>SUBTOTAL(9,O2049:O2050)</f>
        <v>1313336.26</v>
      </c>
      <c r="P2051" s="2">
        <f>+O2051/N2051</f>
        <v>21888.937666666669</v>
      </c>
    </row>
    <row r="2052" spans="1:16" outlineLevel="2" x14ac:dyDescent="0.2">
      <c r="A2052" s="5">
        <v>46101</v>
      </c>
      <c r="B2052" s="2">
        <v>157938</v>
      </c>
      <c r="C2052" s="2">
        <v>4</v>
      </c>
      <c r="D2052" s="2" t="s">
        <v>45</v>
      </c>
      <c r="E2052" s="2" t="s">
        <v>227</v>
      </c>
      <c r="F2052" s="2" t="s">
        <v>47</v>
      </c>
      <c r="G2052" s="2" t="s">
        <v>22</v>
      </c>
      <c r="H2052" s="2" t="s">
        <v>23</v>
      </c>
      <c r="I2052" s="2" t="s">
        <v>23</v>
      </c>
      <c r="J2052" s="2">
        <v>41</v>
      </c>
      <c r="K2052" s="2" t="s">
        <v>129</v>
      </c>
      <c r="L2052" s="2">
        <v>1964</v>
      </c>
      <c r="M2052" s="2" t="s">
        <v>49</v>
      </c>
      <c r="N2052" s="2">
        <v>48</v>
      </c>
      <c r="O2052" s="2">
        <v>792292.65</v>
      </c>
      <c r="P2052" s="2">
        <v>16506.099999999999</v>
      </c>
    </row>
    <row r="2053" spans="1:16" outlineLevel="1" x14ac:dyDescent="0.2">
      <c r="A2053" s="5"/>
      <c r="D2053" s="3" t="s">
        <v>733</v>
      </c>
      <c r="N2053" s="2">
        <f>SUBTOTAL(9,N2052:N2052)</f>
        <v>48</v>
      </c>
      <c r="O2053" s="2">
        <f>SUBTOTAL(9,O2052:O2052)</f>
        <v>792292.65</v>
      </c>
      <c r="P2053" s="2">
        <f>+O2053/N2053</f>
        <v>16506.096874999999</v>
      </c>
    </row>
    <row r="2054" spans="1:16" outlineLevel="2" x14ac:dyDescent="0.2">
      <c r="A2054" s="5">
        <v>46101</v>
      </c>
      <c r="B2054" s="2">
        <v>157939</v>
      </c>
      <c r="C2054" s="2">
        <v>1</v>
      </c>
      <c r="D2054" s="2" t="s">
        <v>404</v>
      </c>
      <c r="E2054" s="2" t="s">
        <v>23</v>
      </c>
      <c r="F2054" s="2" t="s">
        <v>405</v>
      </c>
      <c r="G2054" s="2" t="s">
        <v>22</v>
      </c>
      <c r="H2054" s="2" t="s">
        <v>23</v>
      </c>
      <c r="I2054" s="2" t="s">
        <v>23</v>
      </c>
      <c r="J2054" s="2">
        <v>86</v>
      </c>
      <c r="K2054" s="2" t="s">
        <v>73</v>
      </c>
      <c r="L2054" s="2">
        <v>600</v>
      </c>
      <c r="M2054" s="2" t="s">
        <v>112</v>
      </c>
      <c r="N2054" s="2">
        <v>17</v>
      </c>
      <c r="O2054" s="2">
        <v>326342.19</v>
      </c>
      <c r="P2054" s="2">
        <v>19196.599999999999</v>
      </c>
    </row>
    <row r="2055" spans="1:16" outlineLevel="1" x14ac:dyDescent="0.2">
      <c r="A2055" s="5"/>
      <c r="D2055" s="3" t="s">
        <v>769</v>
      </c>
      <c r="N2055" s="2">
        <f>SUBTOTAL(9,N2054:N2054)</f>
        <v>17</v>
      </c>
      <c r="O2055" s="2">
        <f>SUBTOTAL(9,O2054:O2054)</f>
        <v>326342.19</v>
      </c>
      <c r="P2055" s="2">
        <f>+O2055/N2055</f>
        <v>19196.599411764706</v>
      </c>
    </row>
    <row r="2056" spans="1:16" outlineLevel="2" x14ac:dyDescent="0.2">
      <c r="A2056" s="5">
        <v>46101</v>
      </c>
      <c r="B2056" s="2">
        <v>157940</v>
      </c>
      <c r="C2056" s="2">
        <v>1</v>
      </c>
      <c r="D2056" s="2" t="s">
        <v>19</v>
      </c>
      <c r="E2056" s="2" t="s">
        <v>20</v>
      </c>
      <c r="F2056" s="2" t="s">
        <v>35</v>
      </c>
      <c r="G2056" s="2" t="s">
        <v>22</v>
      </c>
      <c r="H2056" s="2" t="s">
        <v>23</v>
      </c>
      <c r="I2056" s="2" t="s">
        <v>23</v>
      </c>
      <c r="J2056" s="2">
        <v>75</v>
      </c>
      <c r="K2056" s="2" t="s">
        <v>425</v>
      </c>
      <c r="L2056" s="2">
        <v>2070</v>
      </c>
      <c r="M2056" s="2" t="s">
        <v>426</v>
      </c>
      <c r="N2056" s="2">
        <v>215</v>
      </c>
      <c r="O2056" s="2">
        <v>10265837.199999999</v>
      </c>
      <c r="P2056" s="2">
        <v>47748.08</v>
      </c>
    </row>
    <row r="2057" spans="1:16" outlineLevel="2" x14ac:dyDescent="0.2">
      <c r="A2057" s="5">
        <v>46101</v>
      </c>
      <c r="B2057" s="2">
        <v>157940</v>
      </c>
      <c r="C2057" s="2">
        <v>2</v>
      </c>
      <c r="D2057" s="2" t="s">
        <v>19</v>
      </c>
      <c r="E2057" s="2" t="s">
        <v>20</v>
      </c>
      <c r="F2057" s="2" t="s">
        <v>35</v>
      </c>
      <c r="G2057" s="2" t="s">
        <v>22</v>
      </c>
      <c r="H2057" s="2" t="s">
        <v>23</v>
      </c>
      <c r="I2057" s="2" t="s">
        <v>23</v>
      </c>
      <c r="J2057" s="2">
        <v>130</v>
      </c>
      <c r="K2057" s="2" t="s">
        <v>427</v>
      </c>
      <c r="L2057" s="2">
        <v>1829</v>
      </c>
      <c r="M2057" s="2" t="s">
        <v>25</v>
      </c>
      <c r="N2057" s="2">
        <v>36</v>
      </c>
      <c r="O2057" s="2">
        <v>184253.04</v>
      </c>
      <c r="P2057" s="2">
        <v>5118.1400000000003</v>
      </c>
    </row>
    <row r="2058" spans="1:16" outlineLevel="2" x14ac:dyDescent="0.2">
      <c r="A2058" s="5">
        <v>46101</v>
      </c>
      <c r="B2058" s="2">
        <v>157940</v>
      </c>
      <c r="C2058" s="2">
        <v>3</v>
      </c>
      <c r="D2058" s="2" t="s">
        <v>19</v>
      </c>
      <c r="E2058" s="2" t="s">
        <v>20</v>
      </c>
      <c r="F2058" s="2" t="s">
        <v>35</v>
      </c>
      <c r="G2058" s="2" t="s">
        <v>22</v>
      </c>
      <c r="H2058" s="2" t="s">
        <v>23</v>
      </c>
      <c r="I2058" s="2" t="s">
        <v>23</v>
      </c>
      <c r="J2058" s="2">
        <v>130</v>
      </c>
      <c r="K2058" s="2" t="s">
        <v>427</v>
      </c>
      <c r="L2058" s="2">
        <v>1829</v>
      </c>
      <c r="M2058" s="2" t="s">
        <v>25</v>
      </c>
      <c r="N2058" s="2">
        <v>12</v>
      </c>
      <c r="O2058" s="2">
        <v>99502.080000000002</v>
      </c>
      <c r="P2058" s="2">
        <v>8291.84</v>
      </c>
    </row>
    <row r="2059" spans="1:16" outlineLevel="1" x14ac:dyDescent="0.2">
      <c r="A2059" s="5"/>
      <c r="D2059" s="3" t="s">
        <v>704</v>
      </c>
      <c r="N2059" s="2">
        <f>SUBTOTAL(9,N2056:N2058)</f>
        <v>263</v>
      </c>
      <c r="O2059" s="2">
        <f>SUBTOTAL(9,O2056:O2058)</f>
        <v>10549592.319999998</v>
      </c>
      <c r="P2059" s="2">
        <f>+O2059/N2059</f>
        <v>40112.518326996193</v>
      </c>
    </row>
    <row r="2060" spans="1:16" outlineLevel="2" x14ac:dyDescent="0.2">
      <c r="A2060" s="5">
        <v>46101</v>
      </c>
      <c r="B2060" s="2">
        <v>157943</v>
      </c>
      <c r="C2060" s="2">
        <v>1</v>
      </c>
      <c r="D2060" s="2" t="s">
        <v>300</v>
      </c>
      <c r="E2060" s="2" t="s">
        <v>23</v>
      </c>
      <c r="F2060" s="2" t="s">
        <v>47</v>
      </c>
      <c r="G2060" s="2" t="s">
        <v>22</v>
      </c>
      <c r="H2060" s="2" t="s">
        <v>23</v>
      </c>
      <c r="I2060" s="2" t="s">
        <v>23</v>
      </c>
      <c r="J2060" s="2">
        <v>1</v>
      </c>
      <c r="K2060" s="2" t="s">
        <v>24</v>
      </c>
      <c r="L2060" s="2">
        <v>2338</v>
      </c>
      <c r="M2060" s="2" t="s">
        <v>417</v>
      </c>
      <c r="N2060" s="2">
        <v>10</v>
      </c>
      <c r="O2060" s="2">
        <v>265872.44</v>
      </c>
      <c r="P2060" s="2">
        <v>26587.24</v>
      </c>
    </row>
    <row r="2061" spans="1:16" outlineLevel="1" x14ac:dyDescent="0.2">
      <c r="A2061" s="5"/>
      <c r="D2061" s="3" t="s">
        <v>743</v>
      </c>
      <c r="N2061" s="2">
        <f>SUBTOTAL(9,N2060:N2060)</f>
        <v>10</v>
      </c>
      <c r="O2061" s="2">
        <f>SUBTOTAL(9,O2060:O2060)</f>
        <v>265872.44</v>
      </c>
      <c r="P2061" s="2">
        <f>+O2061/N2061</f>
        <v>26587.243999999999</v>
      </c>
    </row>
    <row r="2062" spans="1:16" outlineLevel="2" x14ac:dyDescent="0.2">
      <c r="A2062" s="5">
        <v>46132</v>
      </c>
      <c r="B2062" s="2">
        <v>157944</v>
      </c>
      <c r="C2062" s="2">
        <v>3</v>
      </c>
      <c r="D2062" s="2" t="s">
        <v>203</v>
      </c>
      <c r="E2062" s="2" t="s">
        <v>125</v>
      </c>
      <c r="F2062" s="2" t="s">
        <v>55</v>
      </c>
      <c r="G2062" s="2" t="s">
        <v>23</v>
      </c>
      <c r="H2062" s="2" t="s">
        <v>23</v>
      </c>
      <c r="I2062" s="2" t="s">
        <v>23</v>
      </c>
      <c r="J2062" s="2">
        <v>2</v>
      </c>
      <c r="K2062" s="2" t="s">
        <v>48</v>
      </c>
      <c r="L2062" s="2">
        <v>626</v>
      </c>
      <c r="M2062" s="2" t="s">
        <v>49</v>
      </c>
      <c r="N2062" s="2">
        <v>3</v>
      </c>
      <c r="O2062" s="2">
        <v>10295.25</v>
      </c>
      <c r="P2062" s="2">
        <v>3431.75</v>
      </c>
    </row>
    <row r="2063" spans="1:16" outlineLevel="2" x14ac:dyDescent="0.2">
      <c r="A2063" s="5">
        <v>46148</v>
      </c>
      <c r="B2063" s="2">
        <v>157944</v>
      </c>
      <c r="C2063" s="2">
        <v>315</v>
      </c>
      <c r="D2063" s="2" t="s">
        <v>203</v>
      </c>
      <c r="E2063" s="2" t="s">
        <v>125</v>
      </c>
      <c r="F2063" s="2" t="s">
        <v>55</v>
      </c>
      <c r="G2063" s="2" t="s">
        <v>23</v>
      </c>
      <c r="H2063" s="2" t="s">
        <v>23</v>
      </c>
      <c r="I2063" s="2" t="s">
        <v>23</v>
      </c>
      <c r="J2063" s="2">
        <v>2</v>
      </c>
      <c r="K2063" s="2" t="s">
        <v>48</v>
      </c>
      <c r="L2063" s="2">
        <v>25223</v>
      </c>
      <c r="M2063" s="2" t="s">
        <v>97</v>
      </c>
      <c r="N2063" s="2">
        <v>4</v>
      </c>
      <c r="O2063" s="2">
        <v>16527.32</v>
      </c>
      <c r="P2063" s="2">
        <v>4131.83</v>
      </c>
    </row>
    <row r="2064" spans="1:16" outlineLevel="1" x14ac:dyDescent="0.2">
      <c r="A2064" s="5"/>
      <c r="D2064" s="3" t="s">
        <v>735</v>
      </c>
      <c r="N2064" s="2">
        <f>SUBTOTAL(9,N2062:N2063)</f>
        <v>7</v>
      </c>
      <c r="O2064" s="2">
        <f>SUBTOTAL(9,O2062:O2063)</f>
        <v>26822.57</v>
      </c>
      <c r="P2064" s="2">
        <f>+O2064/N2064</f>
        <v>3831.7957142857144</v>
      </c>
    </row>
    <row r="2065" spans="1:16" outlineLevel="2" x14ac:dyDescent="0.2">
      <c r="A2065" s="5">
        <v>46101</v>
      </c>
      <c r="B2065" s="2">
        <v>157956</v>
      </c>
      <c r="C2065" s="2">
        <v>301</v>
      </c>
      <c r="D2065" s="2" t="s">
        <v>110</v>
      </c>
      <c r="E2065" s="2" t="s">
        <v>111</v>
      </c>
      <c r="F2065" s="2" t="s">
        <v>55</v>
      </c>
      <c r="G2065" s="2" t="s">
        <v>23</v>
      </c>
      <c r="H2065" s="2" t="s">
        <v>23</v>
      </c>
      <c r="I2065" s="2" t="s">
        <v>23</v>
      </c>
      <c r="J2065" s="2">
        <v>1</v>
      </c>
      <c r="K2065" s="2" t="s">
        <v>24</v>
      </c>
      <c r="L2065" s="2">
        <v>25095</v>
      </c>
      <c r="M2065" s="2" t="s">
        <v>216</v>
      </c>
      <c r="N2065" s="2">
        <v>2</v>
      </c>
      <c r="O2065" s="2">
        <v>3142.16</v>
      </c>
      <c r="P2065" s="2">
        <v>1571.08</v>
      </c>
    </row>
    <row r="2066" spans="1:16" outlineLevel="1" x14ac:dyDescent="0.2">
      <c r="A2066" s="5"/>
      <c r="D2066" s="3" t="s">
        <v>697</v>
      </c>
      <c r="N2066" s="2">
        <f>SUBTOTAL(9,N2065:N2065)</f>
        <v>2</v>
      </c>
      <c r="O2066" s="2">
        <f>SUBTOTAL(9,O2065:O2065)</f>
        <v>3142.16</v>
      </c>
      <c r="P2066" s="2">
        <f>+O2066/N2066</f>
        <v>1571.08</v>
      </c>
    </row>
    <row r="2067" spans="1:16" outlineLevel="2" x14ac:dyDescent="0.2">
      <c r="A2067" s="5">
        <v>46118</v>
      </c>
      <c r="B2067" s="2">
        <v>157958</v>
      </c>
      <c r="C2067" s="2">
        <v>2</v>
      </c>
      <c r="D2067" s="2" t="s">
        <v>38</v>
      </c>
      <c r="E2067" s="2" t="s">
        <v>39</v>
      </c>
      <c r="F2067" s="2" t="s">
        <v>63</v>
      </c>
      <c r="G2067" s="2" t="s">
        <v>41</v>
      </c>
      <c r="H2067" s="2" t="s">
        <v>23</v>
      </c>
      <c r="I2067" s="2" t="s">
        <v>42</v>
      </c>
      <c r="J2067" s="2">
        <v>40</v>
      </c>
      <c r="K2067" s="2" t="s">
        <v>43</v>
      </c>
      <c r="L2067" s="2">
        <v>2579</v>
      </c>
      <c r="M2067" s="2" t="s">
        <v>44</v>
      </c>
      <c r="N2067" s="2">
        <v>12</v>
      </c>
      <c r="O2067" s="2">
        <v>263339.58</v>
      </c>
      <c r="P2067" s="2">
        <v>21944.97</v>
      </c>
    </row>
    <row r="2068" spans="1:16" outlineLevel="2" x14ac:dyDescent="0.2">
      <c r="A2068" s="5">
        <v>46108</v>
      </c>
      <c r="B2068" s="2">
        <v>157958</v>
      </c>
      <c r="C2068" s="2">
        <v>300</v>
      </c>
      <c r="D2068" s="2" t="s">
        <v>38</v>
      </c>
      <c r="E2068" s="2" t="s">
        <v>39</v>
      </c>
      <c r="F2068" s="2" t="s">
        <v>40</v>
      </c>
      <c r="G2068" s="2" t="s">
        <v>22</v>
      </c>
      <c r="H2068" s="2" t="s">
        <v>23</v>
      </c>
      <c r="I2068" s="2" t="s">
        <v>23</v>
      </c>
      <c r="J2068" s="2">
        <v>94</v>
      </c>
      <c r="K2068" s="2" t="s">
        <v>147</v>
      </c>
      <c r="L2068" s="2">
        <v>2579</v>
      </c>
      <c r="M2068" s="2" t="s">
        <v>44</v>
      </c>
      <c r="N2068" s="2">
        <v>19</v>
      </c>
      <c r="O2068" s="2">
        <v>298643.62</v>
      </c>
      <c r="P2068" s="2">
        <v>15718.09</v>
      </c>
    </row>
    <row r="2069" spans="1:16" outlineLevel="1" x14ac:dyDescent="0.2">
      <c r="A2069" s="5"/>
      <c r="D2069" s="3" t="s">
        <v>721</v>
      </c>
      <c r="N2069" s="2">
        <f>SUBTOTAL(9,N2067:N2068)</f>
        <v>31</v>
      </c>
      <c r="O2069" s="2">
        <f>SUBTOTAL(9,O2067:O2068)</f>
        <v>561983.19999999995</v>
      </c>
      <c r="P2069" s="2">
        <f>+O2069/N2069</f>
        <v>18128.490322580645</v>
      </c>
    </row>
    <row r="2070" spans="1:16" outlineLevel="2" x14ac:dyDescent="0.2">
      <c r="A2070" s="5">
        <v>46105</v>
      </c>
      <c r="B2070" s="2">
        <v>157959</v>
      </c>
      <c r="C2070" s="2">
        <v>1</v>
      </c>
      <c r="D2070" s="2" t="s">
        <v>92</v>
      </c>
      <c r="E2070" s="2" t="s">
        <v>93</v>
      </c>
      <c r="F2070" s="2" t="s">
        <v>40</v>
      </c>
      <c r="G2070" s="2" t="s">
        <v>22</v>
      </c>
      <c r="H2070" s="2" t="s">
        <v>23</v>
      </c>
      <c r="I2070" s="2" t="s">
        <v>23</v>
      </c>
      <c r="J2070" s="2">
        <v>5</v>
      </c>
      <c r="K2070" s="2" t="s">
        <v>27</v>
      </c>
      <c r="L2070" s="2">
        <v>1949</v>
      </c>
      <c r="M2070" s="2" t="s">
        <v>428</v>
      </c>
      <c r="N2070" s="2">
        <v>67</v>
      </c>
      <c r="O2070" s="2">
        <v>1472202.94</v>
      </c>
      <c r="P2070" s="2">
        <v>21973.18</v>
      </c>
    </row>
    <row r="2071" spans="1:16" outlineLevel="1" x14ac:dyDescent="0.2">
      <c r="A2071" s="5"/>
      <c r="D2071" s="3" t="s">
        <v>702</v>
      </c>
      <c r="N2071" s="2">
        <f>SUBTOTAL(9,N2070:N2070)</f>
        <v>67</v>
      </c>
      <c r="O2071" s="2">
        <f>SUBTOTAL(9,O2070:O2070)</f>
        <v>1472202.94</v>
      </c>
      <c r="P2071" s="2">
        <f>+O2071/N2071</f>
        <v>21973.178208955222</v>
      </c>
    </row>
    <row r="2072" spans="1:16" outlineLevel="2" x14ac:dyDescent="0.2">
      <c r="A2072" s="5">
        <v>46105</v>
      </c>
      <c r="B2072" s="2">
        <v>157959</v>
      </c>
      <c r="C2072" s="2">
        <v>2</v>
      </c>
      <c r="D2072" s="2" t="s">
        <v>175</v>
      </c>
      <c r="E2072" s="2" t="s">
        <v>224</v>
      </c>
      <c r="F2072" s="2" t="s">
        <v>40</v>
      </c>
      <c r="G2072" s="2" t="s">
        <v>22</v>
      </c>
      <c r="H2072" s="2" t="s">
        <v>23</v>
      </c>
      <c r="I2072" s="2" t="s">
        <v>23</v>
      </c>
      <c r="J2072" s="2">
        <v>5</v>
      </c>
      <c r="K2072" s="2" t="s">
        <v>27</v>
      </c>
      <c r="L2072" s="2">
        <v>2521</v>
      </c>
      <c r="M2072" s="2" t="s">
        <v>82</v>
      </c>
      <c r="N2072" s="2">
        <v>40</v>
      </c>
      <c r="O2072" s="2">
        <v>1068452.71</v>
      </c>
      <c r="P2072" s="2">
        <v>26711.32</v>
      </c>
    </row>
    <row r="2073" spans="1:16" outlineLevel="2" x14ac:dyDescent="0.2">
      <c r="A2073" s="5">
        <v>46105</v>
      </c>
      <c r="B2073" s="2">
        <v>157959</v>
      </c>
      <c r="C2073" s="2">
        <v>3</v>
      </c>
      <c r="D2073" s="2" t="s">
        <v>175</v>
      </c>
      <c r="E2073" s="2" t="s">
        <v>310</v>
      </c>
      <c r="F2073" s="2" t="s">
        <v>40</v>
      </c>
      <c r="G2073" s="2" t="s">
        <v>22</v>
      </c>
      <c r="H2073" s="2" t="s">
        <v>23</v>
      </c>
      <c r="I2073" s="2" t="s">
        <v>23</v>
      </c>
      <c r="J2073" s="2">
        <v>5</v>
      </c>
      <c r="K2073" s="2" t="s">
        <v>27</v>
      </c>
      <c r="L2073" s="2">
        <v>2521</v>
      </c>
      <c r="M2073" s="2" t="s">
        <v>82</v>
      </c>
      <c r="N2073" s="2">
        <v>19</v>
      </c>
      <c r="O2073" s="2">
        <v>449898.03</v>
      </c>
      <c r="P2073" s="2">
        <v>23678.84</v>
      </c>
    </row>
    <row r="2074" spans="1:16" outlineLevel="1" x14ac:dyDescent="0.2">
      <c r="A2074" s="5"/>
      <c r="D2074" s="3" t="s">
        <v>725</v>
      </c>
      <c r="N2074" s="2">
        <f>SUBTOTAL(9,N2072:N2073)</f>
        <v>59</v>
      </c>
      <c r="O2074" s="2">
        <f>SUBTOTAL(9,O2072:O2073)</f>
        <v>1518350.74</v>
      </c>
      <c r="P2074" s="2">
        <f>+O2074/N2074</f>
        <v>25734.758305084746</v>
      </c>
    </row>
    <row r="2075" spans="1:16" outlineLevel="2" x14ac:dyDescent="0.2">
      <c r="A2075" s="5">
        <v>46111</v>
      </c>
      <c r="B2075" s="2">
        <v>157960</v>
      </c>
      <c r="C2075" s="2">
        <v>2</v>
      </c>
      <c r="D2075" s="2" t="s">
        <v>38</v>
      </c>
      <c r="E2075" s="2" t="s">
        <v>39</v>
      </c>
      <c r="F2075" s="2" t="s">
        <v>40</v>
      </c>
      <c r="G2075" s="2" t="s">
        <v>41</v>
      </c>
      <c r="H2075" s="2" t="s">
        <v>23</v>
      </c>
      <c r="I2075" s="2" t="s">
        <v>410</v>
      </c>
      <c r="J2075" s="2">
        <v>40</v>
      </c>
      <c r="K2075" s="2" t="s">
        <v>43</v>
      </c>
      <c r="L2075" s="2">
        <v>2579</v>
      </c>
      <c r="M2075" s="2" t="s">
        <v>44</v>
      </c>
      <c r="N2075" s="2">
        <v>70</v>
      </c>
      <c r="O2075" s="2">
        <v>1879440.76</v>
      </c>
      <c r="P2075" s="2">
        <v>26849.15</v>
      </c>
    </row>
    <row r="2076" spans="1:16" outlineLevel="2" x14ac:dyDescent="0.2">
      <c r="A2076" s="5">
        <v>46111</v>
      </c>
      <c r="B2076" s="2">
        <v>157960</v>
      </c>
      <c r="C2076" s="2">
        <v>3</v>
      </c>
      <c r="D2076" s="2" t="s">
        <v>38</v>
      </c>
      <c r="E2076" s="2" t="s">
        <v>39</v>
      </c>
      <c r="F2076" s="2" t="s">
        <v>40</v>
      </c>
      <c r="G2076" s="2" t="s">
        <v>22</v>
      </c>
      <c r="H2076" s="2" t="s">
        <v>41</v>
      </c>
      <c r="I2076" s="2" t="s">
        <v>334</v>
      </c>
      <c r="J2076" s="2">
        <v>40</v>
      </c>
      <c r="K2076" s="2" t="s">
        <v>43</v>
      </c>
      <c r="L2076" s="2">
        <v>2579</v>
      </c>
      <c r="M2076" s="2" t="s">
        <v>44</v>
      </c>
      <c r="N2076" s="2">
        <v>62</v>
      </c>
      <c r="O2076" s="2">
        <v>1206881.17</v>
      </c>
      <c r="P2076" s="2">
        <v>19465.830000000002</v>
      </c>
    </row>
    <row r="2077" spans="1:16" outlineLevel="2" x14ac:dyDescent="0.2">
      <c r="A2077" s="5">
        <v>46122</v>
      </c>
      <c r="B2077" s="2">
        <v>157960</v>
      </c>
      <c r="C2077" s="2">
        <v>5</v>
      </c>
      <c r="D2077" s="2" t="s">
        <v>38</v>
      </c>
      <c r="E2077" s="2" t="s">
        <v>39</v>
      </c>
      <c r="F2077" s="2" t="s">
        <v>40</v>
      </c>
      <c r="G2077" s="2" t="s">
        <v>22</v>
      </c>
      <c r="H2077" s="2" t="s">
        <v>23</v>
      </c>
      <c r="I2077" s="2" t="s">
        <v>42</v>
      </c>
      <c r="J2077" s="2">
        <v>40</v>
      </c>
      <c r="K2077" s="2" t="s">
        <v>43</v>
      </c>
      <c r="L2077" s="2">
        <v>2579</v>
      </c>
      <c r="M2077" s="2" t="s">
        <v>44</v>
      </c>
      <c r="N2077" s="2">
        <v>216</v>
      </c>
      <c r="O2077" s="2">
        <v>3176896.86</v>
      </c>
      <c r="P2077" s="2">
        <v>14707.86</v>
      </c>
    </row>
    <row r="2078" spans="1:16" outlineLevel="2" x14ac:dyDescent="0.2">
      <c r="A2078" s="5">
        <v>46139</v>
      </c>
      <c r="B2078" s="2">
        <v>157960</v>
      </c>
      <c r="C2078" s="2">
        <v>6</v>
      </c>
      <c r="D2078" s="2" t="s">
        <v>38</v>
      </c>
      <c r="E2078" s="2" t="s">
        <v>39</v>
      </c>
      <c r="F2078" s="2" t="s">
        <v>40</v>
      </c>
      <c r="G2078" s="2" t="s">
        <v>22</v>
      </c>
      <c r="H2078" s="2" t="s">
        <v>41</v>
      </c>
      <c r="I2078" s="2" t="s">
        <v>395</v>
      </c>
      <c r="J2078" s="2">
        <v>40</v>
      </c>
      <c r="K2078" s="2" t="s">
        <v>43</v>
      </c>
      <c r="L2078" s="2">
        <v>2579</v>
      </c>
      <c r="M2078" s="2" t="s">
        <v>44</v>
      </c>
      <c r="N2078" s="2">
        <v>5</v>
      </c>
      <c r="O2078" s="2">
        <v>17158.75</v>
      </c>
      <c r="P2078" s="2">
        <v>3431.75</v>
      </c>
    </row>
    <row r="2079" spans="1:16" outlineLevel="2" x14ac:dyDescent="0.2">
      <c r="A2079" s="5">
        <v>46105</v>
      </c>
      <c r="B2079" s="2">
        <v>157961</v>
      </c>
      <c r="C2079" s="2">
        <v>2</v>
      </c>
      <c r="D2079" s="2" t="s">
        <v>38</v>
      </c>
      <c r="E2079" s="2" t="s">
        <v>39</v>
      </c>
      <c r="F2079" s="2" t="s">
        <v>40</v>
      </c>
      <c r="G2079" s="2" t="s">
        <v>41</v>
      </c>
      <c r="H2079" s="2" t="s">
        <v>23</v>
      </c>
      <c r="I2079" s="2" t="s">
        <v>429</v>
      </c>
      <c r="J2079" s="2">
        <v>131</v>
      </c>
      <c r="K2079" s="2" t="s">
        <v>430</v>
      </c>
      <c r="L2079" s="2">
        <v>2579</v>
      </c>
      <c r="M2079" s="2" t="s">
        <v>44</v>
      </c>
      <c r="N2079" s="2">
        <v>647</v>
      </c>
      <c r="O2079" s="2">
        <v>23039488.859999999</v>
      </c>
      <c r="P2079" s="2">
        <v>35609.72</v>
      </c>
    </row>
    <row r="2080" spans="1:16" outlineLevel="1" x14ac:dyDescent="0.2">
      <c r="A2080" s="5"/>
      <c r="D2080" s="3" t="s">
        <v>721</v>
      </c>
      <c r="N2080" s="2">
        <f>SUBTOTAL(9,N2075:N2079)</f>
        <v>1000</v>
      </c>
      <c r="O2080" s="2">
        <f>SUBTOTAL(9,O2075:O2079)</f>
        <v>29319866.399999999</v>
      </c>
      <c r="P2080" s="2">
        <f>+O2080/N2080</f>
        <v>29319.866399999999</v>
      </c>
    </row>
    <row r="2081" spans="1:16" outlineLevel="2" x14ac:dyDescent="0.2">
      <c r="A2081" s="5">
        <v>46105</v>
      </c>
      <c r="B2081" s="2">
        <v>157972</v>
      </c>
      <c r="C2081" s="2">
        <v>1</v>
      </c>
      <c r="D2081" s="2" t="s">
        <v>75</v>
      </c>
      <c r="E2081" s="2" t="s">
        <v>99</v>
      </c>
      <c r="F2081" s="2" t="s">
        <v>108</v>
      </c>
      <c r="G2081" s="2" t="s">
        <v>22</v>
      </c>
      <c r="H2081" s="2" t="s">
        <v>23</v>
      </c>
      <c r="I2081" s="2" t="s">
        <v>100</v>
      </c>
      <c r="J2081" s="2">
        <v>1</v>
      </c>
      <c r="K2081" s="2" t="s">
        <v>24</v>
      </c>
      <c r="L2081" s="2">
        <v>2024</v>
      </c>
      <c r="M2081" s="2" t="s">
        <v>76</v>
      </c>
      <c r="N2081" s="2">
        <v>160</v>
      </c>
      <c r="O2081" s="2">
        <v>4697342.72</v>
      </c>
      <c r="P2081" s="2">
        <v>29358.39</v>
      </c>
    </row>
    <row r="2082" spans="1:16" outlineLevel="2" x14ac:dyDescent="0.2">
      <c r="A2082" s="5">
        <v>46105</v>
      </c>
      <c r="B2082" s="2">
        <v>157972</v>
      </c>
      <c r="C2082" s="2">
        <v>2</v>
      </c>
      <c r="D2082" s="2" t="s">
        <v>75</v>
      </c>
      <c r="E2082" s="2" t="s">
        <v>99</v>
      </c>
      <c r="F2082" s="2" t="s">
        <v>108</v>
      </c>
      <c r="G2082" s="2" t="s">
        <v>22</v>
      </c>
      <c r="H2082" s="2" t="s">
        <v>23</v>
      </c>
      <c r="I2082" s="2" t="s">
        <v>109</v>
      </c>
      <c r="J2082" s="2">
        <v>1</v>
      </c>
      <c r="K2082" s="2" t="s">
        <v>24</v>
      </c>
      <c r="L2082" s="2">
        <v>2024</v>
      </c>
      <c r="M2082" s="2" t="s">
        <v>76</v>
      </c>
      <c r="N2082" s="2">
        <v>321</v>
      </c>
      <c r="O2082" s="2">
        <v>9401686.0199999996</v>
      </c>
      <c r="P2082" s="2">
        <v>29288.74</v>
      </c>
    </row>
    <row r="2083" spans="1:16" outlineLevel="1" x14ac:dyDescent="0.2">
      <c r="A2083" s="5"/>
      <c r="D2083" s="3" t="s">
        <v>729</v>
      </c>
      <c r="N2083" s="2">
        <f>SUBTOTAL(9,N2081:N2082)</f>
        <v>481</v>
      </c>
      <c r="O2083" s="2">
        <f>SUBTOTAL(9,O2081:O2082)</f>
        <v>14099028.739999998</v>
      </c>
      <c r="P2083" s="2">
        <f>+O2083/N2083</f>
        <v>29311.910062370058</v>
      </c>
    </row>
    <row r="2084" spans="1:16" outlineLevel="2" x14ac:dyDescent="0.2">
      <c r="A2084" s="5">
        <v>46122</v>
      </c>
      <c r="B2084" s="2">
        <v>157974</v>
      </c>
      <c r="C2084" s="2">
        <v>3</v>
      </c>
      <c r="D2084" s="2" t="s">
        <v>60</v>
      </c>
      <c r="E2084" s="2" t="s">
        <v>431</v>
      </c>
      <c r="F2084" s="2" t="s">
        <v>31</v>
      </c>
      <c r="G2084" s="2" t="s">
        <v>22</v>
      </c>
      <c r="H2084" s="2" t="s">
        <v>23</v>
      </c>
      <c r="I2084" s="2" t="s">
        <v>23</v>
      </c>
      <c r="J2084" s="2">
        <v>1</v>
      </c>
      <c r="K2084" s="2" t="s">
        <v>24</v>
      </c>
      <c r="L2084" s="2">
        <v>226</v>
      </c>
      <c r="M2084" s="2" t="s">
        <v>59</v>
      </c>
      <c r="N2084" s="2">
        <v>65</v>
      </c>
      <c r="O2084" s="2">
        <v>1524854.57</v>
      </c>
      <c r="P2084" s="2">
        <v>23459.3</v>
      </c>
    </row>
    <row r="2085" spans="1:16" outlineLevel="1" x14ac:dyDescent="0.2">
      <c r="A2085" s="5"/>
      <c r="D2085" s="3" t="s">
        <v>728</v>
      </c>
      <c r="N2085" s="2">
        <f>SUBTOTAL(9,N2084:N2084)</f>
        <v>65</v>
      </c>
      <c r="O2085" s="2">
        <f>SUBTOTAL(9,O2084:O2084)</f>
        <v>1524854.57</v>
      </c>
      <c r="P2085" s="2">
        <f>+O2085/N2085</f>
        <v>23459.301076923079</v>
      </c>
    </row>
    <row r="2086" spans="1:16" outlineLevel="2" x14ac:dyDescent="0.2">
      <c r="A2086" s="5">
        <v>46162</v>
      </c>
      <c r="B2086" s="2">
        <v>157978</v>
      </c>
      <c r="C2086" s="2">
        <v>316</v>
      </c>
      <c r="D2086" s="2" t="s">
        <v>203</v>
      </c>
      <c r="E2086" s="2" t="s">
        <v>238</v>
      </c>
      <c r="F2086" s="2" t="s">
        <v>47</v>
      </c>
      <c r="G2086" s="2" t="s">
        <v>22</v>
      </c>
      <c r="H2086" s="2" t="s">
        <v>23</v>
      </c>
      <c r="I2086" s="2" t="s">
        <v>23</v>
      </c>
      <c r="J2086" s="2">
        <v>2</v>
      </c>
      <c r="K2086" s="2" t="s">
        <v>48</v>
      </c>
      <c r="L2086" s="2">
        <v>1876</v>
      </c>
      <c r="M2086" s="2" t="s">
        <v>138</v>
      </c>
      <c r="N2086" s="2">
        <v>1</v>
      </c>
      <c r="O2086" s="2">
        <v>5298.63</v>
      </c>
      <c r="P2086" s="2">
        <v>5298.63</v>
      </c>
    </row>
    <row r="2087" spans="1:16" outlineLevel="1" x14ac:dyDescent="0.2">
      <c r="A2087" s="5"/>
      <c r="D2087" s="3" t="s">
        <v>735</v>
      </c>
      <c r="N2087" s="2">
        <f>SUBTOTAL(9,N2086:N2086)</f>
        <v>1</v>
      </c>
      <c r="O2087" s="2">
        <f>SUBTOTAL(9,O2086:O2086)</f>
        <v>5298.63</v>
      </c>
      <c r="P2087" s="2">
        <f>+O2087/N2087</f>
        <v>5298.63</v>
      </c>
    </row>
    <row r="2088" spans="1:16" outlineLevel="2" x14ac:dyDescent="0.2">
      <c r="A2088" s="5">
        <v>46113</v>
      </c>
      <c r="B2088" s="2">
        <v>157984</v>
      </c>
      <c r="C2088" s="2">
        <v>315</v>
      </c>
      <c r="D2088" s="2" t="s">
        <v>45</v>
      </c>
      <c r="E2088" s="2" t="s">
        <v>125</v>
      </c>
      <c r="F2088" s="2" t="s">
        <v>55</v>
      </c>
      <c r="G2088" s="2" t="s">
        <v>23</v>
      </c>
      <c r="H2088" s="2" t="s">
        <v>23</v>
      </c>
      <c r="I2088" s="2" t="s">
        <v>23</v>
      </c>
      <c r="J2088" s="2">
        <v>2</v>
      </c>
      <c r="K2088" s="2" t="s">
        <v>48</v>
      </c>
      <c r="L2088" s="2">
        <v>2276</v>
      </c>
      <c r="M2088" s="2" t="s">
        <v>156</v>
      </c>
      <c r="N2088" s="2">
        <v>7</v>
      </c>
      <c r="O2088" s="2">
        <v>15621.36</v>
      </c>
      <c r="P2088" s="2">
        <v>2231.62</v>
      </c>
    </row>
    <row r="2089" spans="1:16" outlineLevel="1" x14ac:dyDescent="0.2">
      <c r="A2089" s="5"/>
      <c r="D2089" s="3" t="s">
        <v>733</v>
      </c>
      <c r="N2089" s="2">
        <f>SUBTOTAL(9,N2088:N2088)</f>
        <v>7</v>
      </c>
      <c r="O2089" s="2">
        <f>SUBTOTAL(9,O2088:O2088)</f>
        <v>15621.36</v>
      </c>
      <c r="P2089" s="2">
        <f>+O2089/N2089</f>
        <v>2231.6228571428574</v>
      </c>
    </row>
    <row r="2090" spans="1:16" outlineLevel="2" x14ac:dyDescent="0.2">
      <c r="A2090" s="5">
        <v>46113</v>
      </c>
      <c r="B2090" s="2">
        <v>157986</v>
      </c>
      <c r="C2090" s="2">
        <v>1</v>
      </c>
      <c r="D2090" s="2" t="s">
        <v>338</v>
      </c>
      <c r="E2090" s="2" t="s">
        <v>55</v>
      </c>
      <c r="F2090" s="2" t="s">
        <v>23</v>
      </c>
      <c r="G2090" s="2" t="s">
        <v>23</v>
      </c>
      <c r="H2090" s="2" t="s">
        <v>23</v>
      </c>
      <c r="I2090" s="2" t="s">
        <v>23</v>
      </c>
      <c r="J2090" s="2">
        <v>2</v>
      </c>
      <c r="K2090" s="2" t="s">
        <v>48</v>
      </c>
      <c r="L2090" s="2">
        <v>1974</v>
      </c>
      <c r="M2090" s="2" t="s">
        <v>95</v>
      </c>
      <c r="N2090" s="2">
        <v>5</v>
      </c>
      <c r="O2090" s="2">
        <v>47028.82</v>
      </c>
      <c r="P2090" s="2">
        <v>9405.76</v>
      </c>
    </row>
    <row r="2091" spans="1:16" outlineLevel="1" x14ac:dyDescent="0.2">
      <c r="A2091" s="5"/>
      <c r="D2091" s="3" t="s">
        <v>754</v>
      </c>
      <c r="N2091" s="2">
        <f>SUBTOTAL(9,N2090:N2090)</f>
        <v>5</v>
      </c>
      <c r="O2091" s="2">
        <f>SUBTOTAL(9,O2090:O2090)</f>
        <v>47028.82</v>
      </c>
      <c r="P2091" s="2">
        <f>+O2091/N2091</f>
        <v>9405.7639999999992</v>
      </c>
    </row>
    <row r="2092" spans="1:16" outlineLevel="2" x14ac:dyDescent="0.2">
      <c r="A2092" s="5">
        <v>46113</v>
      </c>
      <c r="B2092" s="2">
        <v>157988</v>
      </c>
      <c r="C2092" s="2">
        <v>1</v>
      </c>
      <c r="D2092" s="2" t="s">
        <v>140</v>
      </c>
      <c r="E2092" s="2" t="s">
        <v>23</v>
      </c>
      <c r="F2092" s="2" t="s">
        <v>55</v>
      </c>
      <c r="G2092" s="2" t="s">
        <v>23</v>
      </c>
      <c r="H2092" s="2" t="s">
        <v>23</v>
      </c>
      <c r="I2092" s="2" t="s">
        <v>23</v>
      </c>
      <c r="J2092" s="2">
        <v>1</v>
      </c>
      <c r="K2092" s="2" t="s">
        <v>24</v>
      </c>
      <c r="L2092" s="2">
        <v>1833</v>
      </c>
      <c r="M2092" s="2" t="s">
        <v>142</v>
      </c>
      <c r="N2092" s="2">
        <v>1</v>
      </c>
      <c r="O2092" s="2">
        <v>23967.42</v>
      </c>
      <c r="P2092" s="2">
        <v>23967.42</v>
      </c>
    </row>
    <row r="2093" spans="1:16" outlineLevel="2" x14ac:dyDescent="0.2">
      <c r="A2093" s="5">
        <v>46105</v>
      </c>
      <c r="B2093" s="2">
        <v>157989</v>
      </c>
      <c r="C2093" s="2">
        <v>1</v>
      </c>
      <c r="D2093" s="2" t="s">
        <v>140</v>
      </c>
      <c r="E2093" s="2" t="s">
        <v>141</v>
      </c>
      <c r="F2093" s="2" t="s">
        <v>108</v>
      </c>
      <c r="G2093" s="2" t="s">
        <v>22</v>
      </c>
      <c r="H2093" s="2" t="s">
        <v>23</v>
      </c>
      <c r="I2093" s="2" t="s">
        <v>23</v>
      </c>
      <c r="J2093" s="2">
        <v>1</v>
      </c>
      <c r="K2093" s="2" t="s">
        <v>24</v>
      </c>
      <c r="L2093" s="2">
        <v>1833</v>
      </c>
      <c r="M2093" s="2" t="s">
        <v>142</v>
      </c>
      <c r="N2093" s="2">
        <v>19</v>
      </c>
      <c r="O2093" s="2">
        <v>602472.91</v>
      </c>
      <c r="P2093" s="2">
        <v>31709.1</v>
      </c>
    </row>
    <row r="2094" spans="1:16" outlineLevel="1" x14ac:dyDescent="0.2">
      <c r="A2094" s="5"/>
      <c r="D2094" s="3" t="s">
        <v>696</v>
      </c>
      <c r="N2094" s="2">
        <f>SUBTOTAL(9,N2092:N2093)</f>
        <v>20</v>
      </c>
      <c r="O2094" s="2">
        <f>SUBTOTAL(9,O2092:O2093)</f>
        <v>626440.33000000007</v>
      </c>
      <c r="P2094" s="2">
        <f>+O2094/N2094</f>
        <v>31322.016500000005</v>
      </c>
    </row>
    <row r="2095" spans="1:16" outlineLevel="2" x14ac:dyDescent="0.2">
      <c r="A2095" s="5">
        <v>46105</v>
      </c>
      <c r="B2095" s="2">
        <v>157989</v>
      </c>
      <c r="C2095" s="2">
        <v>2</v>
      </c>
      <c r="D2095" s="2" t="s">
        <v>362</v>
      </c>
      <c r="E2095" s="2" t="s">
        <v>55</v>
      </c>
      <c r="F2095" s="2" t="s">
        <v>108</v>
      </c>
      <c r="G2095" s="2" t="s">
        <v>22</v>
      </c>
      <c r="H2095" s="2" t="s">
        <v>23</v>
      </c>
      <c r="I2095" s="2" t="s">
        <v>23</v>
      </c>
      <c r="J2095" s="2">
        <v>1</v>
      </c>
      <c r="K2095" s="2" t="s">
        <v>24</v>
      </c>
      <c r="L2095" s="2">
        <v>1833</v>
      </c>
      <c r="M2095" s="2" t="s">
        <v>142</v>
      </c>
      <c r="N2095" s="2">
        <v>5</v>
      </c>
      <c r="O2095" s="2">
        <v>63849.31</v>
      </c>
      <c r="P2095" s="2">
        <v>12769.86</v>
      </c>
    </row>
    <row r="2096" spans="1:16" outlineLevel="1" x14ac:dyDescent="0.2">
      <c r="A2096" s="5"/>
      <c r="D2096" s="3" t="s">
        <v>762</v>
      </c>
      <c r="N2096" s="2">
        <f>SUBTOTAL(9,N2095:N2095)</f>
        <v>5</v>
      </c>
      <c r="O2096" s="2">
        <f>SUBTOTAL(9,O2095:O2095)</f>
        <v>63849.31</v>
      </c>
      <c r="P2096" s="2">
        <f>+O2096/N2096</f>
        <v>12769.861999999999</v>
      </c>
    </row>
    <row r="2097" spans="1:16" outlineLevel="2" x14ac:dyDescent="0.2">
      <c r="A2097" s="5">
        <v>46105</v>
      </c>
      <c r="B2097" s="2">
        <v>157990</v>
      </c>
      <c r="C2097" s="2">
        <v>1</v>
      </c>
      <c r="D2097" s="2" t="s">
        <v>207</v>
      </c>
      <c r="E2097" s="2" t="s">
        <v>23</v>
      </c>
      <c r="F2097" s="2" t="s">
        <v>47</v>
      </c>
      <c r="G2097" s="2" t="s">
        <v>22</v>
      </c>
      <c r="H2097" s="2" t="s">
        <v>208</v>
      </c>
      <c r="I2097" s="2" t="s">
        <v>23</v>
      </c>
      <c r="J2097" s="2">
        <v>41</v>
      </c>
      <c r="K2097" s="2" t="s">
        <v>129</v>
      </c>
      <c r="L2097" s="2">
        <v>25213</v>
      </c>
      <c r="M2097" s="2" t="s">
        <v>130</v>
      </c>
      <c r="N2097" s="2">
        <v>25</v>
      </c>
      <c r="O2097" s="2">
        <v>90616</v>
      </c>
      <c r="P2097" s="2">
        <v>3624.64</v>
      </c>
    </row>
    <row r="2098" spans="1:16" outlineLevel="2" x14ac:dyDescent="0.2">
      <c r="A2098" s="5">
        <v>46105</v>
      </c>
      <c r="B2098" s="2">
        <v>157990</v>
      </c>
      <c r="C2098" s="2">
        <v>2</v>
      </c>
      <c r="D2098" s="2" t="s">
        <v>207</v>
      </c>
      <c r="E2098" s="2" t="s">
        <v>23</v>
      </c>
      <c r="F2098" s="2" t="s">
        <v>47</v>
      </c>
      <c r="G2098" s="2" t="s">
        <v>22</v>
      </c>
      <c r="H2098" s="2" t="s">
        <v>209</v>
      </c>
      <c r="I2098" s="2" t="s">
        <v>23</v>
      </c>
      <c r="J2098" s="2">
        <v>41</v>
      </c>
      <c r="K2098" s="2" t="s">
        <v>129</v>
      </c>
      <c r="L2098" s="2">
        <v>25213</v>
      </c>
      <c r="M2098" s="2" t="s">
        <v>130</v>
      </c>
      <c r="N2098" s="2">
        <v>25</v>
      </c>
      <c r="O2098" s="2">
        <v>64106.42</v>
      </c>
      <c r="P2098" s="2">
        <v>2564.2600000000002</v>
      </c>
    </row>
    <row r="2099" spans="1:16" outlineLevel="1" x14ac:dyDescent="0.2">
      <c r="A2099" s="5"/>
      <c r="D2099" s="3" t="s">
        <v>699</v>
      </c>
      <c r="N2099" s="2">
        <f>SUBTOTAL(9,N2097:N2098)</f>
        <v>50</v>
      </c>
      <c r="O2099" s="2">
        <f>SUBTOTAL(9,O2097:O2098)</f>
        <v>154722.41999999998</v>
      </c>
      <c r="P2099" s="2">
        <f>+O2099/N2099</f>
        <v>3094.4483999999998</v>
      </c>
    </row>
    <row r="2100" spans="1:16" outlineLevel="2" x14ac:dyDescent="0.2">
      <c r="A2100" s="5">
        <v>46105</v>
      </c>
      <c r="B2100" s="2">
        <v>157990</v>
      </c>
      <c r="C2100" s="2">
        <v>3</v>
      </c>
      <c r="D2100" s="2" t="s">
        <v>128</v>
      </c>
      <c r="E2100" s="2" t="s">
        <v>23</v>
      </c>
      <c r="F2100" s="2" t="s">
        <v>47</v>
      </c>
      <c r="G2100" s="2" t="s">
        <v>22</v>
      </c>
      <c r="H2100" s="2" t="s">
        <v>23</v>
      </c>
      <c r="I2100" s="2" t="s">
        <v>23</v>
      </c>
      <c r="J2100" s="2">
        <v>41</v>
      </c>
      <c r="K2100" s="2" t="s">
        <v>129</v>
      </c>
      <c r="L2100" s="2">
        <v>25213</v>
      </c>
      <c r="M2100" s="2" t="s">
        <v>130</v>
      </c>
      <c r="N2100" s="2">
        <v>50</v>
      </c>
      <c r="O2100" s="2">
        <v>182912.27</v>
      </c>
      <c r="P2100" s="2">
        <v>3658.25</v>
      </c>
    </row>
    <row r="2101" spans="1:16" outlineLevel="1" x14ac:dyDescent="0.2">
      <c r="A2101" s="5"/>
      <c r="D2101" s="3" t="s">
        <v>732</v>
      </c>
      <c r="N2101" s="2">
        <f>SUBTOTAL(9,N2100:N2100)</f>
        <v>50</v>
      </c>
      <c r="O2101" s="2">
        <f>SUBTOTAL(9,O2100:O2100)</f>
        <v>182912.27</v>
      </c>
      <c r="P2101" s="2">
        <f>+O2101/N2101</f>
        <v>3658.2453999999998</v>
      </c>
    </row>
    <row r="2102" spans="1:16" outlineLevel="2" x14ac:dyDescent="0.2">
      <c r="A2102" s="5">
        <v>46105</v>
      </c>
      <c r="B2102" s="2">
        <v>157990</v>
      </c>
      <c r="C2102" s="2">
        <v>4</v>
      </c>
      <c r="D2102" s="2" t="s">
        <v>294</v>
      </c>
      <c r="E2102" s="2" t="s">
        <v>23</v>
      </c>
      <c r="F2102" s="2" t="s">
        <v>47</v>
      </c>
      <c r="G2102" s="2" t="s">
        <v>22</v>
      </c>
      <c r="H2102" s="2" t="s">
        <v>23</v>
      </c>
      <c r="I2102" s="2" t="s">
        <v>23</v>
      </c>
      <c r="J2102" s="2">
        <v>41</v>
      </c>
      <c r="K2102" s="2" t="s">
        <v>129</v>
      </c>
      <c r="L2102" s="2">
        <v>25213</v>
      </c>
      <c r="M2102" s="2" t="s">
        <v>130</v>
      </c>
      <c r="N2102" s="2">
        <v>1</v>
      </c>
      <c r="O2102" s="2">
        <v>3624.64</v>
      </c>
      <c r="P2102" s="2">
        <v>3624.64</v>
      </c>
    </row>
    <row r="2103" spans="1:16" outlineLevel="1" x14ac:dyDescent="0.2">
      <c r="A2103" s="5"/>
      <c r="D2103" s="3" t="s">
        <v>740</v>
      </c>
      <c r="N2103" s="2">
        <f>SUBTOTAL(9,N2102:N2102)</f>
        <v>1</v>
      </c>
      <c r="O2103" s="2">
        <f>SUBTOTAL(9,O2102:O2102)</f>
        <v>3624.64</v>
      </c>
      <c r="P2103" s="2">
        <f>+O2103/N2103</f>
        <v>3624.64</v>
      </c>
    </row>
    <row r="2104" spans="1:16" outlineLevel="2" x14ac:dyDescent="0.2">
      <c r="A2104" s="5">
        <v>46105</v>
      </c>
      <c r="B2104" s="2">
        <v>157990</v>
      </c>
      <c r="C2104" s="2">
        <v>5</v>
      </c>
      <c r="D2104" s="2" t="s">
        <v>207</v>
      </c>
      <c r="E2104" s="2" t="s">
        <v>23</v>
      </c>
      <c r="F2104" s="2" t="s">
        <v>47</v>
      </c>
      <c r="G2104" s="2" t="s">
        <v>22</v>
      </c>
      <c r="H2104" s="2" t="s">
        <v>23</v>
      </c>
      <c r="I2104" s="2" t="s">
        <v>23</v>
      </c>
      <c r="J2104" s="2">
        <v>1</v>
      </c>
      <c r="K2104" s="2" t="s">
        <v>24</v>
      </c>
      <c r="L2104" s="2">
        <v>25213</v>
      </c>
      <c r="M2104" s="2" t="s">
        <v>130</v>
      </c>
      <c r="N2104" s="2">
        <v>6</v>
      </c>
      <c r="O2104" s="2">
        <v>442542.14</v>
      </c>
      <c r="P2104" s="2">
        <v>73757.02</v>
      </c>
    </row>
    <row r="2105" spans="1:16" outlineLevel="2" x14ac:dyDescent="0.2">
      <c r="A2105" s="5">
        <v>46105</v>
      </c>
      <c r="B2105" s="2">
        <v>157990</v>
      </c>
      <c r="C2105" s="2">
        <v>6</v>
      </c>
      <c r="D2105" s="2" t="s">
        <v>207</v>
      </c>
      <c r="E2105" s="2" t="s">
        <v>23</v>
      </c>
      <c r="F2105" s="2" t="s">
        <v>47</v>
      </c>
      <c r="G2105" s="2" t="s">
        <v>210</v>
      </c>
      <c r="H2105" s="2" t="s">
        <v>23</v>
      </c>
      <c r="I2105" s="2" t="s">
        <v>23</v>
      </c>
      <c r="J2105" s="2">
        <v>1</v>
      </c>
      <c r="K2105" s="2" t="s">
        <v>24</v>
      </c>
      <c r="L2105" s="2">
        <v>25213</v>
      </c>
      <c r="M2105" s="2" t="s">
        <v>130</v>
      </c>
      <c r="N2105" s="2">
        <v>2</v>
      </c>
      <c r="O2105" s="2">
        <v>143158</v>
      </c>
      <c r="P2105" s="2">
        <v>71579</v>
      </c>
    </row>
    <row r="2106" spans="1:16" outlineLevel="1" x14ac:dyDescent="0.2">
      <c r="A2106" s="5"/>
      <c r="D2106" s="3" t="s">
        <v>699</v>
      </c>
      <c r="N2106" s="2">
        <f>SUBTOTAL(9,N2104:N2105)</f>
        <v>8</v>
      </c>
      <c r="O2106" s="2">
        <f>SUBTOTAL(9,O2104:O2105)</f>
        <v>585700.14</v>
      </c>
      <c r="P2106" s="2">
        <f>+O2106/N2106</f>
        <v>73212.517500000002</v>
      </c>
    </row>
    <row r="2107" spans="1:16" outlineLevel="2" x14ac:dyDescent="0.2">
      <c r="A2107" s="5">
        <v>46105</v>
      </c>
      <c r="B2107" s="2">
        <v>157990</v>
      </c>
      <c r="C2107" s="2">
        <v>7</v>
      </c>
      <c r="D2107" s="2" t="s">
        <v>128</v>
      </c>
      <c r="E2107" s="2" t="s">
        <v>23</v>
      </c>
      <c r="F2107" s="2" t="s">
        <v>47</v>
      </c>
      <c r="G2107" s="2" t="s">
        <v>22</v>
      </c>
      <c r="H2107" s="2" t="s">
        <v>23</v>
      </c>
      <c r="I2107" s="2" t="s">
        <v>23</v>
      </c>
      <c r="J2107" s="2">
        <v>1</v>
      </c>
      <c r="K2107" s="2" t="s">
        <v>24</v>
      </c>
      <c r="L2107" s="2">
        <v>25213</v>
      </c>
      <c r="M2107" s="2" t="s">
        <v>130</v>
      </c>
      <c r="N2107" s="2">
        <v>3</v>
      </c>
      <c r="O2107" s="2">
        <v>257675.18</v>
      </c>
      <c r="P2107" s="2">
        <v>85891.73</v>
      </c>
    </row>
    <row r="2108" spans="1:16" outlineLevel="1" x14ac:dyDescent="0.2">
      <c r="A2108" s="5"/>
      <c r="D2108" s="3" t="s">
        <v>732</v>
      </c>
      <c r="N2108" s="2">
        <f>SUBTOTAL(9,N2107:N2107)</f>
        <v>3</v>
      </c>
      <c r="O2108" s="2">
        <f>SUBTOTAL(9,O2107:O2107)</f>
        <v>257675.18</v>
      </c>
      <c r="P2108" s="2">
        <f>+O2108/N2108</f>
        <v>85891.726666666669</v>
      </c>
    </row>
    <row r="2109" spans="1:16" outlineLevel="2" x14ac:dyDescent="0.2">
      <c r="A2109" s="5">
        <v>46105</v>
      </c>
      <c r="B2109" s="2">
        <v>157991</v>
      </c>
      <c r="C2109" s="2">
        <v>1</v>
      </c>
      <c r="D2109" s="2" t="s">
        <v>83</v>
      </c>
      <c r="E2109" s="2" t="s">
        <v>370</v>
      </c>
      <c r="F2109" s="2" t="s">
        <v>31</v>
      </c>
      <c r="G2109" s="2" t="s">
        <v>337</v>
      </c>
      <c r="H2109" s="2" t="s">
        <v>23</v>
      </c>
      <c r="I2109" s="2" t="s">
        <v>23</v>
      </c>
      <c r="J2109" s="2">
        <v>1</v>
      </c>
      <c r="K2109" s="2" t="s">
        <v>24</v>
      </c>
      <c r="L2109" s="2">
        <v>226</v>
      </c>
      <c r="M2109" s="2" t="s">
        <v>59</v>
      </c>
      <c r="N2109" s="2">
        <v>104</v>
      </c>
      <c r="O2109" s="2">
        <v>3394957.65</v>
      </c>
      <c r="P2109" s="2">
        <v>32643.82</v>
      </c>
    </row>
    <row r="2110" spans="1:16" outlineLevel="1" x14ac:dyDescent="0.2">
      <c r="A2110" s="5"/>
      <c r="D2110" s="3" t="s">
        <v>701</v>
      </c>
      <c r="N2110" s="2">
        <f>SUBTOTAL(9,N2109:N2109)</f>
        <v>104</v>
      </c>
      <c r="O2110" s="2">
        <f>SUBTOTAL(9,O2109:O2109)</f>
        <v>3394957.65</v>
      </c>
      <c r="P2110" s="2">
        <f>+O2110/N2110</f>
        <v>32643.823557692307</v>
      </c>
    </row>
    <row r="2111" spans="1:16" outlineLevel="2" x14ac:dyDescent="0.2">
      <c r="A2111" s="5">
        <v>46105</v>
      </c>
      <c r="B2111" s="2">
        <v>157991</v>
      </c>
      <c r="C2111" s="2">
        <v>2</v>
      </c>
      <c r="D2111" s="2" t="s">
        <v>107</v>
      </c>
      <c r="E2111" s="2" t="s">
        <v>432</v>
      </c>
      <c r="F2111" s="2" t="s">
        <v>31</v>
      </c>
      <c r="G2111" s="2" t="s">
        <v>22</v>
      </c>
      <c r="H2111" s="2" t="s">
        <v>433</v>
      </c>
      <c r="I2111" s="2" t="s">
        <v>23</v>
      </c>
      <c r="J2111" s="2">
        <v>1</v>
      </c>
      <c r="K2111" s="2" t="s">
        <v>24</v>
      </c>
      <c r="L2111" s="2">
        <v>226</v>
      </c>
      <c r="M2111" s="2" t="s">
        <v>59</v>
      </c>
      <c r="N2111" s="2">
        <v>88</v>
      </c>
      <c r="O2111" s="2">
        <v>2900596.4</v>
      </c>
      <c r="P2111" s="2">
        <v>32961.32</v>
      </c>
    </row>
    <row r="2112" spans="1:16" outlineLevel="1" x14ac:dyDescent="0.2">
      <c r="A2112" s="5"/>
      <c r="D2112" s="3" t="s">
        <v>726</v>
      </c>
      <c r="N2112" s="2">
        <f>SUBTOTAL(9,N2111:N2111)</f>
        <v>88</v>
      </c>
      <c r="O2112" s="2">
        <f>SUBTOTAL(9,O2111:O2111)</f>
        <v>2900596.4</v>
      </c>
      <c r="P2112" s="2">
        <f>+O2112/N2112</f>
        <v>32961.322727272724</v>
      </c>
    </row>
    <row r="2113" spans="1:16" outlineLevel="2" x14ac:dyDescent="0.2">
      <c r="A2113" s="5">
        <v>46105</v>
      </c>
      <c r="B2113" s="2">
        <v>157991</v>
      </c>
      <c r="C2113" s="2">
        <v>3</v>
      </c>
      <c r="D2113" s="2" t="s">
        <v>434</v>
      </c>
      <c r="E2113" s="2" t="s">
        <v>435</v>
      </c>
      <c r="F2113" s="2" t="s">
        <v>31</v>
      </c>
      <c r="G2113" s="2" t="s">
        <v>22</v>
      </c>
      <c r="H2113" s="2" t="s">
        <v>23</v>
      </c>
      <c r="I2113" s="2" t="s">
        <v>23</v>
      </c>
      <c r="J2113" s="2">
        <v>11</v>
      </c>
      <c r="K2113" s="2" t="s">
        <v>257</v>
      </c>
      <c r="L2113" s="2">
        <v>226</v>
      </c>
      <c r="M2113" s="2" t="s">
        <v>59</v>
      </c>
      <c r="N2113" s="2">
        <v>42</v>
      </c>
      <c r="O2113" s="2">
        <v>1378270.19</v>
      </c>
      <c r="P2113" s="2">
        <v>32815.96</v>
      </c>
    </row>
    <row r="2114" spans="1:16" outlineLevel="2" x14ac:dyDescent="0.2">
      <c r="A2114" s="5">
        <v>46105</v>
      </c>
      <c r="B2114" s="2">
        <v>157991</v>
      </c>
      <c r="C2114" s="2">
        <v>4</v>
      </c>
      <c r="D2114" s="2" t="s">
        <v>434</v>
      </c>
      <c r="E2114" s="2" t="s">
        <v>435</v>
      </c>
      <c r="F2114" s="2" t="s">
        <v>31</v>
      </c>
      <c r="G2114" s="2" t="s">
        <v>22</v>
      </c>
      <c r="H2114" s="2" t="s">
        <v>23</v>
      </c>
      <c r="I2114" s="2" t="s">
        <v>23</v>
      </c>
      <c r="J2114" s="2">
        <v>78</v>
      </c>
      <c r="K2114" s="2" t="s">
        <v>212</v>
      </c>
      <c r="L2114" s="2">
        <v>226</v>
      </c>
      <c r="M2114" s="2" t="s">
        <v>59</v>
      </c>
      <c r="N2114" s="2">
        <v>84</v>
      </c>
      <c r="O2114" s="2">
        <v>2094059.42</v>
      </c>
      <c r="P2114" s="2">
        <v>24929.279999999999</v>
      </c>
    </row>
    <row r="2115" spans="1:16" outlineLevel="1" x14ac:dyDescent="0.2">
      <c r="A2115" s="5"/>
      <c r="D2115" s="3" t="s">
        <v>773</v>
      </c>
      <c r="N2115" s="2">
        <f>SUBTOTAL(9,N2113:N2114)</f>
        <v>126</v>
      </c>
      <c r="O2115" s="2">
        <f>SUBTOTAL(9,O2113:O2114)</f>
        <v>3472329.61</v>
      </c>
      <c r="P2115" s="2">
        <f>+O2115/N2115</f>
        <v>27558.171507936506</v>
      </c>
    </row>
    <row r="2116" spans="1:16" outlineLevel="2" x14ac:dyDescent="0.2">
      <c r="A2116" s="5">
        <v>46105</v>
      </c>
      <c r="B2116" s="2">
        <v>157991</v>
      </c>
      <c r="C2116" s="2">
        <v>5</v>
      </c>
      <c r="D2116" s="2" t="s">
        <v>60</v>
      </c>
      <c r="E2116" s="2" t="s">
        <v>364</v>
      </c>
      <c r="F2116" s="2" t="s">
        <v>31</v>
      </c>
      <c r="G2116" s="2" t="s">
        <v>22</v>
      </c>
      <c r="H2116" s="2" t="s">
        <v>23</v>
      </c>
      <c r="I2116" s="2" t="s">
        <v>23</v>
      </c>
      <c r="J2116" s="2">
        <v>78</v>
      </c>
      <c r="K2116" s="2" t="s">
        <v>212</v>
      </c>
      <c r="L2116" s="2">
        <v>226</v>
      </c>
      <c r="M2116" s="2" t="s">
        <v>59</v>
      </c>
      <c r="N2116" s="2">
        <v>91</v>
      </c>
      <c r="O2116" s="2">
        <v>2015447.1</v>
      </c>
      <c r="P2116" s="2">
        <v>22147.77</v>
      </c>
    </row>
    <row r="2117" spans="1:16" outlineLevel="1" x14ac:dyDescent="0.2">
      <c r="A2117" s="5"/>
      <c r="D2117" s="3" t="s">
        <v>728</v>
      </c>
      <c r="N2117" s="2">
        <f>SUBTOTAL(9,N2116:N2116)</f>
        <v>91</v>
      </c>
      <c r="O2117" s="2">
        <f>SUBTOTAL(9,O2116:O2116)</f>
        <v>2015447.1</v>
      </c>
      <c r="P2117" s="2">
        <f>+O2117/N2117</f>
        <v>22147.770329670329</v>
      </c>
    </row>
    <row r="2118" spans="1:16" outlineLevel="2" x14ac:dyDescent="0.2">
      <c r="A2118" s="5">
        <v>46105</v>
      </c>
      <c r="B2118" s="2">
        <v>157992</v>
      </c>
      <c r="C2118" s="2">
        <v>1</v>
      </c>
      <c r="D2118" s="2" t="s">
        <v>416</v>
      </c>
      <c r="E2118" s="2" t="s">
        <v>23</v>
      </c>
      <c r="F2118" s="2" t="s">
        <v>47</v>
      </c>
      <c r="G2118" s="2" t="s">
        <v>22</v>
      </c>
      <c r="H2118" s="2" t="s">
        <v>23</v>
      </c>
      <c r="I2118" s="2" t="s">
        <v>23</v>
      </c>
      <c r="J2118" s="2">
        <v>86</v>
      </c>
      <c r="K2118" s="2" t="s">
        <v>73</v>
      </c>
      <c r="L2118" s="2">
        <v>2338</v>
      </c>
      <c r="M2118" s="2" t="s">
        <v>417</v>
      </c>
      <c r="N2118" s="2">
        <v>33</v>
      </c>
      <c r="O2118" s="2">
        <v>1125300.3600000001</v>
      </c>
      <c r="P2118" s="2">
        <v>34100.01</v>
      </c>
    </row>
    <row r="2119" spans="1:16" outlineLevel="1" x14ac:dyDescent="0.2">
      <c r="A2119" s="5"/>
      <c r="D2119" s="3" t="s">
        <v>772</v>
      </c>
      <c r="N2119" s="2">
        <f>SUBTOTAL(9,N2118:N2118)</f>
        <v>33</v>
      </c>
      <c r="O2119" s="2">
        <f>SUBTOTAL(9,O2118:O2118)</f>
        <v>1125300.3600000001</v>
      </c>
      <c r="P2119" s="2">
        <f>+O2119/N2119</f>
        <v>34100.01090909091</v>
      </c>
    </row>
    <row r="2120" spans="1:16" outlineLevel="2" x14ac:dyDescent="0.2">
      <c r="A2120" s="5">
        <v>46105</v>
      </c>
      <c r="B2120" s="2">
        <v>157993</v>
      </c>
      <c r="C2120" s="2">
        <v>1</v>
      </c>
      <c r="D2120" s="2" t="s">
        <v>226</v>
      </c>
      <c r="E2120" s="2" t="s">
        <v>151</v>
      </c>
      <c r="F2120" s="2" t="s">
        <v>47</v>
      </c>
      <c r="G2120" s="2" t="s">
        <v>22</v>
      </c>
      <c r="H2120" s="2" t="s">
        <v>23</v>
      </c>
      <c r="I2120" s="2" t="s">
        <v>23</v>
      </c>
      <c r="J2120" s="2">
        <v>2</v>
      </c>
      <c r="K2120" s="2" t="s">
        <v>48</v>
      </c>
      <c r="L2120" s="2">
        <v>1964</v>
      </c>
      <c r="M2120" s="2" t="s">
        <v>49</v>
      </c>
      <c r="N2120" s="2">
        <v>4</v>
      </c>
      <c r="O2120" s="2">
        <v>62290.66</v>
      </c>
      <c r="P2120" s="2">
        <v>15572.67</v>
      </c>
    </row>
    <row r="2121" spans="1:16" outlineLevel="1" x14ac:dyDescent="0.2">
      <c r="A2121" s="5"/>
      <c r="D2121" s="3" t="s">
        <v>736</v>
      </c>
      <c r="N2121" s="2">
        <f>SUBTOTAL(9,N2120:N2120)</f>
        <v>4</v>
      </c>
      <c r="O2121" s="2">
        <f>SUBTOTAL(9,O2120:O2120)</f>
        <v>62290.66</v>
      </c>
      <c r="P2121" s="2">
        <f>+O2121/N2121</f>
        <v>15572.665000000001</v>
      </c>
    </row>
    <row r="2122" spans="1:16" outlineLevel="2" x14ac:dyDescent="0.2">
      <c r="A2122" s="5">
        <v>46105</v>
      </c>
      <c r="B2122" s="2">
        <v>157993</v>
      </c>
      <c r="C2122" s="2">
        <v>2</v>
      </c>
      <c r="D2122" s="2" t="s">
        <v>406</v>
      </c>
      <c r="E2122" s="2" t="s">
        <v>228</v>
      </c>
      <c r="F2122" s="2" t="s">
        <v>47</v>
      </c>
      <c r="G2122" s="2" t="s">
        <v>22</v>
      </c>
      <c r="H2122" s="2" t="s">
        <v>23</v>
      </c>
      <c r="I2122" s="2" t="s">
        <v>23</v>
      </c>
      <c r="J2122" s="2">
        <v>41</v>
      </c>
      <c r="K2122" s="2" t="s">
        <v>129</v>
      </c>
      <c r="L2122" s="2">
        <v>1964</v>
      </c>
      <c r="M2122" s="2" t="s">
        <v>49</v>
      </c>
      <c r="N2122" s="2">
        <v>11</v>
      </c>
      <c r="O2122" s="2">
        <v>172232.67</v>
      </c>
      <c r="P2122" s="2">
        <v>15657.52</v>
      </c>
    </row>
    <row r="2123" spans="1:16" outlineLevel="1" x14ac:dyDescent="0.2">
      <c r="A2123" s="5"/>
      <c r="D2123" s="3" t="s">
        <v>770</v>
      </c>
      <c r="N2123" s="2">
        <f>SUBTOTAL(9,N2122:N2122)</f>
        <v>11</v>
      </c>
      <c r="O2123" s="2">
        <f>SUBTOTAL(9,O2122:O2122)</f>
        <v>172232.67</v>
      </c>
      <c r="P2123" s="2">
        <f>+O2123/N2123</f>
        <v>15657.515454545455</v>
      </c>
    </row>
    <row r="2124" spans="1:16" outlineLevel="2" x14ac:dyDescent="0.2">
      <c r="A2124" s="5">
        <v>46105</v>
      </c>
      <c r="B2124" s="2">
        <v>157993</v>
      </c>
      <c r="C2124" s="2">
        <v>3</v>
      </c>
      <c r="D2124" s="2" t="s">
        <v>226</v>
      </c>
      <c r="E2124" s="2" t="s">
        <v>227</v>
      </c>
      <c r="F2124" s="2" t="s">
        <v>47</v>
      </c>
      <c r="G2124" s="2" t="s">
        <v>22</v>
      </c>
      <c r="H2124" s="2" t="s">
        <v>23</v>
      </c>
      <c r="I2124" s="2" t="s">
        <v>23</v>
      </c>
      <c r="J2124" s="2">
        <v>41</v>
      </c>
      <c r="K2124" s="2" t="s">
        <v>129</v>
      </c>
      <c r="L2124" s="2">
        <v>1964</v>
      </c>
      <c r="M2124" s="2" t="s">
        <v>49</v>
      </c>
      <c r="N2124" s="2">
        <v>58</v>
      </c>
      <c r="O2124" s="2">
        <v>1291525.32</v>
      </c>
      <c r="P2124" s="2">
        <v>22267.68</v>
      </c>
    </row>
    <row r="2125" spans="1:16" outlineLevel="1" x14ac:dyDescent="0.2">
      <c r="A2125" s="5"/>
      <c r="D2125" s="3" t="s">
        <v>736</v>
      </c>
      <c r="N2125" s="2">
        <f>SUBTOTAL(9,N2124:N2124)</f>
        <v>58</v>
      </c>
      <c r="O2125" s="2">
        <f>SUBTOTAL(9,O2124:O2124)</f>
        <v>1291525.32</v>
      </c>
      <c r="P2125" s="2">
        <f>+O2125/N2125</f>
        <v>22267.677931034483</v>
      </c>
    </row>
    <row r="2126" spans="1:16" outlineLevel="2" x14ac:dyDescent="0.2">
      <c r="A2126" s="5">
        <v>46105</v>
      </c>
      <c r="B2126" s="2">
        <v>157993</v>
      </c>
      <c r="C2126" s="2">
        <v>5</v>
      </c>
      <c r="D2126" s="2" t="s">
        <v>45</v>
      </c>
      <c r="E2126" s="2" t="s">
        <v>227</v>
      </c>
      <c r="F2126" s="2" t="s">
        <v>47</v>
      </c>
      <c r="G2126" s="2" t="s">
        <v>22</v>
      </c>
      <c r="H2126" s="2" t="s">
        <v>23</v>
      </c>
      <c r="I2126" s="2" t="s">
        <v>23</v>
      </c>
      <c r="J2126" s="2">
        <v>41</v>
      </c>
      <c r="K2126" s="2" t="s">
        <v>129</v>
      </c>
      <c r="L2126" s="2">
        <v>1964</v>
      </c>
      <c r="M2126" s="2" t="s">
        <v>49</v>
      </c>
      <c r="N2126" s="2">
        <v>95</v>
      </c>
      <c r="O2126" s="2">
        <v>1356188.49</v>
      </c>
      <c r="P2126" s="2">
        <v>14275.67</v>
      </c>
    </row>
    <row r="2127" spans="1:16" outlineLevel="2" x14ac:dyDescent="0.2">
      <c r="A2127" s="5">
        <v>46113</v>
      </c>
      <c r="B2127" s="2">
        <v>157993</v>
      </c>
      <c r="C2127" s="2">
        <v>302</v>
      </c>
      <c r="D2127" s="2" t="s">
        <v>45</v>
      </c>
      <c r="E2127" s="2" t="s">
        <v>228</v>
      </c>
      <c r="F2127" s="2" t="s">
        <v>55</v>
      </c>
      <c r="G2127" s="2" t="s">
        <v>23</v>
      </c>
      <c r="H2127" s="2" t="s">
        <v>23</v>
      </c>
      <c r="I2127" s="2" t="s">
        <v>23</v>
      </c>
      <c r="J2127" s="2">
        <v>2</v>
      </c>
      <c r="K2127" s="2" t="s">
        <v>48</v>
      </c>
      <c r="L2127" s="2">
        <v>1964</v>
      </c>
      <c r="M2127" s="2" t="s">
        <v>49</v>
      </c>
      <c r="N2127" s="2">
        <v>5</v>
      </c>
      <c r="O2127" s="2">
        <v>23692.83</v>
      </c>
      <c r="P2127" s="2">
        <v>4738.57</v>
      </c>
    </row>
    <row r="2128" spans="1:16" outlineLevel="1" x14ac:dyDescent="0.2">
      <c r="A2128" s="5"/>
      <c r="D2128" s="3" t="s">
        <v>733</v>
      </c>
      <c r="N2128" s="2">
        <f>SUBTOTAL(9,N2126:N2127)</f>
        <v>100</v>
      </c>
      <c r="O2128" s="2">
        <f>SUBTOTAL(9,O2126:O2127)</f>
        <v>1379881.32</v>
      </c>
      <c r="P2128" s="2">
        <f>+O2128/N2128</f>
        <v>13798.813200000001</v>
      </c>
    </row>
    <row r="2129" spans="1:16" outlineLevel="2" x14ac:dyDescent="0.2">
      <c r="A2129" s="5">
        <v>46139</v>
      </c>
      <c r="B2129" s="2">
        <v>157996</v>
      </c>
      <c r="C2129" s="2">
        <v>315</v>
      </c>
      <c r="D2129" s="2" t="s">
        <v>26</v>
      </c>
      <c r="E2129" s="2" t="s">
        <v>51</v>
      </c>
      <c r="F2129" s="2" t="s">
        <v>52</v>
      </c>
      <c r="G2129" s="2" t="s">
        <v>22</v>
      </c>
      <c r="H2129" s="2" t="s">
        <v>23</v>
      </c>
      <c r="I2129" s="2" t="s">
        <v>23</v>
      </c>
      <c r="J2129" s="2">
        <v>5</v>
      </c>
      <c r="K2129" s="2" t="s">
        <v>27</v>
      </c>
      <c r="L2129" s="2">
        <v>25042</v>
      </c>
      <c r="M2129" s="2" t="s">
        <v>436</v>
      </c>
      <c r="N2129" s="2">
        <v>40</v>
      </c>
      <c r="O2129" s="2">
        <v>168320.71</v>
      </c>
      <c r="P2129" s="2">
        <v>4208.0200000000004</v>
      </c>
    </row>
    <row r="2130" spans="1:16" outlineLevel="1" x14ac:dyDescent="0.2">
      <c r="A2130" s="5"/>
      <c r="D2130" s="3" t="s">
        <v>711</v>
      </c>
      <c r="N2130" s="2">
        <f>SUBTOTAL(9,N2129:N2129)</f>
        <v>40</v>
      </c>
      <c r="O2130" s="2">
        <f>SUBTOTAL(9,O2129:O2129)</f>
        <v>168320.71</v>
      </c>
      <c r="P2130" s="2">
        <f>+O2130/N2130</f>
        <v>4208.01775</v>
      </c>
    </row>
    <row r="2131" spans="1:16" outlineLevel="2" x14ac:dyDescent="0.2">
      <c r="A2131" s="5">
        <v>46108</v>
      </c>
      <c r="B2131" s="2">
        <v>158007</v>
      </c>
      <c r="C2131" s="2">
        <v>306</v>
      </c>
      <c r="D2131" s="2" t="s">
        <v>54</v>
      </c>
      <c r="E2131" s="2" t="s">
        <v>20</v>
      </c>
      <c r="F2131" s="2" t="s">
        <v>55</v>
      </c>
      <c r="G2131" s="2" t="s">
        <v>23</v>
      </c>
      <c r="H2131" s="2" t="s">
        <v>23</v>
      </c>
      <c r="I2131" s="2" t="s">
        <v>23</v>
      </c>
      <c r="J2131" s="2">
        <v>1</v>
      </c>
      <c r="K2131" s="2" t="s">
        <v>24</v>
      </c>
      <c r="L2131" s="2">
        <v>25095</v>
      </c>
      <c r="M2131" s="2" t="s">
        <v>216</v>
      </c>
      <c r="N2131" s="2">
        <v>26</v>
      </c>
      <c r="O2131" s="2">
        <v>89386.7</v>
      </c>
      <c r="P2131" s="2">
        <v>3437.95</v>
      </c>
    </row>
    <row r="2132" spans="1:16" outlineLevel="2" x14ac:dyDescent="0.2">
      <c r="A2132" s="5">
        <v>46113</v>
      </c>
      <c r="B2132" s="2">
        <v>158007</v>
      </c>
      <c r="C2132" s="2">
        <v>307</v>
      </c>
      <c r="D2132" s="2" t="s">
        <v>54</v>
      </c>
      <c r="E2132" s="2" t="s">
        <v>20</v>
      </c>
      <c r="F2132" s="2" t="s">
        <v>55</v>
      </c>
      <c r="G2132" s="2" t="s">
        <v>23</v>
      </c>
      <c r="H2132" s="2" t="s">
        <v>23</v>
      </c>
      <c r="I2132" s="2" t="s">
        <v>23</v>
      </c>
      <c r="J2132" s="2">
        <v>2</v>
      </c>
      <c r="K2132" s="2" t="s">
        <v>48</v>
      </c>
      <c r="L2132" s="2">
        <v>25095</v>
      </c>
      <c r="M2132" s="2" t="s">
        <v>216</v>
      </c>
      <c r="N2132" s="2">
        <v>5</v>
      </c>
      <c r="O2132" s="2">
        <v>17158.759999999998</v>
      </c>
      <c r="P2132" s="2">
        <v>3431.75</v>
      </c>
    </row>
    <row r="2133" spans="1:16" outlineLevel="2" x14ac:dyDescent="0.2">
      <c r="A2133" s="5">
        <v>46105</v>
      </c>
      <c r="B2133" s="2">
        <v>158007</v>
      </c>
      <c r="C2133" s="2">
        <v>315</v>
      </c>
      <c r="D2133" s="2" t="s">
        <v>54</v>
      </c>
      <c r="E2133" s="2" t="s">
        <v>20</v>
      </c>
      <c r="F2133" s="2" t="s">
        <v>55</v>
      </c>
      <c r="G2133" s="2" t="s">
        <v>23</v>
      </c>
      <c r="H2133" s="2" t="s">
        <v>23</v>
      </c>
      <c r="I2133" s="2" t="s">
        <v>23</v>
      </c>
      <c r="J2133" s="2">
        <v>1</v>
      </c>
      <c r="K2133" s="2" t="s">
        <v>24</v>
      </c>
      <c r="L2133" s="2">
        <v>25095</v>
      </c>
      <c r="M2133" s="2" t="s">
        <v>216</v>
      </c>
      <c r="N2133" s="2">
        <v>15</v>
      </c>
      <c r="O2133" s="2">
        <v>53436.13</v>
      </c>
      <c r="P2133" s="2">
        <v>3562.41</v>
      </c>
    </row>
    <row r="2134" spans="1:16" outlineLevel="1" x14ac:dyDescent="0.2">
      <c r="A2134" s="5"/>
      <c r="D2134" s="3" t="s">
        <v>719</v>
      </c>
      <c r="N2134" s="2">
        <f>SUBTOTAL(9,N2131:N2133)</f>
        <v>46</v>
      </c>
      <c r="O2134" s="2">
        <f>SUBTOTAL(9,O2131:O2133)</f>
        <v>159981.59</v>
      </c>
      <c r="P2134" s="2">
        <f>+O2134/N2134</f>
        <v>3477.860652173913</v>
      </c>
    </row>
    <row r="2135" spans="1:16" outlineLevel="2" x14ac:dyDescent="0.2">
      <c r="A2135" s="5">
        <v>46105</v>
      </c>
      <c r="B2135" s="2">
        <v>158012</v>
      </c>
      <c r="C2135" s="2">
        <v>2</v>
      </c>
      <c r="D2135" s="2" t="s">
        <v>197</v>
      </c>
      <c r="E2135" s="2" t="s">
        <v>20</v>
      </c>
      <c r="F2135" s="2" t="s">
        <v>63</v>
      </c>
      <c r="G2135" s="2" t="s">
        <v>22</v>
      </c>
      <c r="H2135" s="2" t="s">
        <v>23</v>
      </c>
      <c r="I2135" s="2" t="s">
        <v>23</v>
      </c>
      <c r="J2135" s="2">
        <v>40</v>
      </c>
      <c r="K2135" s="2" t="s">
        <v>43</v>
      </c>
      <c r="L2135" s="2">
        <v>2014</v>
      </c>
      <c r="M2135" s="2" t="s">
        <v>437</v>
      </c>
      <c r="N2135" s="2">
        <v>684</v>
      </c>
      <c r="O2135" s="2">
        <v>27901240.670000002</v>
      </c>
      <c r="P2135" s="2">
        <v>40791.29</v>
      </c>
    </row>
    <row r="2136" spans="1:16" outlineLevel="1" x14ac:dyDescent="0.2">
      <c r="A2136" s="5"/>
      <c r="D2136" s="3" t="s">
        <v>734</v>
      </c>
      <c r="N2136" s="2">
        <f>SUBTOTAL(9,N2135:N2135)</f>
        <v>684</v>
      </c>
      <c r="O2136" s="2">
        <f>SUBTOTAL(9,O2135:O2135)</f>
        <v>27901240.670000002</v>
      </c>
      <c r="P2136" s="2">
        <f>+O2136/N2136</f>
        <v>40791.287529239766</v>
      </c>
    </row>
    <row r="2137" spans="1:16" outlineLevel="2" x14ac:dyDescent="0.2">
      <c r="A2137" s="5">
        <v>46105</v>
      </c>
      <c r="B2137" s="2">
        <v>158014</v>
      </c>
      <c r="C2137" s="2">
        <v>1</v>
      </c>
      <c r="D2137" s="2" t="s">
        <v>38</v>
      </c>
      <c r="E2137" s="2" t="s">
        <v>39</v>
      </c>
      <c r="F2137" s="2" t="s">
        <v>63</v>
      </c>
      <c r="G2137" s="2" t="s">
        <v>22</v>
      </c>
      <c r="H2137" s="2" t="s">
        <v>23</v>
      </c>
      <c r="I2137" s="2" t="s">
        <v>243</v>
      </c>
      <c r="J2137" s="2">
        <v>1</v>
      </c>
      <c r="K2137" s="2" t="s">
        <v>24</v>
      </c>
      <c r="L2137" s="2">
        <v>1846</v>
      </c>
      <c r="M2137" s="2" t="s">
        <v>134</v>
      </c>
      <c r="N2137" s="2">
        <v>178</v>
      </c>
      <c r="O2137" s="2">
        <v>14438053.02</v>
      </c>
      <c r="P2137" s="2">
        <v>81112.66</v>
      </c>
    </row>
    <row r="2138" spans="1:16" outlineLevel="2" x14ac:dyDescent="0.2">
      <c r="A2138" s="5">
        <v>46105</v>
      </c>
      <c r="B2138" s="2">
        <v>158014</v>
      </c>
      <c r="C2138" s="2">
        <v>2</v>
      </c>
      <c r="D2138" s="2" t="s">
        <v>38</v>
      </c>
      <c r="E2138" s="2" t="s">
        <v>39</v>
      </c>
      <c r="F2138" s="2" t="s">
        <v>63</v>
      </c>
      <c r="G2138" s="2" t="s">
        <v>22</v>
      </c>
      <c r="H2138" s="2" t="s">
        <v>23</v>
      </c>
      <c r="I2138" s="2" t="s">
        <v>116</v>
      </c>
      <c r="J2138" s="2">
        <v>1</v>
      </c>
      <c r="K2138" s="2" t="s">
        <v>24</v>
      </c>
      <c r="L2138" s="2">
        <v>1846</v>
      </c>
      <c r="M2138" s="2" t="s">
        <v>134</v>
      </c>
      <c r="N2138" s="2">
        <v>312</v>
      </c>
      <c r="O2138" s="2">
        <v>26434177.190000001</v>
      </c>
      <c r="P2138" s="2">
        <v>84724.93</v>
      </c>
    </row>
    <row r="2139" spans="1:16" outlineLevel="2" x14ac:dyDescent="0.2">
      <c r="A2139" s="5">
        <v>46105</v>
      </c>
      <c r="B2139" s="2">
        <v>158014</v>
      </c>
      <c r="C2139" s="2">
        <v>3</v>
      </c>
      <c r="D2139" s="2" t="s">
        <v>38</v>
      </c>
      <c r="E2139" s="2" t="s">
        <v>39</v>
      </c>
      <c r="F2139" s="2" t="s">
        <v>63</v>
      </c>
      <c r="G2139" s="2" t="s">
        <v>22</v>
      </c>
      <c r="H2139" s="2" t="s">
        <v>23</v>
      </c>
      <c r="I2139" s="2" t="s">
        <v>135</v>
      </c>
      <c r="J2139" s="2">
        <v>1</v>
      </c>
      <c r="K2139" s="2" t="s">
        <v>24</v>
      </c>
      <c r="L2139" s="2">
        <v>1846</v>
      </c>
      <c r="M2139" s="2" t="s">
        <v>134</v>
      </c>
      <c r="N2139" s="2">
        <v>216</v>
      </c>
      <c r="O2139" s="2">
        <v>18672796.609999999</v>
      </c>
      <c r="P2139" s="2">
        <v>86448.13</v>
      </c>
    </row>
    <row r="2140" spans="1:16" outlineLevel="2" x14ac:dyDescent="0.2">
      <c r="A2140" s="5">
        <v>46105</v>
      </c>
      <c r="B2140" s="2">
        <v>158014</v>
      </c>
      <c r="C2140" s="2">
        <v>4</v>
      </c>
      <c r="D2140" s="2" t="s">
        <v>38</v>
      </c>
      <c r="E2140" s="2" t="s">
        <v>39</v>
      </c>
      <c r="F2140" s="2" t="s">
        <v>63</v>
      </c>
      <c r="G2140" s="2" t="s">
        <v>22</v>
      </c>
      <c r="H2140" s="2" t="s">
        <v>23</v>
      </c>
      <c r="I2140" s="2" t="s">
        <v>133</v>
      </c>
      <c r="J2140" s="2">
        <v>1</v>
      </c>
      <c r="K2140" s="2" t="s">
        <v>24</v>
      </c>
      <c r="L2140" s="2">
        <v>1846</v>
      </c>
      <c r="M2140" s="2" t="s">
        <v>134</v>
      </c>
      <c r="N2140" s="2">
        <v>224</v>
      </c>
      <c r="O2140" s="2">
        <v>16370667.279999999</v>
      </c>
      <c r="P2140" s="2">
        <v>73083.34</v>
      </c>
    </row>
    <row r="2141" spans="1:16" outlineLevel="1" x14ac:dyDescent="0.2">
      <c r="A2141" s="5"/>
      <c r="D2141" s="3" t="s">
        <v>721</v>
      </c>
      <c r="N2141" s="2">
        <f>SUBTOTAL(9,N2137:N2140)</f>
        <v>930</v>
      </c>
      <c r="O2141" s="2">
        <f>SUBTOTAL(9,O2137:O2140)</f>
        <v>75915694.099999994</v>
      </c>
      <c r="P2141" s="2">
        <f>+O2141/N2141</f>
        <v>81629.778602150531</v>
      </c>
    </row>
    <row r="2142" spans="1:16" outlineLevel="2" x14ac:dyDescent="0.2">
      <c r="A2142" s="5">
        <v>46105</v>
      </c>
      <c r="B2142" s="2">
        <v>158015</v>
      </c>
      <c r="C2142" s="2">
        <v>1</v>
      </c>
      <c r="D2142" s="2" t="s">
        <v>229</v>
      </c>
      <c r="E2142" s="2" t="s">
        <v>230</v>
      </c>
      <c r="F2142" s="2" t="s">
        <v>40</v>
      </c>
      <c r="G2142" s="2" t="s">
        <v>438</v>
      </c>
      <c r="H2142" s="2" t="s">
        <v>23</v>
      </c>
      <c r="I2142" s="2" t="s">
        <v>23</v>
      </c>
      <c r="J2142" s="2">
        <v>1</v>
      </c>
      <c r="K2142" s="2" t="s">
        <v>24</v>
      </c>
      <c r="L2142" s="2">
        <v>331</v>
      </c>
      <c r="M2142" s="2" t="s">
        <v>356</v>
      </c>
      <c r="N2142" s="2">
        <v>102</v>
      </c>
      <c r="O2142" s="2">
        <v>4388015.21</v>
      </c>
      <c r="P2142" s="2">
        <v>43019.76</v>
      </c>
    </row>
    <row r="2143" spans="1:16" outlineLevel="1" x14ac:dyDescent="0.2">
      <c r="A2143" s="5"/>
      <c r="D2143" s="3" t="s">
        <v>737</v>
      </c>
      <c r="N2143" s="2">
        <f>SUBTOTAL(9,N2142:N2142)</f>
        <v>102</v>
      </c>
      <c r="O2143" s="2">
        <f>SUBTOTAL(9,O2142:O2142)</f>
        <v>4388015.21</v>
      </c>
      <c r="P2143" s="2">
        <f>+O2143/N2143</f>
        <v>43019.756960784311</v>
      </c>
    </row>
    <row r="2144" spans="1:16" outlineLevel="2" x14ac:dyDescent="0.2">
      <c r="A2144" s="5">
        <v>46105</v>
      </c>
      <c r="B2144" s="2">
        <v>158015</v>
      </c>
      <c r="C2144" s="2">
        <v>2</v>
      </c>
      <c r="D2144" s="2" t="s">
        <v>357</v>
      </c>
      <c r="E2144" s="2" t="s">
        <v>230</v>
      </c>
      <c r="F2144" s="2" t="s">
        <v>40</v>
      </c>
      <c r="G2144" s="2" t="s">
        <v>438</v>
      </c>
      <c r="H2144" s="2" t="s">
        <v>23</v>
      </c>
      <c r="I2144" s="2" t="s">
        <v>23</v>
      </c>
      <c r="J2144" s="2">
        <v>1</v>
      </c>
      <c r="K2144" s="2" t="s">
        <v>24</v>
      </c>
      <c r="L2144" s="2">
        <v>331</v>
      </c>
      <c r="M2144" s="2" t="s">
        <v>356</v>
      </c>
      <c r="N2144" s="2">
        <v>20</v>
      </c>
      <c r="O2144" s="2">
        <v>895591.92</v>
      </c>
      <c r="P2144" s="2">
        <v>44779.6</v>
      </c>
    </row>
    <row r="2145" spans="1:16" outlineLevel="1" x14ac:dyDescent="0.2">
      <c r="A2145" s="5"/>
      <c r="D2145" s="3" t="s">
        <v>758</v>
      </c>
      <c r="N2145" s="2">
        <f>SUBTOTAL(9,N2144:N2144)</f>
        <v>20</v>
      </c>
      <c r="O2145" s="2">
        <f>SUBTOTAL(9,O2144:O2144)</f>
        <v>895591.92</v>
      </c>
      <c r="P2145" s="2">
        <f>+O2145/N2145</f>
        <v>44779.596000000005</v>
      </c>
    </row>
    <row r="2146" spans="1:16" outlineLevel="2" x14ac:dyDescent="0.2">
      <c r="A2146" s="5">
        <v>46105</v>
      </c>
      <c r="B2146" s="2">
        <v>158015</v>
      </c>
      <c r="C2146" s="2">
        <v>4</v>
      </c>
      <c r="D2146" s="2" t="s">
        <v>229</v>
      </c>
      <c r="E2146" s="2" t="s">
        <v>230</v>
      </c>
      <c r="F2146" s="2" t="s">
        <v>40</v>
      </c>
      <c r="G2146" s="2" t="s">
        <v>22</v>
      </c>
      <c r="H2146" s="2" t="s">
        <v>23</v>
      </c>
      <c r="I2146" s="2" t="s">
        <v>79</v>
      </c>
      <c r="J2146" s="2">
        <v>1</v>
      </c>
      <c r="K2146" s="2" t="s">
        <v>24</v>
      </c>
      <c r="L2146" s="2">
        <v>331</v>
      </c>
      <c r="M2146" s="2" t="s">
        <v>356</v>
      </c>
      <c r="N2146" s="2">
        <v>562</v>
      </c>
      <c r="O2146" s="2">
        <v>6464271.46</v>
      </c>
      <c r="P2146" s="2">
        <v>11502.26</v>
      </c>
    </row>
    <row r="2147" spans="1:16" outlineLevel="2" x14ac:dyDescent="0.2">
      <c r="A2147" s="5">
        <v>46131</v>
      </c>
      <c r="B2147" s="2">
        <v>158015</v>
      </c>
      <c r="C2147" s="2">
        <v>5</v>
      </c>
      <c r="D2147" s="2" t="s">
        <v>229</v>
      </c>
      <c r="E2147" s="2" t="s">
        <v>439</v>
      </c>
      <c r="F2147" s="2" t="s">
        <v>40</v>
      </c>
      <c r="G2147" s="2" t="s">
        <v>22</v>
      </c>
      <c r="H2147" s="2" t="s">
        <v>23</v>
      </c>
      <c r="I2147" s="2" t="s">
        <v>154</v>
      </c>
      <c r="J2147" s="2">
        <v>1</v>
      </c>
      <c r="K2147" s="2" t="s">
        <v>24</v>
      </c>
      <c r="L2147" s="2">
        <v>331</v>
      </c>
      <c r="M2147" s="2" t="s">
        <v>356</v>
      </c>
      <c r="N2147" s="2">
        <v>19</v>
      </c>
      <c r="O2147" s="2">
        <v>212686.58</v>
      </c>
      <c r="P2147" s="2">
        <v>11194.03</v>
      </c>
    </row>
    <row r="2148" spans="1:16" outlineLevel="1" x14ac:dyDescent="0.2">
      <c r="A2148" s="5"/>
      <c r="D2148" s="3" t="s">
        <v>737</v>
      </c>
      <c r="N2148" s="2">
        <f>SUBTOTAL(9,N2146:N2147)</f>
        <v>581</v>
      </c>
      <c r="O2148" s="2">
        <f>SUBTOTAL(9,O2146:O2147)</f>
        <v>6676958.04</v>
      </c>
      <c r="P2148" s="2">
        <f>+O2148/N2148</f>
        <v>11492.182512908777</v>
      </c>
    </row>
    <row r="2149" spans="1:16" outlineLevel="2" x14ac:dyDescent="0.2">
      <c r="A2149" s="5">
        <v>46114</v>
      </c>
      <c r="B2149" s="2">
        <v>158016</v>
      </c>
      <c r="C2149" s="2">
        <v>1</v>
      </c>
      <c r="D2149" s="2" t="s">
        <v>38</v>
      </c>
      <c r="E2149" s="2" t="s">
        <v>39</v>
      </c>
      <c r="F2149" s="2" t="s">
        <v>290</v>
      </c>
      <c r="G2149" s="2" t="s">
        <v>349</v>
      </c>
      <c r="H2149" s="2" t="s">
        <v>23</v>
      </c>
      <c r="I2149" s="2" t="s">
        <v>23</v>
      </c>
      <c r="J2149" s="2">
        <v>40</v>
      </c>
      <c r="K2149" s="2" t="s">
        <v>43</v>
      </c>
      <c r="L2149" s="2">
        <v>2551</v>
      </c>
      <c r="M2149" s="2" t="s">
        <v>292</v>
      </c>
      <c r="N2149" s="2">
        <v>182</v>
      </c>
      <c r="O2149" s="2">
        <v>2187155.54</v>
      </c>
      <c r="P2149" s="2">
        <v>12017.34</v>
      </c>
    </row>
    <row r="2150" spans="1:16" outlineLevel="2" x14ac:dyDescent="0.2">
      <c r="A2150" s="5">
        <v>46139</v>
      </c>
      <c r="B2150" s="2">
        <v>158016</v>
      </c>
      <c r="C2150" s="2">
        <v>2</v>
      </c>
      <c r="D2150" s="2" t="s">
        <v>38</v>
      </c>
      <c r="E2150" s="2" t="s">
        <v>39</v>
      </c>
      <c r="F2150" s="2" t="s">
        <v>290</v>
      </c>
      <c r="G2150" s="2" t="s">
        <v>22</v>
      </c>
      <c r="H2150" s="2" t="s">
        <v>23</v>
      </c>
      <c r="I2150" s="2" t="s">
        <v>23</v>
      </c>
      <c r="J2150" s="2">
        <v>40</v>
      </c>
      <c r="K2150" s="2" t="s">
        <v>43</v>
      </c>
      <c r="L2150" s="2">
        <v>2551</v>
      </c>
      <c r="M2150" s="2" t="s">
        <v>292</v>
      </c>
      <c r="N2150" s="2">
        <v>6</v>
      </c>
      <c r="O2150" s="2">
        <v>3788.64</v>
      </c>
      <c r="P2150" s="2">
        <v>631.44000000000005</v>
      </c>
    </row>
    <row r="2151" spans="1:16" outlineLevel="2" x14ac:dyDescent="0.2">
      <c r="A2151" s="5">
        <v>46125</v>
      </c>
      <c r="B2151" s="2">
        <v>158017</v>
      </c>
      <c r="C2151" s="2">
        <v>1</v>
      </c>
      <c r="D2151" s="2" t="s">
        <v>38</v>
      </c>
      <c r="E2151" s="2" t="s">
        <v>39</v>
      </c>
      <c r="F2151" s="2" t="s">
        <v>290</v>
      </c>
      <c r="G2151" s="2" t="s">
        <v>349</v>
      </c>
      <c r="H2151" s="2" t="s">
        <v>23</v>
      </c>
      <c r="I2151" s="2" t="s">
        <v>23</v>
      </c>
      <c r="J2151" s="2">
        <v>40</v>
      </c>
      <c r="K2151" s="2" t="s">
        <v>43</v>
      </c>
      <c r="L2151" s="2">
        <v>2551</v>
      </c>
      <c r="M2151" s="2" t="s">
        <v>292</v>
      </c>
      <c r="N2151" s="2">
        <v>147</v>
      </c>
      <c r="O2151" s="2">
        <v>798802.86</v>
      </c>
      <c r="P2151" s="2">
        <v>5434.03</v>
      </c>
    </row>
    <row r="2152" spans="1:16" outlineLevel="1" x14ac:dyDescent="0.2">
      <c r="A2152" s="5"/>
      <c r="D2152" s="3" t="s">
        <v>721</v>
      </c>
      <c r="N2152" s="2">
        <f>SUBTOTAL(9,N2149:N2151)</f>
        <v>335</v>
      </c>
      <c r="O2152" s="2">
        <f>SUBTOTAL(9,O2149:O2151)</f>
        <v>2989747.04</v>
      </c>
      <c r="P2152" s="2">
        <f>+O2152/N2152</f>
        <v>8924.6180298507461</v>
      </c>
    </row>
    <row r="2153" spans="1:16" outlineLevel="2" x14ac:dyDescent="0.2">
      <c r="A2153" s="5">
        <v>46108</v>
      </c>
      <c r="B2153" s="2">
        <v>158027</v>
      </c>
      <c r="C2153" s="2">
        <v>315</v>
      </c>
      <c r="D2153" s="2" t="s">
        <v>54</v>
      </c>
      <c r="E2153" s="2" t="s">
        <v>30</v>
      </c>
      <c r="F2153" s="2" t="s">
        <v>55</v>
      </c>
      <c r="G2153" s="2" t="s">
        <v>23</v>
      </c>
      <c r="H2153" s="2" t="s">
        <v>23</v>
      </c>
      <c r="I2153" s="2" t="s">
        <v>23</v>
      </c>
      <c r="J2153" s="2">
        <v>2</v>
      </c>
      <c r="K2153" s="2" t="s">
        <v>48</v>
      </c>
      <c r="L2153" s="2">
        <v>1964</v>
      </c>
      <c r="M2153" s="2" t="s">
        <v>49</v>
      </c>
      <c r="N2153" s="2">
        <v>6</v>
      </c>
      <c r="O2153" s="2">
        <v>26228.34</v>
      </c>
      <c r="P2153" s="2">
        <v>4371.3900000000003</v>
      </c>
    </row>
    <row r="2154" spans="1:16" outlineLevel="1" x14ac:dyDescent="0.2">
      <c r="A2154" s="5"/>
      <c r="D2154" s="3" t="s">
        <v>719</v>
      </c>
      <c r="N2154" s="2">
        <f>SUBTOTAL(9,N2153:N2153)</f>
        <v>6</v>
      </c>
      <c r="O2154" s="2">
        <f>SUBTOTAL(9,O2153:O2153)</f>
        <v>26228.34</v>
      </c>
      <c r="P2154" s="2">
        <f>+O2154/N2154</f>
        <v>4371.3900000000003</v>
      </c>
    </row>
    <row r="2155" spans="1:16" outlineLevel="2" x14ac:dyDescent="0.2">
      <c r="A2155" s="5">
        <v>46105</v>
      </c>
      <c r="B2155" s="2">
        <v>158032</v>
      </c>
      <c r="C2155" s="2">
        <v>1</v>
      </c>
      <c r="D2155" s="2" t="s">
        <v>197</v>
      </c>
      <c r="E2155" s="2" t="s">
        <v>198</v>
      </c>
      <c r="F2155" s="2" t="s">
        <v>199</v>
      </c>
      <c r="G2155" s="2" t="s">
        <v>22</v>
      </c>
      <c r="H2155" s="2" t="s">
        <v>23</v>
      </c>
      <c r="I2155" s="2" t="s">
        <v>23</v>
      </c>
      <c r="J2155" s="2">
        <v>2</v>
      </c>
      <c r="K2155" s="2" t="s">
        <v>48</v>
      </c>
      <c r="L2155" s="2">
        <v>2542</v>
      </c>
      <c r="M2155" s="2" t="s">
        <v>327</v>
      </c>
      <c r="N2155" s="2">
        <v>100</v>
      </c>
      <c r="O2155" s="2">
        <v>1655909.11</v>
      </c>
      <c r="P2155" s="2">
        <v>16559.09</v>
      </c>
    </row>
    <row r="2156" spans="1:16" outlineLevel="2" x14ac:dyDescent="0.2">
      <c r="A2156" s="5">
        <v>46105</v>
      </c>
      <c r="B2156" s="2">
        <v>158039</v>
      </c>
      <c r="C2156" s="2">
        <v>1</v>
      </c>
      <c r="D2156" s="2" t="s">
        <v>197</v>
      </c>
      <c r="E2156" s="2" t="s">
        <v>284</v>
      </c>
      <c r="F2156" s="2" t="s">
        <v>40</v>
      </c>
      <c r="G2156" s="2" t="s">
        <v>22</v>
      </c>
      <c r="H2156" s="2" t="s">
        <v>23</v>
      </c>
      <c r="I2156" s="2" t="s">
        <v>23</v>
      </c>
      <c r="J2156" s="2">
        <v>2</v>
      </c>
      <c r="K2156" s="2" t="s">
        <v>48</v>
      </c>
      <c r="L2156" s="2">
        <v>183</v>
      </c>
      <c r="M2156" s="2" t="s">
        <v>381</v>
      </c>
      <c r="N2156" s="2">
        <v>271</v>
      </c>
      <c r="O2156" s="2">
        <v>6306085.4900000002</v>
      </c>
      <c r="P2156" s="2">
        <v>23269.69</v>
      </c>
    </row>
    <row r="2157" spans="1:16" outlineLevel="1" x14ac:dyDescent="0.2">
      <c r="A2157" s="5"/>
      <c r="D2157" s="3" t="s">
        <v>734</v>
      </c>
      <c r="N2157" s="2">
        <f>SUBTOTAL(9,N2155:N2156)</f>
        <v>371</v>
      </c>
      <c r="O2157" s="2">
        <f>SUBTOTAL(9,O2155:O2156)</f>
        <v>7961994.6000000006</v>
      </c>
      <c r="P2157" s="2">
        <f>+O2157/N2157</f>
        <v>21460.901886792453</v>
      </c>
    </row>
    <row r="2158" spans="1:16" outlineLevel="2" x14ac:dyDescent="0.2">
      <c r="A2158" s="5">
        <v>46108</v>
      </c>
      <c r="B2158" s="2">
        <v>158047</v>
      </c>
      <c r="C2158" s="2">
        <v>301</v>
      </c>
      <c r="D2158" s="2" t="s">
        <v>110</v>
      </c>
      <c r="E2158" s="2" t="s">
        <v>111</v>
      </c>
      <c r="F2158" s="2" t="s">
        <v>55</v>
      </c>
      <c r="G2158" s="2" t="s">
        <v>23</v>
      </c>
      <c r="H2158" s="2" t="s">
        <v>23</v>
      </c>
      <c r="I2158" s="2" t="s">
        <v>23</v>
      </c>
      <c r="J2158" s="2">
        <v>2</v>
      </c>
      <c r="K2158" s="2" t="s">
        <v>48</v>
      </c>
      <c r="L2158" s="2">
        <v>600</v>
      </c>
      <c r="M2158" s="2" t="s">
        <v>112</v>
      </c>
      <c r="N2158" s="2">
        <v>12</v>
      </c>
      <c r="O2158" s="2">
        <v>41255.4</v>
      </c>
      <c r="P2158" s="2">
        <v>3437.95</v>
      </c>
    </row>
    <row r="2159" spans="1:16" outlineLevel="2" x14ac:dyDescent="0.2">
      <c r="A2159" s="5">
        <v>46108</v>
      </c>
      <c r="B2159" s="2">
        <v>158047</v>
      </c>
      <c r="C2159" s="2">
        <v>306</v>
      </c>
      <c r="D2159" s="2" t="s">
        <v>110</v>
      </c>
      <c r="E2159" s="2" t="s">
        <v>111</v>
      </c>
      <c r="F2159" s="2" t="s">
        <v>55</v>
      </c>
      <c r="G2159" s="2" t="s">
        <v>23</v>
      </c>
      <c r="H2159" s="2" t="s">
        <v>23</v>
      </c>
      <c r="I2159" s="2" t="s">
        <v>23</v>
      </c>
      <c r="J2159" s="2">
        <v>2</v>
      </c>
      <c r="K2159" s="2" t="s">
        <v>48</v>
      </c>
      <c r="L2159" s="2">
        <v>600</v>
      </c>
      <c r="M2159" s="2" t="s">
        <v>112</v>
      </c>
      <c r="N2159" s="2">
        <v>4</v>
      </c>
      <c r="O2159" s="2">
        <v>10018.08</v>
      </c>
      <c r="P2159" s="2">
        <v>2504.52</v>
      </c>
    </row>
    <row r="2160" spans="1:16" outlineLevel="1" x14ac:dyDescent="0.2">
      <c r="A2160" s="5"/>
      <c r="D2160" s="3" t="s">
        <v>697</v>
      </c>
      <c r="N2160" s="2">
        <f>SUBTOTAL(9,N2158:N2159)</f>
        <v>16</v>
      </c>
      <c r="O2160" s="2">
        <f>SUBTOTAL(9,O2158:O2159)</f>
        <v>51273.48</v>
      </c>
      <c r="P2160" s="2">
        <f>+O2160/N2160</f>
        <v>3204.5925000000002</v>
      </c>
    </row>
    <row r="2161" spans="1:16" outlineLevel="2" x14ac:dyDescent="0.2">
      <c r="A2161" s="5">
        <v>46113</v>
      </c>
      <c r="B2161" s="2">
        <v>158047</v>
      </c>
      <c r="C2161" s="2">
        <v>309</v>
      </c>
      <c r="D2161" s="2" t="s">
        <v>54</v>
      </c>
      <c r="E2161" s="2" t="s">
        <v>20</v>
      </c>
      <c r="F2161" s="2" t="s">
        <v>55</v>
      </c>
      <c r="G2161" s="2" t="s">
        <v>23</v>
      </c>
      <c r="H2161" s="2" t="s">
        <v>23</v>
      </c>
      <c r="I2161" s="2" t="s">
        <v>23</v>
      </c>
      <c r="J2161" s="2">
        <v>2</v>
      </c>
      <c r="K2161" s="2" t="s">
        <v>48</v>
      </c>
      <c r="L2161" s="2">
        <v>25095</v>
      </c>
      <c r="M2161" s="2" t="s">
        <v>216</v>
      </c>
      <c r="N2161" s="2">
        <v>10</v>
      </c>
      <c r="O2161" s="2">
        <v>37117.86</v>
      </c>
      <c r="P2161" s="2">
        <v>3711.79</v>
      </c>
    </row>
    <row r="2162" spans="1:16" outlineLevel="2" x14ac:dyDescent="0.2">
      <c r="A2162" s="5">
        <v>46111</v>
      </c>
      <c r="B2162" s="2">
        <v>158047</v>
      </c>
      <c r="C2162" s="2">
        <v>315</v>
      </c>
      <c r="D2162" s="2" t="s">
        <v>54</v>
      </c>
      <c r="E2162" s="2" t="s">
        <v>20</v>
      </c>
      <c r="F2162" s="2" t="s">
        <v>55</v>
      </c>
      <c r="G2162" s="2" t="s">
        <v>23</v>
      </c>
      <c r="H2162" s="2" t="s">
        <v>23</v>
      </c>
      <c r="I2162" s="2" t="s">
        <v>23</v>
      </c>
      <c r="J2162" s="2">
        <v>2</v>
      </c>
      <c r="K2162" s="2" t="s">
        <v>48</v>
      </c>
      <c r="L2162" s="2">
        <v>25095</v>
      </c>
      <c r="M2162" s="2" t="s">
        <v>216</v>
      </c>
      <c r="N2162" s="2">
        <v>111</v>
      </c>
      <c r="O2162" s="2">
        <v>296291.77</v>
      </c>
      <c r="P2162" s="2">
        <v>2669.3</v>
      </c>
    </row>
    <row r="2163" spans="1:16" outlineLevel="2" x14ac:dyDescent="0.2">
      <c r="A2163" s="5">
        <v>46111</v>
      </c>
      <c r="B2163" s="2">
        <v>158047</v>
      </c>
      <c r="C2163" s="2">
        <v>316</v>
      </c>
      <c r="D2163" s="2" t="s">
        <v>54</v>
      </c>
      <c r="E2163" s="2" t="s">
        <v>20</v>
      </c>
      <c r="F2163" s="2" t="s">
        <v>55</v>
      </c>
      <c r="G2163" s="2" t="s">
        <v>23</v>
      </c>
      <c r="H2163" s="2" t="s">
        <v>23</v>
      </c>
      <c r="I2163" s="2" t="s">
        <v>23</v>
      </c>
      <c r="J2163" s="2">
        <v>2</v>
      </c>
      <c r="K2163" s="2" t="s">
        <v>48</v>
      </c>
      <c r="L2163" s="2">
        <v>25095</v>
      </c>
      <c r="M2163" s="2" t="s">
        <v>216</v>
      </c>
      <c r="N2163" s="2">
        <v>14</v>
      </c>
      <c r="O2163" s="2">
        <v>56828.06</v>
      </c>
      <c r="P2163" s="2">
        <v>4059.15</v>
      </c>
    </row>
    <row r="2164" spans="1:16" outlineLevel="1" x14ac:dyDescent="0.2">
      <c r="A2164" s="5"/>
      <c r="D2164" s="3" t="s">
        <v>719</v>
      </c>
      <c r="N2164" s="2">
        <f>SUBTOTAL(9,N2161:N2163)</f>
        <v>135</v>
      </c>
      <c r="O2164" s="2">
        <f>SUBTOTAL(9,O2161:O2163)</f>
        <v>390237.69</v>
      </c>
      <c r="P2164" s="2">
        <f>+O2164/N2164</f>
        <v>2890.6495555555557</v>
      </c>
    </row>
    <row r="2165" spans="1:16" outlineLevel="2" x14ac:dyDescent="0.2">
      <c r="A2165" s="5">
        <v>46120</v>
      </c>
      <c r="B2165" s="2">
        <v>158049</v>
      </c>
      <c r="C2165" s="2">
        <v>1</v>
      </c>
      <c r="D2165" s="2" t="s">
        <v>140</v>
      </c>
      <c r="E2165" s="2" t="s">
        <v>55</v>
      </c>
      <c r="F2165" s="2" t="s">
        <v>23</v>
      </c>
      <c r="G2165" s="2" t="s">
        <v>23</v>
      </c>
      <c r="H2165" s="2" t="s">
        <v>23</v>
      </c>
      <c r="I2165" s="2" t="s">
        <v>23</v>
      </c>
      <c r="J2165" s="2">
        <v>1</v>
      </c>
      <c r="K2165" s="2" t="s">
        <v>24</v>
      </c>
      <c r="L2165" s="2">
        <v>1833</v>
      </c>
      <c r="M2165" s="2" t="s">
        <v>142</v>
      </c>
      <c r="N2165" s="2">
        <v>23</v>
      </c>
      <c r="O2165" s="2">
        <v>288020.67</v>
      </c>
      <c r="P2165" s="2">
        <v>12522.64</v>
      </c>
    </row>
    <row r="2166" spans="1:16" outlineLevel="1" x14ac:dyDescent="0.2">
      <c r="A2166" s="5"/>
      <c r="D2166" s="3" t="s">
        <v>696</v>
      </c>
      <c r="N2166" s="2">
        <f>SUBTOTAL(9,N2165:N2165)</f>
        <v>23</v>
      </c>
      <c r="O2166" s="2">
        <f>SUBTOTAL(9,O2165:O2165)</f>
        <v>288020.67</v>
      </c>
      <c r="P2166" s="2">
        <f>+O2166/N2166</f>
        <v>12522.637826086955</v>
      </c>
    </row>
    <row r="2167" spans="1:16" outlineLevel="2" x14ac:dyDescent="0.2">
      <c r="A2167" s="5">
        <v>46118</v>
      </c>
      <c r="B2167" s="2">
        <v>158086</v>
      </c>
      <c r="C2167" s="2">
        <v>316</v>
      </c>
      <c r="D2167" s="2" t="s">
        <v>338</v>
      </c>
      <c r="E2167" s="2" t="s">
        <v>55</v>
      </c>
      <c r="F2167" s="2" t="s">
        <v>23</v>
      </c>
      <c r="G2167" s="2" t="s">
        <v>23</v>
      </c>
      <c r="H2167" s="2" t="s">
        <v>23</v>
      </c>
      <c r="I2167" s="2" t="s">
        <v>23</v>
      </c>
      <c r="J2167" s="2">
        <v>1</v>
      </c>
      <c r="K2167" s="2" t="s">
        <v>24</v>
      </c>
      <c r="L2167" s="2">
        <v>267</v>
      </c>
      <c r="M2167" s="2" t="s">
        <v>440</v>
      </c>
      <c r="N2167" s="2">
        <v>51</v>
      </c>
      <c r="O2167" s="2">
        <v>150750.32</v>
      </c>
      <c r="P2167" s="2">
        <v>2955.89</v>
      </c>
    </row>
    <row r="2168" spans="1:16" outlineLevel="1" x14ac:dyDescent="0.2">
      <c r="A2168" s="5"/>
      <c r="D2168" s="3" t="s">
        <v>754</v>
      </c>
      <c r="N2168" s="2">
        <f>SUBTOTAL(9,N2167:N2167)</f>
        <v>51</v>
      </c>
      <c r="O2168" s="2">
        <f>SUBTOTAL(9,O2167:O2167)</f>
        <v>150750.32</v>
      </c>
      <c r="P2168" s="2">
        <f>+O2168/N2168</f>
        <v>2955.8886274509805</v>
      </c>
    </row>
    <row r="2169" spans="1:16" outlineLevel="2" x14ac:dyDescent="0.2">
      <c r="A2169" s="5">
        <v>46114</v>
      </c>
      <c r="B2169" s="2">
        <v>158088</v>
      </c>
      <c r="C2169" s="2">
        <v>1</v>
      </c>
      <c r="D2169" s="2" t="s">
        <v>306</v>
      </c>
      <c r="E2169" s="2" t="s">
        <v>84</v>
      </c>
      <c r="F2169" s="2" t="s">
        <v>31</v>
      </c>
      <c r="G2169" s="2" t="s">
        <v>22</v>
      </c>
      <c r="H2169" s="2" t="s">
        <v>23</v>
      </c>
      <c r="I2169" s="2" t="s">
        <v>23</v>
      </c>
      <c r="J2169" s="2">
        <v>2</v>
      </c>
      <c r="K2169" s="2" t="s">
        <v>48</v>
      </c>
      <c r="L2169" s="2">
        <v>2353</v>
      </c>
      <c r="M2169" s="2" t="s">
        <v>347</v>
      </c>
      <c r="N2169" s="2">
        <v>79</v>
      </c>
      <c r="O2169" s="2">
        <v>1394035.64</v>
      </c>
      <c r="P2169" s="2">
        <v>17646.02</v>
      </c>
    </row>
    <row r="2170" spans="1:16" outlineLevel="1" x14ac:dyDescent="0.2">
      <c r="A2170" s="5"/>
      <c r="D2170" s="3" t="s">
        <v>748</v>
      </c>
      <c r="N2170" s="2">
        <f>SUBTOTAL(9,N2169:N2169)</f>
        <v>79</v>
      </c>
      <c r="O2170" s="2">
        <f>SUBTOTAL(9,O2169:O2169)</f>
        <v>1394035.64</v>
      </c>
      <c r="P2170" s="2">
        <f>+O2170/N2170</f>
        <v>17646.020759493669</v>
      </c>
    </row>
    <row r="2171" spans="1:16" outlineLevel="2" x14ac:dyDescent="0.2">
      <c r="A2171" s="5">
        <v>46108</v>
      </c>
      <c r="B2171" s="2">
        <v>158102</v>
      </c>
      <c r="C2171" s="2">
        <v>315</v>
      </c>
      <c r="D2171" s="2" t="s">
        <v>45</v>
      </c>
      <c r="E2171" s="2" t="s">
        <v>46</v>
      </c>
      <c r="F2171" s="2" t="s">
        <v>55</v>
      </c>
      <c r="G2171" s="2" t="s">
        <v>23</v>
      </c>
      <c r="H2171" s="2" t="s">
        <v>23</v>
      </c>
      <c r="I2171" s="2" t="s">
        <v>23</v>
      </c>
      <c r="J2171" s="2">
        <v>2</v>
      </c>
      <c r="K2171" s="2" t="s">
        <v>48</v>
      </c>
      <c r="L2171" s="2">
        <v>341</v>
      </c>
      <c r="M2171" s="2" t="s">
        <v>142</v>
      </c>
      <c r="N2171" s="2">
        <v>3</v>
      </c>
      <c r="O2171" s="2">
        <v>15914.49</v>
      </c>
      <c r="P2171" s="2">
        <v>5304.83</v>
      </c>
    </row>
    <row r="2172" spans="1:16" outlineLevel="1" x14ac:dyDescent="0.2">
      <c r="A2172" s="5"/>
      <c r="D2172" s="3" t="s">
        <v>733</v>
      </c>
      <c r="N2172" s="2">
        <f>SUBTOTAL(9,N2171:N2171)</f>
        <v>3</v>
      </c>
      <c r="O2172" s="2">
        <f>SUBTOTAL(9,O2171:O2171)</f>
        <v>15914.49</v>
      </c>
      <c r="P2172" s="2">
        <f>+O2172/N2172</f>
        <v>5304.83</v>
      </c>
    </row>
    <row r="2173" spans="1:16" outlineLevel="2" x14ac:dyDescent="0.2">
      <c r="A2173" s="5">
        <v>46107</v>
      </c>
      <c r="B2173" s="2">
        <v>158110</v>
      </c>
      <c r="C2173" s="2">
        <v>1</v>
      </c>
      <c r="D2173" s="2" t="s">
        <v>143</v>
      </c>
      <c r="E2173" s="2" t="s">
        <v>23</v>
      </c>
      <c r="F2173" s="2" t="s">
        <v>23</v>
      </c>
      <c r="G2173" s="2" t="s">
        <v>22</v>
      </c>
      <c r="H2173" s="2" t="s">
        <v>23</v>
      </c>
      <c r="I2173" s="2" t="s">
        <v>23</v>
      </c>
      <c r="J2173" s="2">
        <v>1</v>
      </c>
      <c r="K2173" s="2" t="s">
        <v>24</v>
      </c>
      <c r="L2173" s="2">
        <v>2101</v>
      </c>
      <c r="M2173" s="2" t="s">
        <v>145</v>
      </c>
      <c r="N2173" s="2">
        <v>180</v>
      </c>
      <c r="O2173" s="2">
        <v>2331691.85</v>
      </c>
      <c r="P2173" s="2">
        <v>12953.84</v>
      </c>
    </row>
    <row r="2174" spans="1:16" outlineLevel="1" x14ac:dyDescent="0.2">
      <c r="A2174" s="5"/>
      <c r="D2174" s="3" t="s">
        <v>706</v>
      </c>
      <c r="N2174" s="2">
        <f>SUBTOTAL(9,N2173:N2173)</f>
        <v>180</v>
      </c>
      <c r="O2174" s="2">
        <f>SUBTOTAL(9,O2173:O2173)</f>
        <v>2331691.85</v>
      </c>
      <c r="P2174" s="2">
        <f>+O2174/N2174</f>
        <v>12953.843611111111</v>
      </c>
    </row>
    <row r="2175" spans="1:16" outlineLevel="2" x14ac:dyDescent="0.2">
      <c r="A2175" s="5">
        <v>46108</v>
      </c>
      <c r="B2175" s="2">
        <v>158111</v>
      </c>
      <c r="C2175" s="2">
        <v>1</v>
      </c>
      <c r="D2175" s="2" t="s">
        <v>416</v>
      </c>
      <c r="E2175" s="2" t="s">
        <v>23</v>
      </c>
      <c r="F2175" s="2" t="s">
        <v>47</v>
      </c>
      <c r="G2175" s="2" t="s">
        <v>22</v>
      </c>
      <c r="H2175" s="2" t="s">
        <v>23</v>
      </c>
      <c r="I2175" s="2" t="s">
        <v>23</v>
      </c>
      <c r="J2175" s="2">
        <v>86</v>
      </c>
      <c r="K2175" s="2" t="s">
        <v>73</v>
      </c>
      <c r="L2175" s="2">
        <v>2338</v>
      </c>
      <c r="M2175" s="2" t="s">
        <v>417</v>
      </c>
      <c r="N2175" s="2">
        <v>12</v>
      </c>
      <c r="O2175" s="2">
        <v>283016.19</v>
      </c>
      <c r="P2175" s="2">
        <v>23584.68</v>
      </c>
    </row>
    <row r="2176" spans="1:16" outlineLevel="1" x14ac:dyDescent="0.2">
      <c r="A2176" s="5"/>
      <c r="D2176" s="3" t="s">
        <v>772</v>
      </c>
      <c r="N2176" s="2">
        <f>SUBTOTAL(9,N2175:N2175)</f>
        <v>12</v>
      </c>
      <c r="O2176" s="2">
        <f>SUBTOTAL(9,O2175:O2175)</f>
        <v>283016.19</v>
      </c>
      <c r="P2176" s="2">
        <f>+O2176/N2176</f>
        <v>23584.682499999999</v>
      </c>
    </row>
    <row r="2177" spans="1:16" outlineLevel="2" x14ac:dyDescent="0.2">
      <c r="A2177" s="5">
        <v>46108</v>
      </c>
      <c r="B2177" s="2">
        <v>158112</v>
      </c>
      <c r="C2177" s="2">
        <v>1</v>
      </c>
      <c r="D2177" s="2" t="s">
        <v>207</v>
      </c>
      <c r="E2177" s="2" t="s">
        <v>23</v>
      </c>
      <c r="F2177" s="2" t="s">
        <v>47</v>
      </c>
      <c r="G2177" s="2" t="s">
        <v>22</v>
      </c>
      <c r="H2177" s="2" t="s">
        <v>208</v>
      </c>
      <c r="I2177" s="2" t="s">
        <v>23</v>
      </c>
      <c r="J2177" s="2">
        <v>41</v>
      </c>
      <c r="K2177" s="2" t="s">
        <v>129</v>
      </c>
      <c r="L2177" s="2">
        <v>25213</v>
      </c>
      <c r="M2177" s="2" t="s">
        <v>130</v>
      </c>
      <c r="N2177" s="2">
        <v>25</v>
      </c>
      <c r="O2177" s="2">
        <v>163984.35999999999</v>
      </c>
      <c r="P2177" s="2">
        <v>6559.37</v>
      </c>
    </row>
    <row r="2178" spans="1:16" outlineLevel="2" x14ac:dyDescent="0.2">
      <c r="A2178" s="5">
        <v>46108</v>
      </c>
      <c r="B2178" s="2">
        <v>158112</v>
      </c>
      <c r="C2178" s="2">
        <v>2</v>
      </c>
      <c r="D2178" s="2" t="s">
        <v>207</v>
      </c>
      <c r="E2178" s="2" t="s">
        <v>23</v>
      </c>
      <c r="F2178" s="2" t="s">
        <v>47</v>
      </c>
      <c r="G2178" s="2" t="s">
        <v>22</v>
      </c>
      <c r="H2178" s="2" t="s">
        <v>209</v>
      </c>
      <c r="I2178" s="2" t="s">
        <v>23</v>
      </c>
      <c r="J2178" s="2">
        <v>41</v>
      </c>
      <c r="K2178" s="2" t="s">
        <v>129</v>
      </c>
      <c r="L2178" s="2">
        <v>25213</v>
      </c>
      <c r="M2178" s="2" t="s">
        <v>130</v>
      </c>
      <c r="N2178" s="2">
        <v>25</v>
      </c>
      <c r="O2178" s="2">
        <v>85589.77</v>
      </c>
      <c r="P2178" s="2">
        <v>3423.59</v>
      </c>
    </row>
    <row r="2179" spans="1:16" outlineLevel="2" x14ac:dyDescent="0.2">
      <c r="A2179" s="5">
        <v>46108</v>
      </c>
      <c r="B2179" s="2">
        <v>158112</v>
      </c>
      <c r="C2179" s="2">
        <v>3</v>
      </c>
      <c r="D2179" s="2" t="s">
        <v>207</v>
      </c>
      <c r="E2179" s="2" t="s">
        <v>23</v>
      </c>
      <c r="F2179" s="2" t="s">
        <v>47</v>
      </c>
      <c r="G2179" s="2" t="s">
        <v>22</v>
      </c>
      <c r="H2179" s="2" t="s">
        <v>23</v>
      </c>
      <c r="I2179" s="2" t="s">
        <v>23</v>
      </c>
      <c r="J2179" s="2">
        <v>1</v>
      </c>
      <c r="K2179" s="2" t="s">
        <v>24</v>
      </c>
      <c r="L2179" s="2">
        <v>25213</v>
      </c>
      <c r="M2179" s="2" t="s">
        <v>130</v>
      </c>
      <c r="N2179" s="2">
        <v>4</v>
      </c>
      <c r="O2179" s="2">
        <v>308718.53000000003</v>
      </c>
      <c r="P2179" s="2">
        <v>77179.63</v>
      </c>
    </row>
    <row r="2180" spans="1:16" outlineLevel="2" x14ac:dyDescent="0.2">
      <c r="A2180" s="5">
        <v>46108</v>
      </c>
      <c r="B2180" s="2">
        <v>158112</v>
      </c>
      <c r="C2180" s="2">
        <v>4</v>
      </c>
      <c r="D2180" s="2" t="s">
        <v>207</v>
      </c>
      <c r="E2180" s="2" t="s">
        <v>23</v>
      </c>
      <c r="F2180" s="2" t="s">
        <v>47</v>
      </c>
      <c r="G2180" s="2" t="s">
        <v>210</v>
      </c>
      <c r="H2180" s="2" t="s">
        <v>23</v>
      </c>
      <c r="I2180" s="2" t="s">
        <v>23</v>
      </c>
      <c r="J2180" s="2">
        <v>1</v>
      </c>
      <c r="K2180" s="2" t="s">
        <v>24</v>
      </c>
      <c r="L2180" s="2">
        <v>25213</v>
      </c>
      <c r="M2180" s="2" t="s">
        <v>130</v>
      </c>
      <c r="N2180" s="2">
        <v>2</v>
      </c>
      <c r="O2180" s="2">
        <v>139424.25</v>
      </c>
      <c r="P2180" s="2">
        <v>69712.13</v>
      </c>
    </row>
    <row r="2181" spans="1:16" outlineLevel="1" x14ac:dyDescent="0.2">
      <c r="A2181" s="5"/>
      <c r="D2181" s="3" t="s">
        <v>699</v>
      </c>
      <c r="N2181" s="2">
        <f>SUBTOTAL(9,N2177:N2180)</f>
        <v>56</v>
      </c>
      <c r="O2181" s="2">
        <f>SUBTOTAL(9,O2177:O2180)</f>
        <v>697716.91</v>
      </c>
      <c r="P2181" s="2">
        <f>+O2181/N2181</f>
        <v>12459.230535714287</v>
      </c>
    </row>
    <row r="2182" spans="1:16" outlineLevel="2" x14ac:dyDescent="0.2">
      <c r="A2182" s="5">
        <v>46108</v>
      </c>
      <c r="B2182" s="2">
        <v>158112</v>
      </c>
      <c r="C2182" s="2">
        <v>5</v>
      </c>
      <c r="D2182" s="2" t="s">
        <v>128</v>
      </c>
      <c r="E2182" s="2" t="s">
        <v>23</v>
      </c>
      <c r="F2182" s="2" t="s">
        <v>47</v>
      </c>
      <c r="G2182" s="2" t="s">
        <v>22</v>
      </c>
      <c r="H2182" s="2" t="s">
        <v>23</v>
      </c>
      <c r="I2182" s="2" t="s">
        <v>23</v>
      </c>
      <c r="J2182" s="2">
        <v>1</v>
      </c>
      <c r="K2182" s="2" t="s">
        <v>24</v>
      </c>
      <c r="L2182" s="2">
        <v>25213</v>
      </c>
      <c r="M2182" s="2" t="s">
        <v>130</v>
      </c>
      <c r="N2182" s="2">
        <v>5</v>
      </c>
      <c r="O2182" s="2">
        <v>433503.54</v>
      </c>
      <c r="P2182" s="2">
        <v>86700.71</v>
      </c>
    </row>
    <row r="2183" spans="1:16" outlineLevel="1" x14ac:dyDescent="0.2">
      <c r="A2183" s="5"/>
      <c r="D2183" s="3" t="s">
        <v>732</v>
      </c>
      <c r="N2183" s="2">
        <f>SUBTOTAL(9,N2182:N2182)</f>
        <v>5</v>
      </c>
      <c r="O2183" s="2">
        <f>SUBTOTAL(9,O2182:O2182)</f>
        <v>433503.54</v>
      </c>
      <c r="P2183" s="2">
        <f>+O2183/N2183</f>
        <v>86700.707999999999</v>
      </c>
    </row>
    <row r="2184" spans="1:16" outlineLevel="2" x14ac:dyDescent="0.2">
      <c r="A2184" s="5">
        <v>46108</v>
      </c>
      <c r="B2184" s="2">
        <v>158113</v>
      </c>
      <c r="C2184" s="2">
        <v>1</v>
      </c>
      <c r="D2184" s="2" t="s">
        <v>226</v>
      </c>
      <c r="E2184" s="2" t="s">
        <v>67</v>
      </c>
      <c r="F2184" s="2" t="s">
        <v>47</v>
      </c>
      <c r="G2184" s="2" t="s">
        <v>22</v>
      </c>
      <c r="H2184" s="2" t="s">
        <v>23</v>
      </c>
      <c r="I2184" s="2" t="s">
        <v>23</v>
      </c>
      <c r="J2184" s="2">
        <v>2</v>
      </c>
      <c r="K2184" s="2" t="s">
        <v>48</v>
      </c>
      <c r="L2184" s="2">
        <v>1964</v>
      </c>
      <c r="M2184" s="2" t="s">
        <v>49</v>
      </c>
      <c r="N2184" s="2">
        <v>21</v>
      </c>
      <c r="O2184" s="2">
        <v>153646.03</v>
      </c>
      <c r="P2184" s="2">
        <v>7316.48</v>
      </c>
    </row>
    <row r="2185" spans="1:16" outlineLevel="2" x14ac:dyDescent="0.2">
      <c r="A2185" s="5">
        <v>46108</v>
      </c>
      <c r="B2185" s="2">
        <v>158113</v>
      </c>
      <c r="C2185" s="2">
        <v>2</v>
      </c>
      <c r="D2185" s="2" t="s">
        <v>226</v>
      </c>
      <c r="E2185" s="2" t="s">
        <v>151</v>
      </c>
      <c r="F2185" s="2" t="s">
        <v>47</v>
      </c>
      <c r="G2185" s="2" t="s">
        <v>22</v>
      </c>
      <c r="H2185" s="2" t="s">
        <v>23</v>
      </c>
      <c r="I2185" s="2" t="s">
        <v>23</v>
      </c>
      <c r="J2185" s="2">
        <v>2</v>
      </c>
      <c r="K2185" s="2" t="s">
        <v>48</v>
      </c>
      <c r="L2185" s="2">
        <v>1964</v>
      </c>
      <c r="M2185" s="2" t="s">
        <v>49</v>
      </c>
      <c r="N2185" s="2">
        <v>21</v>
      </c>
      <c r="O2185" s="2">
        <v>182582.79</v>
      </c>
      <c r="P2185" s="2">
        <v>8694.42</v>
      </c>
    </row>
    <row r="2186" spans="1:16" outlineLevel="1" x14ac:dyDescent="0.2">
      <c r="A2186" s="5"/>
      <c r="D2186" s="3" t="s">
        <v>736</v>
      </c>
      <c r="N2186" s="2">
        <f>SUBTOTAL(9,N2184:N2185)</f>
        <v>42</v>
      </c>
      <c r="O2186" s="2">
        <f>SUBTOTAL(9,O2184:O2185)</f>
        <v>336228.82</v>
      </c>
      <c r="P2186" s="2">
        <f>+O2186/N2186</f>
        <v>8005.4480952380954</v>
      </c>
    </row>
    <row r="2187" spans="1:16" outlineLevel="2" x14ac:dyDescent="0.2">
      <c r="A2187" s="5">
        <v>46108</v>
      </c>
      <c r="B2187" s="2">
        <v>158113</v>
      </c>
      <c r="C2187" s="2">
        <v>3</v>
      </c>
      <c r="D2187" s="2" t="s">
        <v>45</v>
      </c>
      <c r="E2187" s="2" t="s">
        <v>228</v>
      </c>
      <c r="F2187" s="2" t="s">
        <v>47</v>
      </c>
      <c r="G2187" s="2" t="s">
        <v>22</v>
      </c>
      <c r="H2187" s="2" t="s">
        <v>23</v>
      </c>
      <c r="I2187" s="2" t="s">
        <v>23</v>
      </c>
      <c r="J2187" s="2">
        <v>41</v>
      </c>
      <c r="K2187" s="2" t="s">
        <v>129</v>
      </c>
      <c r="L2187" s="2">
        <v>1964</v>
      </c>
      <c r="M2187" s="2" t="s">
        <v>49</v>
      </c>
      <c r="N2187" s="2">
        <v>55</v>
      </c>
      <c r="O2187" s="2">
        <v>818119.88</v>
      </c>
      <c r="P2187" s="2">
        <v>14874.91</v>
      </c>
    </row>
    <row r="2188" spans="1:16" outlineLevel="1" x14ac:dyDescent="0.2">
      <c r="A2188" s="5"/>
      <c r="D2188" s="3" t="s">
        <v>733</v>
      </c>
      <c r="N2188" s="2">
        <f>SUBTOTAL(9,N2187:N2187)</f>
        <v>55</v>
      </c>
      <c r="O2188" s="2">
        <f>SUBTOTAL(9,O2187:O2187)</f>
        <v>818119.88</v>
      </c>
      <c r="P2188" s="2">
        <f>+O2188/N2188</f>
        <v>14874.906909090909</v>
      </c>
    </row>
    <row r="2189" spans="1:16" outlineLevel="2" x14ac:dyDescent="0.2">
      <c r="A2189" s="5">
        <v>46108</v>
      </c>
      <c r="B2189" s="2">
        <v>158113</v>
      </c>
      <c r="C2189" s="2">
        <v>4</v>
      </c>
      <c r="D2189" s="2" t="s">
        <v>226</v>
      </c>
      <c r="E2189" s="2" t="s">
        <v>227</v>
      </c>
      <c r="F2189" s="2" t="s">
        <v>47</v>
      </c>
      <c r="G2189" s="2" t="s">
        <v>22</v>
      </c>
      <c r="H2189" s="2" t="s">
        <v>23</v>
      </c>
      <c r="I2189" s="2" t="s">
        <v>23</v>
      </c>
      <c r="J2189" s="2">
        <v>41</v>
      </c>
      <c r="K2189" s="2" t="s">
        <v>129</v>
      </c>
      <c r="L2189" s="2">
        <v>1964</v>
      </c>
      <c r="M2189" s="2" t="s">
        <v>49</v>
      </c>
      <c r="N2189" s="2">
        <v>45</v>
      </c>
      <c r="O2189" s="2">
        <v>1000357.89</v>
      </c>
      <c r="P2189" s="2">
        <v>22230.18</v>
      </c>
    </row>
    <row r="2190" spans="1:16" outlineLevel="1" x14ac:dyDescent="0.2">
      <c r="A2190" s="5"/>
      <c r="D2190" s="3" t="s">
        <v>736</v>
      </c>
      <c r="N2190" s="2">
        <f>SUBTOTAL(9,N2189:N2189)</f>
        <v>45</v>
      </c>
      <c r="O2190" s="2">
        <f>SUBTOTAL(9,O2189:O2189)</f>
        <v>1000357.89</v>
      </c>
      <c r="P2190" s="2">
        <f>+O2190/N2190</f>
        <v>22230.175333333333</v>
      </c>
    </row>
    <row r="2191" spans="1:16" outlineLevel="2" x14ac:dyDescent="0.2">
      <c r="A2191" s="5">
        <v>46108</v>
      </c>
      <c r="B2191" s="2">
        <v>158113</v>
      </c>
      <c r="C2191" s="2">
        <v>5</v>
      </c>
      <c r="D2191" s="2" t="s">
        <v>45</v>
      </c>
      <c r="E2191" s="2" t="s">
        <v>227</v>
      </c>
      <c r="F2191" s="2" t="s">
        <v>47</v>
      </c>
      <c r="G2191" s="2" t="s">
        <v>22</v>
      </c>
      <c r="H2191" s="2" t="s">
        <v>23</v>
      </c>
      <c r="I2191" s="2" t="s">
        <v>23</v>
      </c>
      <c r="J2191" s="2">
        <v>41</v>
      </c>
      <c r="K2191" s="2" t="s">
        <v>129</v>
      </c>
      <c r="L2191" s="2">
        <v>1964</v>
      </c>
      <c r="M2191" s="2" t="s">
        <v>49</v>
      </c>
      <c r="N2191" s="2">
        <v>40</v>
      </c>
      <c r="O2191" s="2">
        <v>641575.1</v>
      </c>
      <c r="P2191" s="2">
        <v>16039.38</v>
      </c>
    </row>
    <row r="2192" spans="1:16" outlineLevel="1" x14ac:dyDescent="0.2">
      <c r="A2192" s="5"/>
      <c r="D2192" s="3" t="s">
        <v>733</v>
      </c>
      <c r="N2192" s="2">
        <f>SUBTOTAL(9,N2191:N2191)</f>
        <v>40</v>
      </c>
      <c r="O2192" s="2">
        <f>SUBTOTAL(9,O2191:O2191)</f>
        <v>641575.1</v>
      </c>
      <c r="P2192" s="2">
        <f>+O2192/N2192</f>
        <v>16039.377499999999</v>
      </c>
    </row>
    <row r="2193" spans="1:16" outlineLevel="2" x14ac:dyDescent="0.2">
      <c r="A2193" s="5">
        <v>46108</v>
      </c>
      <c r="B2193" s="2">
        <v>158114</v>
      </c>
      <c r="C2193" s="2">
        <v>1</v>
      </c>
      <c r="D2193" s="2" t="s">
        <v>60</v>
      </c>
      <c r="E2193" s="2" t="s">
        <v>346</v>
      </c>
      <c r="F2193" s="2" t="s">
        <v>31</v>
      </c>
      <c r="G2193" s="2" t="s">
        <v>22</v>
      </c>
      <c r="H2193" s="2" t="s">
        <v>23</v>
      </c>
      <c r="I2193" s="2" t="s">
        <v>23</v>
      </c>
      <c r="J2193" s="2">
        <v>78</v>
      </c>
      <c r="K2193" s="2" t="s">
        <v>212</v>
      </c>
      <c r="L2193" s="2">
        <v>226</v>
      </c>
      <c r="M2193" s="2" t="s">
        <v>59</v>
      </c>
      <c r="N2193" s="2">
        <v>87</v>
      </c>
      <c r="O2193" s="2">
        <v>1830503.59</v>
      </c>
      <c r="P2193" s="2">
        <v>21040.27</v>
      </c>
    </row>
    <row r="2194" spans="1:16" outlineLevel="1" x14ac:dyDescent="0.2">
      <c r="A2194" s="5"/>
      <c r="D2194" s="3" t="s">
        <v>728</v>
      </c>
      <c r="N2194" s="2">
        <f>SUBTOTAL(9,N2193:N2193)</f>
        <v>87</v>
      </c>
      <c r="O2194" s="2">
        <f>SUBTOTAL(9,O2193:O2193)</f>
        <v>1830503.59</v>
      </c>
      <c r="P2194" s="2">
        <f>+O2194/N2194</f>
        <v>21040.271149425287</v>
      </c>
    </row>
    <row r="2195" spans="1:16" outlineLevel="2" x14ac:dyDescent="0.2">
      <c r="A2195" s="5">
        <v>46108</v>
      </c>
      <c r="B2195" s="2">
        <v>158114</v>
      </c>
      <c r="C2195" s="2">
        <v>2</v>
      </c>
      <c r="D2195" s="2" t="s">
        <v>83</v>
      </c>
      <c r="E2195" s="2" t="s">
        <v>370</v>
      </c>
      <c r="F2195" s="2" t="s">
        <v>31</v>
      </c>
      <c r="G2195" s="2" t="s">
        <v>337</v>
      </c>
      <c r="H2195" s="2" t="s">
        <v>23</v>
      </c>
      <c r="I2195" s="2" t="s">
        <v>23</v>
      </c>
      <c r="J2195" s="2">
        <v>1</v>
      </c>
      <c r="K2195" s="2" t="s">
        <v>24</v>
      </c>
      <c r="L2195" s="2">
        <v>226</v>
      </c>
      <c r="M2195" s="2" t="s">
        <v>59</v>
      </c>
      <c r="N2195" s="2">
        <v>104</v>
      </c>
      <c r="O2195" s="2">
        <v>3273830.9</v>
      </c>
      <c r="P2195" s="2">
        <v>31479.14</v>
      </c>
    </row>
    <row r="2196" spans="1:16" outlineLevel="1" x14ac:dyDescent="0.2">
      <c r="A2196" s="5"/>
      <c r="D2196" s="3" t="s">
        <v>701</v>
      </c>
      <c r="N2196" s="2">
        <f>SUBTOTAL(9,N2195:N2195)</f>
        <v>104</v>
      </c>
      <c r="O2196" s="2">
        <f>SUBTOTAL(9,O2195:O2195)</f>
        <v>3273830.9</v>
      </c>
      <c r="P2196" s="2">
        <f>+O2196/N2196</f>
        <v>31479.143269230768</v>
      </c>
    </row>
    <row r="2197" spans="1:16" outlineLevel="2" x14ac:dyDescent="0.2">
      <c r="A2197" s="5">
        <v>46108</v>
      </c>
      <c r="B2197" s="2">
        <v>158114</v>
      </c>
      <c r="C2197" s="2">
        <v>3</v>
      </c>
      <c r="D2197" s="2" t="s">
        <v>107</v>
      </c>
      <c r="E2197" s="2" t="s">
        <v>432</v>
      </c>
      <c r="F2197" s="2" t="s">
        <v>31</v>
      </c>
      <c r="G2197" s="2" t="s">
        <v>22</v>
      </c>
      <c r="H2197" s="2" t="s">
        <v>23</v>
      </c>
      <c r="I2197" s="2" t="s">
        <v>23</v>
      </c>
      <c r="J2197" s="2">
        <v>1</v>
      </c>
      <c r="K2197" s="2" t="s">
        <v>24</v>
      </c>
      <c r="L2197" s="2">
        <v>226</v>
      </c>
      <c r="M2197" s="2" t="s">
        <v>59</v>
      </c>
      <c r="N2197" s="2">
        <v>88</v>
      </c>
      <c r="O2197" s="2">
        <v>3135527.45</v>
      </c>
      <c r="P2197" s="2">
        <v>35630.99</v>
      </c>
    </row>
    <row r="2198" spans="1:16" outlineLevel="1" x14ac:dyDescent="0.2">
      <c r="A2198" s="5"/>
      <c r="D2198" s="3" t="s">
        <v>726</v>
      </c>
      <c r="N2198" s="2">
        <f>SUBTOTAL(9,N2197:N2197)</f>
        <v>88</v>
      </c>
      <c r="O2198" s="2">
        <f>SUBTOTAL(9,O2197:O2197)</f>
        <v>3135527.45</v>
      </c>
      <c r="P2198" s="2">
        <f>+O2198/N2198</f>
        <v>35630.993750000001</v>
      </c>
    </row>
    <row r="2199" spans="1:16" outlineLevel="2" x14ac:dyDescent="0.2">
      <c r="A2199" s="5">
        <v>46108</v>
      </c>
      <c r="B2199" s="2">
        <v>158114</v>
      </c>
      <c r="C2199" s="2">
        <v>4</v>
      </c>
      <c r="D2199" s="2" t="s">
        <v>60</v>
      </c>
      <c r="E2199" s="2" t="s">
        <v>364</v>
      </c>
      <c r="F2199" s="2" t="s">
        <v>31</v>
      </c>
      <c r="G2199" s="2" t="s">
        <v>22</v>
      </c>
      <c r="H2199" s="2" t="s">
        <v>23</v>
      </c>
      <c r="I2199" s="2" t="s">
        <v>23</v>
      </c>
      <c r="J2199" s="2">
        <v>78</v>
      </c>
      <c r="K2199" s="2" t="s">
        <v>212</v>
      </c>
      <c r="L2199" s="2">
        <v>226</v>
      </c>
      <c r="M2199" s="2" t="s">
        <v>59</v>
      </c>
      <c r="N2199" s="2">
        <v>91</v>
      </c>
      <c r="O2199" s="2">
        <v>1948664.46</v>
      </c>
      <c r="P2199" s="2">
        <v>21413.9</v>
      </c>
    </row>
    <row r="2200" spans="1:16" outlineLevel="1" x14ac:dyDescent="0.2">
      <c r="A2200" s="5"/>
      <c r="D2200" s="3" t="s">
        <v>728</v>
      </c>
      <c r="N2200" s="2">
        <f>SUBTOTAL(9,N2199:N2199)</f>
        <v>91</v>
      </c>
      <c r="O2200" s="2">
        <f>SUBTOTAL(9,O2199:O2199)</f>
        <v>1948664.46</v>
      </c>
      <c r="P2200" s="2">
        <f>+O2200/N2200</f>
        <v>21413.895164835165</v>
      </c>
    </row>
    <row r="2201" spans="1:16" outlineLevel="2" x14ac:dyDescent="0.2">
      <c r="A2201" s="5">
        <v>46108</v>
      </c>
      <c r="B2201" s="2">
        <v>158114</v>
      </c>
      <c r="C2201" s="2">
        <v>5</v>
      </c>
      <c r="D2201" s="2" t="s">
        <v>83</v>
      </c>
      <c r="E2201" s="2" t="s">
        <v>348</v>
      </c>
      <c r="F2201" s="2" t="s">
        <v>31</v>
      </c>
      <c r="G2201" s="2" t="s">
        <v>340</v>
      </c>
      <c r="H2201" s="2" t="s">
        <v>23</v>
      </c>
      <c r="I2201" s="2" t="s">
        <v>23</v>
      </c>
      <c r="J2201" s="2">
        <v>97</v>
      </c>
      <c r="K2201" s="2" t="s">
        <v>441</v>
      </c>
      <c r="L2201" s="2">
        <v>226</v>
      </c>
      <c r="M2201" s="2" t="s">
        <v>59</v>
      </c>
      <c r="N2201" s="2">
        <v>112</v>
      </c>
      <c r="O2201" s="2">
        <v>2815012.15</v>
      </c>
      <c r="P2201" s="2">
        <v>25134.04</v>
      </c>
    </row>
    <row r="2202" spans="1:16" outlineLevel="2" x14ac:dyDescent="0.2">
      <c r="A2202" s="5">
        <v>46108</v>
      </c>
      <c r="B2202" s="2">
        <v>158114</v>
      </c>
      <c r="C2202" s="2">
        <v>6</v>
      </c>
      <c r="D2202" s="2" t="s">
        <v>83</v>
      </c>
      <c r="E2202" s="2" t="s">
        <v>442</v>
      </c>
      <c r="F2202" s="2" t="s">
        <v>31</v>
      </c>
      <c r="G2202" s="2" t="s">
        <v>337</v>
      </c>
      <c r="H2202" s="2" t="s">
        <v>23</v>
      </c>
      <c r="I2202" s="2" t="s">
        <v>23</v>
      </c>
      <c r="J2202" s="2">
        <v>1</v>
      </c>
      <c r="K2202" s="2" t="s">
        <v>24</v>
      </c>
      <c r="L2202" s="2">
        <v>226</v>
      </c>
      <c r="M2202" s="2" t="s">
        <v>59</v>
      </c>
      <c r="N2202" s="2">
        <v>104</v>
      </c>
      <c r="O2202" s="2">
        <v>2764472.46</v>
      </c>
      <c r="P2202" s="2">
        <v>26581.47</v>
      </c>
    </row>
    <row r="2203" spans="1:16" outlineLevel="1" x14ac:dyDescent="0.2">
      <c r="A2203" s="5"/>
      <c r="D2203" s="3" t="s">
        <v>701</v>
      </c>
      <c r="N2203" s="2">
        <f>SUBTOTAL(9,N2201:N2202)</f>
        <v>216</v>
      </c>
      <c r="O2203" s="2">
        <f>SUBTOTAL(9,O2201:O2202)</f>
        <v>5579484.6099999994</v>
      </c>
      <c r="P2203" s="2">
        <f>+O2203/N2203</f>
        <v>25830.947268518517</v>
      </c>
    </row>
    <row r="2204" spans="1:16" outlineLevel="2" x14ac:dyDescent="0.2">
      <c r="A2204" s="5">
        <v>46108</v>
      </c>
      <c r="B2204" s="2">
        <v>158114</v>
      </c>
      <c r="C2204" s="2">
        <v>7</v>
      </c>
      <c r="D2204" s="2" t="s">
        <v>57</v>
      </c>
      <c r="E2204" s="2" t="s">
        <v>443</v>
      </c>
      <c r="F2204" s="2" t="s">
        <v>31</v>
      </c>
      <c r="G2204" s="2" t="s">
        <v>22</v>
      </c>
      <c r="H2204" s="2" t="s">
        <v>23</v>
      </c>
      <c r="I2204" s="2" t="s">
        <v>23</v>
      </c>
      <c r="J2204" s="2">
        <v>1</v>
      </c>
      <c r="K2204" s="2" t="s">
        <v>24</v>
      </c>
      <c r="L2204" s="2">
        <v>226</v>
      </c>
      <c r="M2204" s="2" t="s">
        <v>59</v>
      </c>
      <c r="N2204" s="2">
        <v>42</v>
      </c>
      <c r="O2204" s="2">
        <v>1941108.84</v>
      </c>
      <c r="P2204" s="2">
        <v>46216.88</v>
      </c>
    </row>
    <row r="2205" spans="1:16" outlineLevel="1" x14ac:dyDescent="0.2">
      <c r="A2205" s="5"/>
      <c r="D2205" s="3" t="s">
        <v>716</v>
      </c>
      <c r="N2205" s="2">
        <f>SUBTOTAL(9,N2204:N2204)</f>
        <v>42</v>
      </c>
      <c r="O2205" s="2">
        <f>SUBTOTAL(9,O2204:O2204)</f>
        <v>1941108.84</v>
      </c>
      <c r="P2205" s="2">
        <f>+O2205/N2205</f>
        <v>46216.877142857142</v>
      </c>
    </row>
    <row r="2206" spans="1:16" outlineLevel="2" x14ac:dyDescent="0.2">
      <c r="A2206" s="5">
        <v>46108</v>
      </c>
      <c r="B2206" s="2">
        <v>158115</v>
      </c>
      <c r="C2206" s="2">
        <v>1</v>
      </c>
      <c r="D2206" s="2" t="s">
        <v>140</v>
      </c>
      <c r="E2206" s="2" t="s">
        <v>248</v>
      </c>
      <c r="F2206" s="2" t="s">
        <v>108</v>
      </c>
      <c r="G2206" s="2" t="s">
        <v>22</v>
      </c>
      <c r="H2206" s="2" t="s">
        <v>23</v>
      </c>
      <c r="I2206" s="2" t="s">
        <v>23</v>
      </c>
      <c r="J2206" s="2">
        <v>1</v>
      </c>
      <c r="K2206" s="2" t="s">
        <v>24</v>
      </c>
      <c r="L2206" s="2">
        <v>1833</v>
      </c>
      <c r="M2206" s="2" t="s">
        <v>142</v>
      </c>
      <c r="N2206" s="2">
        <v>24</v>
      </c>
      <c r="O2206" s="2">
        <v>673365.47</v>
      </c>
      <c r="P2206" s="2">
        <v>28056.89</v>
      </c>
    </row>
    <row r="2207" spans="1:16" outlineLevel="1" x14ac:dyDescent="0.2">
      <c r="A2207" s="5"/>
      <c r="D2207" s="3" t="s">
        <v>696</v>
      </c>
      <c r="N2207" s="2">
        <f>SUBTOTAL(9,N2206:N2206)</f>
        <v>24</v>
      </c>
      <c r="O2207" s="2">
        <f>SUBTOTAL(9,O2206:O2206)</f>
        <v>673365.47</v>
      </c>
      <c r="P2207" s="2">
        <f>+O2207/N2207</f>
        <v>28056.894583333331</v>
      </c>
    </row>
    <row r="2208" spans="1:16" outlineLevel="2" x14ac:dyDescent="0.2">
      <c r="A2208" s="5">
        <v>46113</v>
      </c>
      <c r="B2208" s="2">
        <v>158130</v>
      </c>
      <c r="C2208" s="2">
        <v>308</v>
      </c>
      <c r="D2208" s="2" t="s">
        <v>54</v>
      </c>
      <c r="E2208" s="2" t="s">
        <v>30</v>
      </c>
      <c r="F2208" s="2" t="s">
        <v>55</v>
      </c>
      <c r="G2208" s="2" t="s">
        <v>23</v>
      </c>
      <c r="H2208" s="2" t="s">
        <v>23</v>
      </c>
      <c r="I2208" s="2" t="s">
        <v>23</v>
      </c>
      <c r="J2208" s="2">
        <v>2</v>
      </c>
      <c r="K2208" s="2" t="s">
        <v>48</v>
      </c>
      <c r="L2208" s="2">
        <v>1964</v>
      </c>
      <c r="M2208" s="2" t="s">
        <v>49</v>
      </c>
      <c r="N2208" s="2">
        <v>9</v>
      </c>
      <c r="O2208" s="2">
        <v>32752.65</v>
      </c>
      <c r="P2208" s="2">
        <v>3639.18</v>
      </c>
    </row>
    <row r="2209" spans="1:16" outlineLevel="1" x14ac:dyDescent="0.2">
      <c r="A2209" s="5"/>
      <c r="D2209" s="3" t="s">
        <v>719</v>
      </c>
      <c r="N2209" s="2">
        <f>SUBTOTAL(9,N2208:N2208)</f>
        <v>9</v>
      </c>
      <c r="O2209" s="2">
        <f>SUBTOTAL(9,O2208:O2208)</f>
        <v>32752.65</v>
      </c>
      <c r="P2209" s="2">
        <f>+O2209/N2209</f>
        <v>3639.1833333333334</v>
      </c>
    </row>
    <row r="2210" spans="1:16" outlineLevel="2" x14ac:dyDescent="0.2">
      <c r="A2210" s="5">
        <v>46108</v>
      </c>
      <c r="B2210" s="2">
        <v>158130</v>
      </c>
      <c r="C2210" s="2">
        <v>315</v>
      </c>
      <c r="D2210" s="2" t="s">
        <v>45</v>
      </c>
      <c r="E2210" s="2" t="s">
        <v>228</v>
      </c>
      <c r="F2210" s="2" t="s">
        <v>55</v>
      </c>
      <c r="G2210" s="2" t="s">
        <v>23</v>
      </c>
      <c r="H2210" s="2" t="s">
        <v>23</v>
      </c>
      <c r="I2210" s="2" t="s">
        <v>23</v>
      </c>
      <c r="J2210" s="2">
        <v>2</v>
      </c>
      <c r="K2210" s="2" t="s">
        <v>48</v>
      </c>
      <c r="L2210" s="2">
        <v>1964</v>
      </c>
      <c r="M2210" s="2" t="s">
        <v>49</v>
      </c>
      <c r="N2210" s="2">
        <v>14</v>
      </c>
      <c r="O2210" s="2">
        <v>138619.12</v>
      </c>
      <c r="P2210" s="2">
        <v>9901.3700000000008</v>
      </c>
    </row>
    <row r="2211" spans="1:16" outlineLevel="1" x14ac:dyDescent="0.2">
      <c r="A2211" s="5"/>
      <c r="D2211" s="3" t="s">
        <v>733</v>
      </c>
      <c r="N2211" s="2">
        <f>SUBTOTAL(9,N2210:N2210)</f>
        <v>14</v>
      </c>
      <c r="O2211" s="2">
        <f>SUBTOTAL(9,O2210:O2210)</f>
        <v>138619.12</v>
      </c>
      <c r="P2211" s="2">
        <f>+O2211/N2211</f>
        <v>9901.3657142857137</v>
      </c>
    </row>
    <row r="2212" spans="1:16" outlineLevel="2" x14ac:dyDescent="0.2">
      <c r="A2212" s="5">
        <v>46118</v>
      </c>
      <c r="B2212" s="2">
        <v>158131</v>
      </c>
      <c r="C2212" s="2">
        <v>306</v>
      </c>
      <c r="D2212" s="2" t="s">
        <v>54</v>
      </c>
      <c r="E2212" s="2" t="s">
        <v>151</v>
      </c>
      <c r="F2212" s="2" t="s">
        <v>55</v>
      </c>
      <c r="G2212" s="2" t="s">
        <v>23</v>
      </c>
      <c r="H2212" s="2" t="s">
        <v>23</v>
      </c>
      <c r="I2212" s="2" t="s">
        <v>23</v>
      </c>
      <c r="J2212" s="2">
        <v>1</v>
      </c>
      <c r="K2212" s="2" t="s">
        <v>24</v>
      </c>
      <c r="L2212" s="2">
        <v>25095</v>
      </c>
      <c r="M2212" s="2" t="s">
        <v>216</v>
      </c>
      <c r="N2212" s="2">
        <v>5</v>
      </c>
      <c r="O2212" s="2">
        <v>17158.75</v>
      </c>
      <c r="P2212" s="2">
        <v>3431.75</v>
      </c>
    </row>
    <row r="2213" spans="1:16" outlineLevel="2" x14ac:dyDescent="0.2">
      <c r="A2213" s="5">
        <v>46118</v>
      </c>
      <c r="B2213" s="2">
        <v>158131</v>
      </c>
      <c r="C2213" s="2">
        <v>315</v>
      </c>
      <c r="D2213" s="2" t="s">
        <v>54</v>
      </c>
      <c r="E2213" s="2" t="s">
        <v>20</v>
      </c>
      <c r="F2213" s="2" t="s">
        <v>55</v>
      </c>
      <c r="G2213" s="2" t="s">
        <v>23</v>
      </c>
      <c r="H2213" s="2" t="s">
        <v>23</v>
      </c>
      <c r="I2213" s="2" t="s">
        <v>23</v>
      </c>
      <c r="J2213" s="2">
        <v>1</v>
      </c>
      <c r="K2213" s="2" t="s">
        <v>24</v>
      </c>
      <c r="L2213" s="2">
        <v>25095</v>
      </c>
      <c r="M2213" s="2" t="s">
        <v>216</v>
      </c>
      <c r="N2213" s="2">
        <v>7</v>
      </c>
      <c r="O2213" s="2">
        <v>29622.89</v>
      </c>
      <c r="P2213" s="2">
        <v>4231.84</v>
      </c>
    </row>
    <row r="2214" spans="1:16" outlineLevel="1" x14ac:dyDescent="0.2">
      <c r="A2214" s="5"/>
      <c r="D2214" s="3" t="s">
        <v>719</v>
      </c>
      <c r="N2214" s="2">
        <f>SUBTOTAL(9,N2212:N2213)</f>
        <v>12</v>
      </c>
      <c r="O2214" s="2">
        <f>SUBTOTAL(9,O2212:O2213)</f>
        <v>46781.64</v>
      </c>
      <c r="P2214" s="2">
        <f>+O2214/N2214</f>
        <v>3898.47</v>
      </c>
    </row>
    <row r="2215" spans="1:16" outlineLevel="2" x14ac:dyDescent="0.2">
      <c r="A2215" s="5">
        <v>46108</v>
      </c>
      <c r="B2215" s="2">
        <v>158132</v>
      </c>
      <c r="C2215" s="2">
        <v>1</v>
      </c>
      <c r="D2215" s="2" t="s">
        <v>38</v>
      </c>
      <c r="E2215" s="2" t="s">
        <v>39</v>
      </c>
      <c r="F2215" s="2" t="s">
        <v>63</v>
      </c>
      <c r="G2215" s="2" t="s">
        <v>22</v>
      </c>
      <c r="H2215" s="2" t="s">
        <v>23</v>
      </c>
      <c r="I2215" s="2" t="s">
        <v>243</v>
      </c>
      <c r="J2215" s="2">
        <v>1</v>
      </c>
      <c r="K2215" s="2" t="s">
        <v>24</v>
      </c>
      <c r="L2215" s="2">
        <v>1846</v>
      </c>
      <c r="M2215" s="2" t="s">
        <v>134</v>
      </c>
      <c r="N2215" s="2">
        <v>440</v>
      </c>
      <c r="O2215" s="2">
        <v>34791364.649999999</v>
      </c>
      <c r="P2215" s="2">
        <v>79071.28</v>
      </c>
    </row>
    <row r="2216" spans="1:16" outlineLevel="1" x14ac:dyDescent="0.2">
      <c r="A2216" s="5"/>
      <c r="D2216" s="3" t="s">
        <v>721</v>
      </c>
      <c r="N2216" s="2">
        <f>SUBTOTAL(9,N2215:N2215)</f>
        <v>440</v>
      </c>
      <c r="O2216" s="2">
        <f>SUBTOTAL(9,O2215:O2215)</f>
        <v>34791364.649999999</v>
      </c>
      <c r="P2216" s="2">
        <f>+O2216/N2216</f>
        <v>79071.283295454545</v>
      </c>
    </row>
    <row r="2217" spans="1:16" outlineLevel="2" x14ac:dyDescent="0.2">
      <c r="A2217" s="5">
        <v>46113</v>
      </c>
      <c r="B2217" s="2">
        <v>158132</v>
      </c>
      <c r="C2217" s="2">
        <v>2</v>
      </c>
      <c r="D2217" s="2" t="s">
        <v>444</v>
      </c>
      <c r="E2217" s="2" t="s">
        <v>39</v>
      </c>
      <c r="F2217" s="2" t="s">
        <v>63</v>
      </c>
      <c r="G2217" s="2" t="s">
        <v>22</v>
      </c>
      <c r="H2217" s="2" t="s">
        <v>23</v>
      </c>
      <c r="I2217" s="2" t="s">
        <v>116</v>
      </c>
      <c r="J2217" s="2">
        <v>1</v>
      </c>
      <c r="K2217" s="2" t="s">
        <v>24</v>
      </c>
      <c r="L2217" s="2">
        <v>1846</v>
      </c>
      <c r="M2217" s="2" t="s">
        <v>134</v>
      </c>
      <c r="N2217" s="2">
        <v>88</v>
      </c>
      <c r="O2217" s="2">
        <v>6128520.3200000003</v>
      </c>
      <c r="P2217" s="2">
        <v>69642.28</v>
      </c>
    </row>
    <row r="2218" spans="1:16" outlineLevel="1" x14ac:dyDescent="0.2">
      <c r="A2218" s="5"/>
      <c r="D2218" s="3" t="s">
        <v>774</v>
      </c>
      <c r="N2218" s="2">
        <f>SUBTOTAL(9,N2217:N2217)</f>
        <v>88</v>
      </c>
      <c r="O2218" s="2">
        <f>SUBTOTAL(9,O2217:O2217)</f>
        <v>6128520.3200000003</v>
      </c>
      <c r="P2218" s="2">
        <f>+O2218/N2218</f>
        <v>69642.276363636367</v>
      </c>
    </row>
    <row r="2219" spans="1:16" outlineLevel="2" x14ac:dyDescent="0.2">
      <c r="A2219" s="5">
        <v>46108</v>
      </c>
      <c r="B2219" s="2">
        <v>158132</v>
      </c>
      <c r="C2219" s="2">
        <v>3</v>
      </c>
      <c r="D2219" s="2" t="s">
        <v>38</v>
      </c>
      <c r="E2219" s="2" t="s">
        <v>39</v>
      </c>
      <c r="F2219" s="2" t="s">
        <v>63</v>
      </c>
      <c r="G2219" s="2" t="s">
        <v>22</v>
      </c>
      <c r="H2219" s="2" t="s">
        <v>23</v>
      </c>
      <c r="I2219" s="2" t="s">
        <v>116</v>
      </c>
      <c r="J2219" s="2">
        <v>1</v>
      </c>
      <c r="K2219" s="2" t="s">
        <v>24</v>
      </c>
      <c r="L2219" s="2">
        <v>1846</v>
      </c>
      <c r="M2219" s="2" t="s">
        <v>134</v>
      </c>
      <c r="N2219" s="2">
        <v>416</v>
      </c>
      <c r="O2219" s="2">
        <v>33741276.649999999</v>
      </c>
      <c r="P2219" s="2">
        <v>81108.84</v>
      </c>
    </row>
    <row r="2220" spans="1:16" outlineLevel="2" x14ac:dyDescent="0.2">
      <c r="A2220" s="5">
        <v>46111</v>
      </c>
      <c r="B2220" s="2">
        <v>158132</v>
      </c>
      <c r="C2220" s="2">
        <v>4</v>
      </c>
      <c r="D2220" s="2" t="s">
        <v>38</v>
      </c>
      <c r="E2220" s="2" t="s">
        <v>39</v>
      </c>
      <c r="F2220" s="2" t="s">
        <v>63</v>
      </c>
      <c r="G2220" s="2" t="s">
        <v>22</v>
      </c>
      <c r="H2220" s="2" t="s">
        <v>23</v>
      </c>
      <c r="I2220" s="2" t="s">
        <v>135</v>
      </c>
      <c r="J2220" s="2">
        <v>1</v>
      </c>
      <c r="K2220" s="2" t="s">
        <v>24</v>
      </c>
      <c r="L2220" s="2">
        <v>1846</v>
      </c>
      <c r="M2220" s="2" t="s">
        <v>134</v>
      </c>
      <c r="N2220" s="2">
        <v>88</v>
      </c>
      <c r="O2220" s="2">
        <v>7369993.8799999999</v>
      </c>
      <c r="P2220" s="2">
        <v>83749.929999999993</v>
      </c>
    </row>
    <row r="2221" spans="1:16" outlineLevel="2" x14ac:dyDescent="0.2">
      <c r="A2221" s="5">
        <v>46108</v>
      </c>
      <c r="B2221" s="2">
        <v>158132</v>
      </c>
      <c r="C2221" s="2">
        <v>5</v>
      </c>
      <c r="D2221" s="2" t="s">
        <v>38</v>
      </c>
      <c r="E2221" s="2" t="s">
        <v>39</v>
      </c>
      <c r="F2221" s="2" t="s">
        <v>63</v>
      </c>
      <c r="G2221" s="2" t="s">
        <v>22</v>
      </c>
      <c r="H2221" s="2" t="s">
        <v>23</v>
      </c>
      <c r="I2221" s="2" t="s">
        <v>133</v>
      </c>
      <c r="J2221" s="2">
        <v>1</v>
      </c>
      <c r="K2221" s="2" t="s">
        <v>24</v>
      </c>
      <c r="L2221" s="2">
        <v>1846</v>
      </c>
      <c r="M2221" s="2" t="s">
        <v>134</v>
      </c>
      <c r="N2221" s="2">
        <v>264</v>
      </c>
      <c r="O2221" s="2">
        <v>19307569.600000001</v>
      </c>
      <c r="P2221" s="2">
        <v>73134.73</v>
      </c>
    </row>
    <row r="2222" spans="1:16" outlineLevel="2" x14ac:dyDescent="0.2">
      <c r="A2222" s="5">
        <v>46108</v>
      </c>
      <c r="B2222" s="2">
        <v>158133</v>
      </c>
      <c r="C2222" s="2">
        <v>1</v>
      </c>
      <c r="D2222" s="2" t="s">
        <v>38</v>
      </c>
      <c r="E2222" s="2" t="s">
        <v>39</v>
      </c>
      <c r="F2222" s="2" t="s">
        <v>63</v>
      </c>
      <c r="G2222" s="2" t="s">
        <v>22</v>
      </c>
      <c r="H2222" s="2" t="s">
        <v>23</v>
      </c>
      <c r="I2222" s="2" t="s">
        <v>116</v>
      </c>
      <c r="J2222" s="2">
        <v>1</v>
      </c>
      <c r="K2222" s="2" t="s">
        <v>24</v>
      </c>
      <c r="L2222" s="2">
        <v>2586</v>
      </c>
      <c r="M2222" s="2" t="s">
        <v>65</v>
      </c>
      <c r="N2222" s="2">
        <v>440</v>
      </c>
      <c r="O2222" s="2">
        <v>31981609.370000001</v>
      </c>
      <c r="P2222" s="2">
        <v>72685.48</v>
      </c>
    </row>
    <row r="2223" spans="1:16" outlineLevel="2" x14ac:dyDescent="0.2">
      <c r="A2223" s="5">
        <v>46108</v>
      </c>
      <c r="B2223" s="2">
        <v>158133</v>
      </c>
      <c r="C2223" s="2">
        <v>2</v>
      </c>
      <c r="D2223" s="2" t="s">
        <v>38</v>
      </c>
      <c r="E2223" s="2" t="s">
        <v>39</v>
      </c>
      <c r="F2223" s="2" t="s">
        <v>63</v>
      </c>
      <c r="G2223" s="2" t="s">
        <v>22</v>
      </c>
      <c r="H2223" s="2" t="s">
        <v>23</v>
      </c>
      <c r="I2223" s="2" t="s">
        <v>135</v>
      </c>
      <c r="J2223" s="2">
        <v>1</v>
      </c>
      <c r="K2223" s="2" t="s">
        <v>24</v>
      </c>
      <c r="L2223" s="2">
        <v>2586</v>
      </c>
      <c r="M2223" s="2" t="s">
        <v>65</v>
      </c>
      <c r="N2223" s="2">
        <v>408</v>
      </c>
      <c r="O2223" s="2">
        <v>30901203.579999998</v>
      </c>
      <c r="P2223" s="2">
        <v>75738.240000000005</v>
      </c>
    </row>
    <row r="2224" spans="1:16" outlineLevel="2" x14ac:dyDescent="0.2">
      <c r="A2224" s="5">
        <v>46111</v>
      </c>
      <c r="B2224" s="2">
        <v>158133</v>
      </c>
      <c r="C2224" s="2">
        <v>3</v>
      </c>
      <c r="D2224" s="2" t="s">
        <v>38</v>
      </c>
      <c r="E2224" s="2" t="s">
        <v>39</v>
      </c>
      <c r="F2224" s="2" t="s">
        <v>63</v>
      </c>
      <c r="G2224" s="2" t="s">
        <v>22</v>
      </c>
      <c r="H2224" s="2" t="s">
        <v>23</v>
      </c>
      <c r="I2224" s="2" t="s">
        <v>133</v>
      </c>
      <c r="J2224" s="2">
        <v>1</v>
      </c>
      <c r="K2224" s="2" t="s">
        <v>24</v>
      </c>
      <c r="L2224" s="2">
        <v>2586</v>
      </c>
      <c r="M2224" s="2" t="s">
        <v>65</v>
      </c>
      <c r="N2224" s="2">
        <v>397</v>
      </c>
      <c r="O2224" s="2">
        <v>24617037.52</v>
      </c>
      <c r="P2224" s="2">
        <v>62007.65</v>
      </c>
    </row>
    <row r="2225" spans="1:16" outlineLevel="2" x14ac:dyDescent="0.2">
      <c r="A2225" s="5">
        <v>46108</v>
      </c>
      <c r="B2225" s="2">
        <v>158133</v>
      </c>
      <c r="C2225" s="2">
        <v>4</v>
      </c>
      <c r="D2225" s="2" t="s">
        <v>38</v>
      </c>
      <c r="E2225" s="2" t="s">
        <v>39</v>
      </c>
      <c r="F2225" s="2" t="s">
        <v>63</v>
      </c>
      <c r="G2225" s="2" t="s">
        <v>22</v>
      </c>
      <c r="H2225" s="2" t="s">
        <v>23</v>
      </c>
      <c r="I2225" s="2" t="s">
        <v>23</v>
      </c>
      <c r="J2225" s="2">
        <v>124</v>
      </c>
      <c r="K2225" s="2" t="s">
        <v>155</v>
      </c>
      <c r="L2225" s="2">
        <v>2586</v>
      </c>
      <c r="M2225" s="2" t="s">
        <v>65</v>
      </c>
      <c r="N2225" s="2">
        <v>120</v>
      </c>
      <c r="O2225" s="2">
        <v>9196214.8800000008</v>
      </c>
      <c r="P2225" s="2">
        <v>76635.12</v>
      </c>
    </row>
    <row r="2226" spans="1:16" outlineLevel="2" x14ac:dyDescent="0.2">
      <c r="A2226" s="5">
        <v>46111</v>
      </c>
      <c r="B2226" s="2">
        <v>158134</v>
      </c>
      <c r="C2226" s="2">
        <v>1</v>
      </c>
      <c r="D2226" s="2" t="s">
        <v>38</v>
      </c>
      <c r="E2226" s="2" t="s">
        <v>39</v>
      </c>
      <c r="F2226" s="2" t="s">
        <v>21</v>
      </c>
      <c r="G2226" s="2" t="s">
        <v>22</v>
      </c>
      <c r="H2226" s="2" t="s">
        <v>23</v>
      </c>
      <c r="I2226" s="2" t="s">
        <v>133</v>
      </c>
      <c r="J2226" s="2">
        <v>1</v>
      </c>
      <c r="K2226" s="2" t="s">
        <v>24</v>
      </c>
      <c r="L2226" s="2">
        <v>25186</v>
      </c>
      <c r="M2226" s="2" t="s">
        <v>418</v>
      </c>
      <c r="N2226" s="2">
        <v>415</v>
      </c>
      <c r="O2226" s="2">
        <v>7288962.5199999996</v>
      </c>
      <c r="P2226" s="2">
        <v>17563.77</v>
      </c>
    </row>
    <row r="2227" spans="1:16" outlineLevel="2" x14ac:dyDescent="0.2">
      <c r="A2227" s="5">
        <v>46150</v>
      </c>
      <c r="B2227" s="2">
        <v>158134</v>
      </c>
      <c r="C2227" s="2">
        <v>300</v>
      </c>
      <c r="D2227" s="2" t="s">
        <v>38</v>
      </c>
      <c r="E2227" s="2" t="s">
        <v>39</v>
      </c>
      <c r="F2227" s="2" t="s">
        <v>55</v>
      </c>
      <c r="G2227" s="2" t="s">
        <v>23</v>
      </c>
      <c r="H2227" s="2" t="s">
        <v>23</v>
      </c>
      <c r="I2227" s="2" t="s">
        <v>23</v>
      </c>
      <c r="J2227" s="2">
        <v>1</v>
      </c>
      <c r="K2227" s="2" t="s">
        <v>24</v>
      </c>
      <c r="L2227" s="2">
        <v>25186</v>
      </c>
      <c r="M2227" s="2" t="s">
        <v>418</v>
      </c>
      <c r="N2227" s="2">
        <v>46</v>
      </c>
      <c r="O2227" s="2">
        <v>286675.21999999997</v>
      </c>
      <c r="P2227" s="2">
        <v>6232.07</v>
      </c>
    </row>
    <row r="2228" spans="1:16" outlineLevel="2" x14ac:dyDescent="0.2">
      <c r="A2228" s="5">
        <v>46111</v>
      </c>
      <c r="B2228" s="2">
        <v>158135</v>
      </c>
      <c r="C2228" s="2">
        <v>1</v>
      </c>
      <c r="D2228" s="2" t="s">
        <v>38</v>
      </c>
      <c r="E2228" s="2" t="s">
        <v>39</v>
      </c>
      <c r="F2228" s="2" t="s">
        <v>21</v>
      </c>
      <c r="G2228" s="2" t="s">
        <v>22</v>
      </c>
      <c r="H2228" s="2" t="s">
        <v>23</v>
      </c>
      <c r="I2228" s="2" t="s">
        <v>135</v>
      </c>
      <c r="J2228" s="2">
        <v>1</v>
      </c>
      <c r="K2228" s="2" t="s">
        <v>24</v>
      </c>
      <c r="L2228" s="2">
        <v>25186</v>
      </c>
      <c r="M2228" s="2" t="s">
        <v>418</v>
      </c>
      <c r="N2228" s="2">
        <v>96</v>
      </c>
      <c r="O2228" s="2">
        <v>2820769.65</v>
      </c>
      <c r="P2228" s="2">
        <v>29383.02</v>
      </c>
    </row>
    <row r="2229" spans="1:16" outlineLevel="1" x14ac:dyDescent="0.2">
      <c r="A2229" s="5"/>
      <c r="D2229" s="3" t="s">
        <v>721</v>
      </c>
      <c r="N2229" s="2">
        <f>SUBTOTAL(9,N2219:N2228)</f>
        <v>2690</v>
      </c>
      <c r="O2229" s="2">
        <f>SUBTOTAL(9,O2219:O2228)</f>
        <v>167511312.87</v>
      </c>
      <c r="P2229" s="2">
        <f>+O2229/N2229</f>
        <v>62271.863520446095</v>
      </c>
    </row>
    <row r="2230" spans="1:16" outlineLevel="2" x14ac:dyDescent="0.2">
      <c r="A2230" s="5">
        <v>46108</v>
      </c>
      <c r="B2230" s="2">
        <v>158136</v>
      </c>
      <c r="C2230" s="2">
        <v>1</v>
      </c>
      <c r="D2230" s="2" t="s">
        <v>160</v>
      </c>
      <c r="E2230" s="2" t="s">
        <v>222</v>
      </c>
      <c r="F2230" s="2" t="s">
        <v>40</v>
      </c>
      <c r="G2230" s="2" t="s">
        <v>22</v>
      </c>
      <c r="H2230" s="2" t="s">
        <v>23</v>
      </c>
      <c r="I2230" s="2" t="s">
        <v>23</v>
      </c>
      <c r="J2230" s="2">
        <v>1</v>
      </c>
      <c r="K2230" s="2" t="s">
        <v>24</v>
      </c>
      <c r="L2230" s="2">
        <v>2521</v>
      </c>
      <c r="M2230" s="2" t="s">
        <v>82</v>
      </c>
      <c r="N2230" s="2">
        <v>145</v>
      </c>
      <c r="O2230" s="2">
        <v>2558600.7200000002</v>
      </c>
      <c r="P2230" s="2">
        <v>17645.52</v>
      </c>
    </row>
    <row r="2231" spans="1:16" outlineLevel="1" x14ac:dyDescent="0.2">
      <c r="A2231" s="5"/>
      <c r="D2231" s="3" t="s">
        <v>709</v>
      </c>
      <c r="N2231" s="2">
        <f>SUBTOTAL(9,N2230:N2230)</f>
        <v>145</v>
      </c>
      <c r="O2231" s="2">
        <f>SUBTOTAL(9,O2230:O2230)</f>
        <v>2558600.7200000002</v>
      </c>
      <c r="P2231" s="2">
        <f>+O2231/N2231</f>
        <v>17645.522206896552</v>
      </c>
    </row>
    <row r="2232" spans="1:16" outlineLevel="2" x14ac:dyDescent="0.2">
      <c r="A2232" s="5">
        <v>46108</v>
      </c>
      <c r="B2232" s="2">
        <v>158136</v>
      </c>
      <c r="C2232" s="2">
        <v>2</v>
      </c>
      <c r="D2232" s="2" t="s">
        <v>131</v>
      </c>
      <c r="E2232" s="2" t="s">
        <v>132</v>
      </c>
      <c r="F2232" s="2" t="s">
        <v>40</v>
      </c>
      <c r="G2232" s="2" t="s">
        <v>22</v>
      </c>
      <c r="H2232" s="2" t="s">
        <v>23</v>
      </c>
      <c r="I2232" s="2" t="s">
        <v>23</v>
      </c>
      <c r="J2232" s="2">
        <v>1</v>
      </c>
      <c r="K2232" s="2" t="s">
        <v>24</v>
      </c>
      <c r="L2232" s="2">
        <v>2521</v>
      </c>
      <c r="M2232" s="2" t="s">
        <v>82</v>
      </c>
      <c r="N2232" s="2">
        <v>293</v>
      </c>
      <c r="O2232" s="2">
        <v>11251475.92</v>
      </c>
      <c r="P2232" s="2">
        <v>38400.94</v>
      </c>
    </row>
    <row r="2233" spans="1:16" outlineLevel="1" x14ac:dyDescent="0.2">
      <c r="A2233" s="5"/>
      <c r="D2233" s="3" t="s">
        <v>713</v>
      </c>
      <c r="N2233" s="2">
        <f>SUBTOTAL(9,N2232:N2232)</f>
        <v>293</v>
      </c>
      <c r="O2233" s="2">
        <f>SUBTOTAL(9,O2232:O2232)</f>
        <v>11251475.92</v>
      </c>
      <c r="P2233" s="2">
        <f>+O2233/N2233</f>
        <v>38400.941706484642</v>
      </c>
    </row>
    <row r="2234" spans="1:16" outlineLevel="2" x14ac:dyDescent="0.2">
      <c r="A2234" s="5">
        <v>46111</v>
      </c>
      <c r="B2234" s="2">
        <v>158136</v>
      </c>
      <c r="C2234" s="2">
        <v>3</v>
      </c>
      <c r="D2234" s="2" t="s">
        <v>81</v>
      </c>
      <c r="E2234" s="2" t="s">
        <v>23</v>
      </c>
      <c r="F2234" s="2" t="s">
        <v>40</v>
      </c>
      <c r="G2234" s="2" t="s">
        <v>22</v>
      </c>
      <c r="H2234" s="2" t="s">
        <v>23</v>
      </c>
      <c r="I2234" s="2" t="s">
        <v>23</v>
      </c>
      <c r="J2234" s="2">
        <v>1</v>
      </c>
      <c r="K2234" s="2" t="s">
        <v>24</v>
      </c>
      <c r="L2234" s="2">
        <v>2521</v>
      </c>
      <c r="M2234" s="2" t="s">
        <v>82</v>
      </c>
      <c r="N2234" s="2">
        <v>48</v>
      </c>
      <c r="O2234" s="2">
        <v>1902911.47</v>
      </c>
      <c r="P2234" s="2">
        <v>39643.99</v>
      </c>
    </row>
    <row r="2235" spans="1:16" outlineLevel="1" x14ac:dyDescent="0.2">
      <c r="A2235" s="5"/>
      <c r="D2235" s="3" t="s">
        <v>693</v>
      </c>
      <c r="N2235" s="2">
        <f>SUBTOTAL(9,N2234:N2234)</f>
        <v>48</v>
      </c>
      <c r="O2235" s="2">
        <f>SUBTOTAL(9,O2234:O2234)</f>
        <v>1902911.47</v>
      </c>
      <c r="P2235" s="2">
        <f>+O2235/N2235</f>
        <v>39643.988958333335</v>
      </c>
    </row>
    <row r="2236" spans="1:16" outlineLevel="2" x14ac:dyDescent="0.2">
      <c r="A2236" s="5">
        <v>46118</v>
      </c>
      <c r="B2236" s="2">
        <v>158147</v>
      </c>
      <c r="C2236" s="2">
        <v>2</v>
      </c>
      <c r="D2236" s="2" t="s">
        <v>38</v>
      </c>
      <c r="E2236" s="2" t="s">
        <v>39</v>
      </c>
      <c r="F2236" s="2" t="s">
        <v>40</v>
      </c>
      <c r="G2236" s="2" t="s">
        <v>407</v>
      </c>
      <c r="H2236" s="2" t="s">
        <v>23</v>
      </c>
      <c r="I2236" s="2" t="s">
        <v>184</v>
      </c>
      <c r="J2236" s="2">
        <v>40</v>
      </c>
      <c r="K2236" s="2" t="s">
        <v>43</v>
      </c>
      <c r="L2236" s="2">
        <v>2579</v>
      </c>
      <c r="M2236" s="2" t="s">
        <v>44</v>
      </c>
      <c r="N2236" s="2">
        <v>96</v>
      </c>
      <c r="O2236" s="2">
        <v>2785436.08</v>
      </c>
      <c r="P2236" s="2">
        <v>29014.959999999999</v>
      </c>
    </row>
    <row r="2237" spans="1:16" outlineLevel="2" x14ac:dyDescent="0.2">
      <c r="A2237" s="5">
        <v>46111</v>
      </c>
      <c r="B2237" s="2">
        <v>158147</v>
      </c>
      <c r="C2237" s="2">
        <v>4</v>
      </c>
      <c r="D2237" s="2" t="s">
        <v>38</v>
      </c>
      <c r="E2237" s="2" t="s">
        <v>39</v>
      </c>
      <c r="F2237" s="2" t="s">
        <v>40</v>
      </c>
      <c r="G2237" s="2" t="s">
        <v>407</v>
      </c>
      <c r="H2237" s="2" t="s">
        <v>23</v>
      </c>
      <c r="I2237" s="2" t="s">
        <v>113</v>
      </c>
      <c r="J2237" s="2">
        <v>40</v>
      </c>
      <c r="K2237" s="2" t="s">
        <v>43</v>
      </c>
      <c r="L2237" s="2">
        <v>2579</v>
      </c>
      <c r="M2237" s="2" t="s">
        <v>44</v>
      </c>
      <c r="N2237" s="2">
        <v>192</v>
      </c>
      <c r="O2237" s="2">
        <v>4147400.21</v>
      </c>
      <c r="P2237" s="2">
        <v>21601.040000000001</v>
      </c>
    </row>
    <row r="2238" spans="1:16" outlineLevel="2" x14ac:dyDescent="0.2">
      <c r="A2238" s="5">
        <v>46111</v>
      </c>
      <c r="B2238" s="2">
        <v>158147</v>
      </c>
      <c r="C2238" s="2">
        <v>5</v>
      </c>
      <c r="D2238" s="2" t="s">
        <v>38</v>
      </c>
      <c r="E2238" s="2" t="s">
        <v>39</v>
      </c>
      <c r="F2238" s="2" t="s">
        <v>40</v>
      </c>
      <c r="G2238" s="2" t="s">
        <v>407</v>
      </c>
      <c r="H2238" s="2" t="s">
        <v>23</v>
      </c>
      <c r="I2238" s="2" t="s">
        <v>445</v>
      </c>
      <c r="J2238" s="2">
        <v>40</v>
      </c>
      <c r="K2238" s="2" t="s">
        <v>43</v>
      </c>
      <c r="L2238" s="2">
        <v>2579</v>
      </c>
      <c r="M2238" s="2" t="s">
        <v>44</v>
      </c>
      <c r="N2238" s="2">
        <v>288</v>
      </c>
      <c r="O2238" s="2">
        <v>7490846.0599999996</v>
      </c>
      <c r="P2238" s="2">
        <v>26009.88</v>
      </c>
    </row>
    <row r="2239" spans="1:16" outlineLevel="2" x14ac:dyDescent="0.2">
      <c r="A2239" s="5">
        <v>46118</v>
      </c>
      <c r="B2239" s="2">
        <v>158147</v>
      </c>
      <c r="C2239" s="2">
        <v>6</v>
      </c>
      <c r="D2239" s="2" t="s">
        <v>38</v>
      </c>
      <c r="E2239" s="2" t="s">
        <v>39</v>
      </c>
      <c r="F2239" s="2" t="s">
        <v>40</v>
      </c>
      <c r="G2239" s="2" t="s">
        <v>407</v>
      </c>
      <c r="H2239" s="2" t="s">
        <v>23</v>
      </c>
      <c r="I2239" s="2" t="s">
        <v>410</v>
      </c>
      <c r="J2239" s="2">
        <v>40</v>
      </c>
      <c r="K2239" s="2" t="s">
        <v>43</v>
      </c>
      <c r="L2239" s="2">
        <v>2579</v>
      </c>
      <c r="M2239" s="2" t="s">
        <v>44</v>
      </c>
      <c r="N2239" s="2">
        <v>96</v>
      </c>
      <c r="O2239" s="2">
        <v>2620712.1</v>
      </c>
      <c r="P2239" s="2">
        <v>27299.08</v>
      </c>
    </row>
    <row r="2240" spans="1:16" outlineLevel="2" x14ac:dyDescent="0.2">
      <c r="A2240" s="5">
        <v>46139</v>
      </c>
      <c r="B2240" s="2">
        <v>158149</v>
      </c>
      <c r="C2240" s="2">
        <v>2</v>
      </c>
      <c r="D2240" s="2" t="s">
        <v>38</v>
      </c>
      <c r="E2240" s="2" t="s">
        <v>39</v>
      </c>
      <c r="F2240" s="2" t="s">
        <v>40</v>
      </c>
      <c r="G2240" s="2" t="s">
        <v>22</v>
      </c>
      <c r="H2240" s="2" t="s">
        <v>41</v>
      </c>
      <c r="I2240" s="2" t="s">
        <v>124</v>
      </c>
      <c r="J2240" s="2">
        <v>40</v>
      </c>
      <c r="K2240" s="2" t="s">
        <v>43</v>
      </c>
      <c r="L2240" s="2">
        <v>2579</v>
      </c>
      <c r="M2240" s="2" t="s">
        <v>44</v>
      </c>
      <c r="N2240" s="2">
        <v>28</v>
      </c>
      <c r="O2240" s="2">
        <v>437288.53</v>
      </c>
      <c r="P2240" s="2">
        <v>15617.45</v>
      </c>
    </row>
    <row r="2241" spans="1:16" outlineLevel="2" x14ac:dyDescent="0.2">
      <c r="A2241" s="5">
        <v>46122</v>
      </c>
      <c r="B2241" s="2">
        <v>158149</v>
      </c>
      <c r="C2241" s="2">
        <v>3</v>
      </c>
      <c r="D2241" s="2" t="s">
        <v>38</v>
      </c>
      <c r="E2241" s="2" t="s">
        <v>39</v>
      </c>
      <c r="F2241" s="2" t="s">
        <v>63</v>
      </c>
      <c r="G2241" s="2" t="s">
        <v>22</v>
      </c>
      <c r="H2241" s="2" t="s">
        <v>23</v>
      </c>
      <c r="I2241" s="2" t="s">
        <v>42</v>
      </c>
      <c r="J2241" s="2">
        <v>40</v>
      </c>
      <c r="K2241" s="2" t="s">
        <v>43</v>
      </c>
      <c r="L2241" s="2">
        <v>2579</v>
      </c>
      <c r="M2241" s="2" t="s">
        <v>44</v>
      </c>
      <c r="N2241" s="2">
        <v>96</v>
      </c>
      <c r="O2241" s="2">
        <v>1583990.4</v>
      </c>
      <c r="P2241" s="2">
        <v>16499.900000000001</v>
      </c>
    </row>
    <row r="2242" spans="1:16" outlineLevel="2" x14ac:dyDescent="0.2">
      <c r="A2242" s="5">
        <v>46157</v>
      </c>
      <c r="B2242" s="2">
        <v>158149</v>
      </c>
      <c r="C2242" s="2">
        <v>4</v>
      </c>
      <c r="D2242" s="2" t="s">
        <v>38</v>
      </c>
      <c r="E2242" s="2" t="s">
        <v>39</v>
      </c>
      <c r="F2242" s="2" t="s">
        <v>40</v>
      </c>
      <c r="G2242" s="2" t="s">
        <v>41</v>
      </c>
      <c r="H2242" s="2" t="s">
        <v>23</v>
      </c>
      <c r="I2242" s="2" t="s">
        <v>446</v>
      </c>
      <c r="J2242" s="2">
        <v>40</v>
      </c>
      <c r="K2242" s="2" t="s">
        <v>43</v>
      </c>
      <c r="L2242" s="2">
        <v>2579</v>
      </c>
      <c r="M2242" s="2" t="s">
        <v>44</v>
      </c>
      <c r="N2242" s="2">
        <v>277</v>
      </c>
      <c r="O2242" s="2">
        <v>3072302.16</v>
      </c>
      <c r="P2242" s="2">
        <v>11091.34</v>
      </c>
    </row>
    <row r="2243" spans="1:16" outlineLevel="2" x14ac:dyDescent="0.2">
      <c r="A2243" s="5">
        <v>46125</v>
      </c>
      <c r="B2243" s="2">
        <v>158149</v>
      </c>
      <c r="C2243" s="2">
        <v>5</v>
      </c>
      <c r="D2243" s="2" t="s">
        <v>38</v>
      </c>
      <c r="E2243" s="2" t="s">
        <v>39</v>
      </c>
      <c r="F2243" s="2" t="s">
        <v>40</v>
      </c>
      <c r="G2243" s="2" t="s">
        <v>41</v>
      </c>
      <c r="H2243" s="2" t="s">
        <v>23</v>
      </c>
      <c r="I2243" s="2" t="s">
        <v>23</v>
      </c>
      <c r="J2243" s="2">
        <v>131</v>
      </c>
      <c r="K2243" s="2" t="s">
        <v>430</v>
      </c>
      <c r="L2243" s="2">
        <v>2579</v>
      </c>
      <c r="M2243" s="2" t="s">
        <v>44</v>
      </c>
      <c r="N2243" s="2">
        <v>425</v>
      </c>
      <c r="O2243" s="2">
        <v>9193655.5600000005</v>
      </c>
      <c r="P2243" s="2">
        <v>21632.13</v>
      </c>
    </row>
    <row r="2244" spans="1:16" outlineLevel="2" x14ac:dyDescent="0.2">
      <c r="A2244" s="5">
        <v>46136</v>
      </c>
      <c r="B2244" s="2">
        <v>158149</v>
      </c>
      <c r="C2244" s="2">
        <v>300</v>
      </c>
      <c r="D2244" s="2" t="s">
        <v>38</v>
      </c>
      <c r="E2244" s="2" t="s">
        <v>39</v>
      </c>
      <c r="F2244" s="2" t="s">
        <v>40</v>
      </c>
      <c r="G2244" s="2" t="s">
        <v>22</v>
      </c>
      <c r="H2244" s="2" t="s">
        <v>23</v>
      </c>
      <c r="I2244" s="2" t="s">
        <v>23</v>
      </c>
      <c r="J2244" s="2">
        <v>94</v>
      </c>
      <c r="K2244" s="2" t="s">
        <v>147</v>
      </c>
      <c r="L2244" s="2">
        <v>2579</v>
      </c>
      <c r="M2244" s="2" t="s">
        <v>44</v>
      </c>
      <c r="N2244" s="2">
        <v>22</v>
      </c>
      <c r="O2244" s="2">
        <v>722582.02</v>
      </c>
      <c r="P2244" s="2">
        <v>32844.639999999999</v>
      </c>
    </row>
    <row r="2245" spans="1:16" outlineLevel="1" x14ac:dyDescent="0.2">
      <c r="A2245" s="5"/>
      <c r="D2245" s="3" t="s">
        <v>721</v>
      </c>
      <c r="N2245" s="2">
        <f>SUBTOTAL(9,N2236:N2244)</f>
        <v>1520</v>
      </c>
      <c r="O2245" s="2">
        <f>SUBTOTAL(9,O2236:O2244)</f>
        <v>32054213.120000001</v>
      </c>
      <c r="P2245" s="2">
        <f>+O2245/N2245</f>
        <v>21088.298105263159</v>
      </c>
    </row>
    <row r="2246" spans="1:16" outlineLevel="2" x14ac:dyDescent="0.2">
      <c r="A2246" s="5">
        <v>46111</v>
      </c>
      <c r="B2246" s="2">
        <v>158150</v>
      </c>
      <c r="C2246" s="2">
        <v>2</v>
      </c>
      <c r="D2246" s="2" t="s">
        <v>229</v>
      </c>
      <c r="E2246" s="2" t="s">
        <v>230</v>
      </c>
      <c r="F2246" s="2" t="s">
        <v>40</v>
      </c>
      <c r="G2246" s="2" t="s">
        <v>438</v>
      </c>
      <c r="H2246" s="2" t="s">
        <v>23</v>
      </c>
      <c r="I2246" s="2" t="s">
        <v>23</v>
      </c>
      <c r="J2246" s="2">
        <v>1</v>
      </c>
      <c r="K2246" s="2" t="s">
        <v>24</v>
      </c>
      <c r="L2246" s="2">
        <v>331</v>
      </c>
      <c r="M2246" s="2" t="s">
        <v>356</v>
      </c>
      <c r="N2246" s="2">
        <v>53</v>
      </c>
      <c r="O2246" s="2">
        <v>1856417.59</v>
      </c>
      <c r="P2246" s="2">
        <v>35026.75</v>
      </c>
    </row>
    <row r="2247" spans="1:16" outlineLevel="2" x14ac:dyDescent="0.2">
      <c r="A2247" s="5">
        <v>46111</v>
      </c>
      <c r="B2247" s="2">
        <v>158150</v>
      </c>
      <c r="C2247" s="2">
        <v>4</v>
      </c>
      <c r="D2247" s="2" t="s">
        <v>229</v>
      </c>
      <c r="E2247" s="2" t="s">
        <v>230</v>
      </c>
      <c r="F2247" s="2" t="s">
        <v>40</v>
      </c>
      <c r="G2247" s="2" t="s">
        <v>22</v>
      </c>
      <c r="H2247" s="2" t="s">
        <v>23</v>
      </c>
      <c r="I2247" s="2" t="s">
        <v>79</v>
      </c>
      <c r="J2247" s="2">
        <v>1</v>
      </c>
      <c r="K2247" s="2" t="s">
        <v>24</v>
      </c>
      <c r="L2247" s="2">
        <v>331</v>
      </c>
      <c r="M2247" s="2" t="s">
        <v>356</v>
      </c>
      <c r="N2247" s="2">
        <v>862</v>
      </c>
      <c r="O2247" s="2">
        <v>9061710.5299999993</v>
      </c>
      <c r="P2247" s="2">
        <v>10512.43</v>
      </c>
    </row>
    <row r="2248" spans="1:16" outlineLevel="1" x14ac:dyDescent="0.2">
      <c r="A2248" s="5"/>
      <c r="D2248" s="3" t="s">
        <v>737</v>
      </c>
      <c r="N2248" s="2">
        <f>SUBTOTAL(9,N2246:N2247)</f>
        <v>915</v>
      </c>
      <c r="O2248" s="2">
        <f>SUBTOTAL(9,O2246:O2247)</f>
        <v>10918128.119999999</v>
      </c>
      <c r="P2248" s="2">
        <f>+O2248/N2248</f>
        <v>11932.380459016393</v>
      </c>
    </row>
    <row r="2249" spans="1:16" outlineLevel="2" x14ac:dyDescent="0.2">
      <c r="A2249" s="5">
        <v>46120</v>
      </c>
      <c r="B2249" s="2">
        <v>158151</v>
      </c>
      <c r="C2249" s="2">
        <v>1</v>
      </c>
      <c r="D2249" s="2" t="s">
        <v>38</v>
      </c>
      <c r="E2249" s="2" t="s">
        <v>39</v>
      </c>
      <c r="F2249" s="2" t="s">
        <v>290</v>
      </c>
      <c r="G2249" s="2" t="s">
        <v>349</v>
      </c>
      <c r="H2249" s="2" t="s">
        <v>23</v>
      </c>
      <c r="I2249" s="2" t="s">
        <v>23</v>
      </c>
      <c r="J2249" s="2">
        <v>40</v>
      </c>
      <c r="K2249" s="2" t="s">
        <v>43</v>
      </c>
      <c r="L2249" s="2">
        <v>2551</v>
      </c>
      <c r="M2249" s="2" t="s">
        <v>292</v>
      </c>
      <c r="N2249" s="2">
        <v>348</v>
      </c>
      <c r="O2249" s="2">
        <v>1985889.46</v>
      </c>
      <c r="P2249" s="2">
        <v>5706.58</v>
      </c>
    </row>
    <row r="2250" spans="1:16" outlineLevel="2" x14ac:dyDescent="0.2">
      <c r="A2250" s="5">
        <v>46139</v>
      </c>
      <c r="B2250" s="2">
        <v>158151</v>
      </c>
      <c r="C2250" s="2">
        <v>2</v>
      </c>
      <c r="D2250" s="2" t="s">
        <v>38</v>
      </c>
      <c r="E2250" s="2" t="s">
        <v>39</v>
      </c>
      <c r="F2250" s="2" t="s">
        <v>290</v>
      </c>
      <c r="G2250" s="2" t="s">
        <v>22</v>
      </c>
      <c r="H2250" s="2" t="s">
        <v>23</v>
      </c>
      <c r="I2250" s="2" t="s">
        <v>23</v>
      </c>
      <c r="J2250" s="2">
        <v>40</v>
      </c>
      <c r="K2250" s="2" t="s">
        <v>43</v>
      </c>
      <c r="L2250" s="2">
        <v>2551</v>
      </c>
      <c r="M2250" s="2" t="s">
        <v>292</v>
      </c>
      <c r="N2250" s="2">
        <v>4</v>
      </c>
      <c r="O2250" s="2">
        <v>32395.8</v>
      </c>
      <c r="P2250" s="2">
        <v>8098.95</v>
      </c>
    </row>
    <row r="2251" spans="1:16" outlineLevel="2" x14ac:dyDescent="0.2">
      <c r="A2251" s="5">
        <v>46136</v>
      </c>
      <c r="B2251" s="2">
        <v>158151</v>
      </c>
      <c r="C2251" s="2">
        <v>300</v>
      </c>
      <c r="D2251" s="2" t="s">
        <v>38</v>
      </c>
      <c r="E2251" s="2" t="s">
        <v>447</v>
      </c>
      <c r="F2251" s="2" t="s">
        <v>290</v>
      </c>
      <c r="G2251" s="2" t="s">
        <v>22</v>
      </c>
      <c r="H2251" s="2" t="s">
        <v>23</v>
      </c>
      <c r="I2251" s="2" t="s">
        <v>23</v>
      </c>
      <c r="J2251" s="2">
        <v>94</v>
      </c>
      <c r="K2251" s="2" t="s">
        <v>147</v>
      </c>
      <c r="L2251" s="2">
        <v>2551</v>
      </c>
      <c r="M2251" s="2" t="s">
        <v>292</v>
      </c>
      <c r="N2251" s="2">
        <v>51</v>
      </c>
      <c r="O2251" s="2">
        <v>620819.23</v>
      </c>
      <c r="P2251" s="2">
        <v>12172.93</v>
      </c>
    </row>
    <row r="2252" spans="1:16" outlineLevel="2" x14ac:dyDescent="0.2">
      <c r="A2252" s="5">
        <v>46139</v>
      </c>
      <c r="B2252" s="2">
        <v>158151</v>
      </c>
      <c r="C2252" s="2">
        <v>315</v>
      </c>
      <c r="D2252" s="2" t="s">
        <v>38</v>
      </c>
      <c r="E2252" s="2" t="s">
        <v>39</v>
      </c>
      <c r="F2252" s="2" t="s">
        <v>290</v>
      </c>
      <c r="G2252" s="2" t="s">
        <v>22</v>
      </c>
      <c r="H2252" s="2" t="s">
        <v>23</v>
      </c>
      <c r="I2252" s="2" t="s">
        <v>23</v>
      </c>
      <c r="J2252" s="2">
        <v>40</v>
      </c>
      <c r="K2252" s="2" t="s">
        <v>43</v>
      </c>
      <c r="L2252" s="2">
        <v>2551</v>
      </c>
      <c r="M2252" s="2" t="s">
        <v>292</v>
      </c>
      <c r="N2252" s="2">
        <v>28</v>
      </c>
      <c r="O2252" s="2">
        <v>83954.53</v>
      </c>
      <c r="P2252" s="2">
        <v>2998.38</v>
      </c>
    </row>
    <row r="2253" spans="1:16" outlineLevel="1" x14ac:dyDescent="0.2">
      <c r="A2253" s="5"/>
      <c r="D2253" s="3" t="s">
        <v>721</v>
      </c>
      <c r="N2253" s="2">
        <f>SUBTOTAL(9,N2249:N2252)</f>
        <v>431</v>
      </c>
      <c r="O2253" s="2">
        <f>SUBTOTAL(9,O2249:O2252)</f>
        <v>2723059.02</v>
      </c>
      <c r="P2253" s="2">
        <f>+O2253/N2253</f>
        <v>6318.0023665893268</v>
      </c>
    </row>
    <row r="2254" spans="1:16" outlineLevel="2" x14ac:dyDescent="0.2">
      <c r="A2254" s="5">
        <v>46111</v>
      </c>
      <c r="B2254" s="2">
        <v>158152</v>
      </c>
      <c r="C2254" s="2">
        <v>1</v>
      </c>
      <c r="D2254" s="2" t="s">
        <v>75</v>
      </c>
      <c r="E2254" s="2" t="s">
        <v>412</v>
      </c>
      <c r="F2254" s="2" t="s">
        <v>108</v>
      </c>
      <c r="G2254" s="2" t="s">
        <v>22</v>
      </c>
      <c r="H2254" s="2" t="s">
        <v>23</v>
      </c>
      <c r="I2254" s="2" t="s">
        <v>100</v>
      </c>
      <c r="J2254" s="2">
        <v>1</v>
      </c>
      <c r="K2254" s="2" t="s">
        <v>24</v>
      </c>
      <c r="L2254" s="2">
        <v>2024</v>
      </c>
      <c r="M2254" s="2" t="s">
        <v>76</v>
      </c>
      <c r="N2254" s="2">
        <v>80</v>
      </c>
      <c r="O2254" s="2">
        <v>2469278.79</v>
      </c>
      <c r="P2254" s="2">
        <v>30865.98</v>
      </c>
    </row>
    <row r="2255" spans="1:16" outlineLevel="2" x14ac:dyDescent="0.2">
      <c r="A2255" s="5">
        <v>46111</v>
      </c>
      <c r="B2255" s="2">
        <v>158152</v>
      </c>
      <c r="C2255" s="2">
        <v>2</v>
      </c>
      <c r="D2255" s="2" t="s">
        <v>75</v>
      </c>
      <c r="E2255" s="2" t="s">
        <v>412</v>
      </c>
      <c r="F2255" s="2" t="s">
        <v>108</v>
      </c>
      <c r="G2255" s="2" t="s">
        <v>22</v>
      </c>
      <c r="H2255" s="2" t="s">
        <v>23</v>
      </c>
      <c r="I2255" s="2" t="s">
        <v>109</v>
      </c>
      <c r="J2255" s="2">
        <v>1</v>
      </c>
      <c r="K2255" s="2" t="s">
        <v>24</v>
      </c>
      <c r="L2255" s="2">
        <v>2024</v>
      </c>
      <c r="M2255" s="2" t="s">
        <v>76</v>
      </c>
      <c r="N2255" s="2">
        <v>325</v>
      </c>
      <c r="O2255" s="2">
        <v>10619439.609999999</v>
      </c>
      <c r="P2255" s="2">
        <v>32675.200000000001</v>
      </c>
    </row>
    <row r="2256" spans="1:16" outlineLevel="2" x14ac:dyDescent="0.2">
      <c r="A2256" s="5">
        <v>46111</v>
      </c>
      <c r="B2256" s="2">
        <v>158152</v>
      </c>
      <c r="C2256" s="2">
        <v>3</v>
      </c>
      <c r="D2256" s="2" t="s">
        <v>75</v>
      </c>
      <c r="E2256" s="2" t="s">
        <v>412</v>
      </c>
      <c r="F2256" s="2" t="s">
        <v>108</v>
      </c>
      <c r="G2256" s="2" t="s">
        <v>22</v>
      </c>
      <c r="H2256" s="2" t="s">
        <v>23</v>
      </c>
      <c r="I2256" s="2" t="s">
        <v>101</v>
      </c>
      <c r="J2256" s="2">
        <v>1</v>
      </c>
      <c r="K2256" s="2" t="s">
        <v>24</v>
      </c>
      <c r="L2256" s="2">
        <v>2024</v>
      </c>
      <c r="M2256" s="2" t="s">
        <v>76</v>
      </c>
      <c r="N2256" s="2">
        <v>252</v>
      </c>
      <c r="O2256" s="2">
        <v>8171242.1100000003</v>
      </c>
      <c r="P2256" s="2">
        <v>32425.56</v>
      </c>
    </row>
    <row r="2257" spans="1:16" outlineLevel="1" x14ac:dyDescent="0.2">
      <c r="A2257" s="5"/>
      <c r="D2257" s="3" t="s">
        <v>729</v>
      </c>
      <c r="N2257" s="2">
        <f>SUBTOTAL(9,N2254:N2256)</f>
        <v>657</v>
      </c>
      <c r="O2257" s="2">
        <f>SUBTOTAL(9,O2254:O2256)</f>
        <v>21259960.509999998</v>
      </c>
      <c r="P2257" s="2">
        <f>+O2257/N2257</f>
        <v>32359.148417047181</v>
      </c>
    </row>
    <row r="2258" spans="1:16" outlineLevel="2" x14ac:dyDescent="0.2">
      <c r="A2258" s="5">
        <v>46176</v>
      </c>
      <c r="B2258" s="2">
        <v>158156</v>
      </c>
      <c r="C2258" s="2">
        <v>300</v>
      </c>
      <c r="D2258" s="2" t="s">
        <v>57</v>
      </c>
      <c r="E2258" s="2" t="s">
        <v>58</v>
      </c>
      <c r="F2258" s="2" t="s">
        <v>31</v>
      </c>
      <c r="G2258" s="2" t="s">
        <v>22</v>
      </c>
      <c r="H2258" s="2" t="s">
        <v>23</v>
      </c>
      <c r="I2258" s="2" t="s">
        <v>23</v>
      </c>
      <c r="J2258" s="2">
        <v>1</v>
      </c>
      <c r="K2258" s="2" t="s">
        <v>24</v>
      </c>
      <c r="L2258" s="2">
        <v>895</v>
      </c>
      <c r="M2258" s="2" t="s">
        <v>448</v>
      </c>
      <c r="N2258" s="2">
        <v>17</v>
      </c>
      <c r="O2258" s="2">
        <v>229159.13</v>
      </c>
      <c r="P2258" s="2">
        <v>13479.95</v>
      </c>
    </row>
    <row r="2259" spans="1:16" outlineLevel="1" x14ac:dyDescent="0.2">
      <c r="A2259" s="5"/>
      <c r="D2259" s="3" t="s">
        <v>716</v>
      </c>
      <c r="N2259" s="2">
        <f>SUBTOTAL(9,N2258:N2258)</f>
        <v>17</v>
      </c>
      <c r="O2259" s="2">
        <f>SUBTOTAL(9,O2258:O2258)</f>
        <v>229159.13</v>
      </c>
      <c r="P2259" s="2">
        <f>+O2259/N2259</f>
        <v>13479.948823529412</v>
      </c>
    </row>
    <row r="2260" spans="1:16" outlineLevel="2" x14ac:dyDescent="0.2">
      <c r="A2260" s="5">
        <v>46134</v>
      </c>
      <c r="B2260" s="2">
        <v>158162</v>
      </c>
      <c r="C2260" s="2">
        <v>1</v>
      </c>
      <c r="D2260" s="2" t="s">
        <v>197</v>
      </c>
      <c r="E2260" s="2" t="s">
        <v>284</v>
      </c>
      <c r="F2260" s="2" t="s">
        <v>199</v>
      </c>
      <c r="G2260" s="2" t="s">
        <v>22</v>
      </c>
      <c r="H2260" s="2" t="s">
        <v>23</v>
      </c>
      <c r="I2260" s="2" t="s">
        <v>23</v>
      </c>
      <c r="J2260" s="2">
        <v>2</v>
      </c>
      <c r="K2260" s="2" t="s">
        <v>48</v>
      </c>
      <c r="L2260" s="2">
        <v>155</v>
      </c>
      <c r="M2260" s="2" t="s">
        <v>328</v>
      </c>
      <c r="N2260" s="2">
        <v>22</v>
      </c>
      <c r="O2260" s="2">
        <v>397535.03</v>
      </c>
      <c r="P2260" s="2">
        <v>18069.77</v>
      </c>
    </row>
    <row r="2261" spans="1:16" outlineLevel="1" x14ac:dyDescent="0.2">
      <c r="A2261" s="5"/>
      <c r="D2261" s="3" t="s">
        <v>734</v>
      </c>
      <c r="N2261" s="2">
        <f>SUBTOTAL(9,N2260:N2260)</f>
        <v>22</v>
      </c>
      <c r="O2261" s="2">
        <f>SUBTOTAL(9,O2260:O2260)</f>
        <v>397535.03</v>
      </c>
      <c r="P2261" s="2">
        <f>+O2261/N2261</f>
        <v>18069.774090909094</v>
      </c>
    </row>
    <row r="2262" spans="1:16" outlineLevel="2" x14ac:dyDescent="0.2">
      <c r="A2262" s="5">
        <v>46113</v>
      </c>
      <c r="B2262" s="2">
        <v>158182</v>
      </c>
      <c r="C2262" s="2">
        <v>1</v>
      </c>
      <c r="D2262" s="2" t="s">
        <v>205</v>
      </c>
      <c r="E2262" s="2" t="s">
        <v>55</v>
      </c>
      <c r="F2262" s="2" t="s">
        <v>23</v>
      </c>
      <c r="G2262" s="2" t="s">
        <v>23</v>
      </c>
      <c r="H2262" s="2" t="s">
        <v>23</v>
      </c>
      <c r="I2262" s="2" t="s">
        <v>23</v>
      </c>
      <c r="J2262" s="2">
        <v>1</v>
      </c>
      <c r="K2262" s="2" t="s">
        <v>24</v>
      </c>
      <c r="L2262" s="2">
        <v>25072</v>
      </c>
      <c r="M2262" s="2" t="s">
        <v>449</v>
      </c>
      <c r="N2262" s="2">
        <v>20</v>
      </c>
      <c r="O2262" s="2">
        <v>179714.32</v>
      </c>
      <c r="P2262" s="2">
        <v>8985.7199999999993</v>
      </c>
    </row>
    <row r="2263" spans="1:16" outlineLevel="1" x14ac:dyDescent="0.2">
      <c r="A2263" s="5"/>
      <c r="D2263" s="3" t="s">
        <v>717</v>
      </c>
      <c r="N2263" s="2">
        <f>SUBTOTAL(9,N2262:N2262)</f>
        <v>20</v>
      </c>
      <c r="O2263" s="2">
        <f>SUBTOTAL(9,O2262:O2262)</f>
        <v>179714.32</v>
      </c>
      <c r="P2263" s="2">
        <f>+O2263/N2263</f>
        <v>8985.7160000000003</v>
      </c>
    </row>
    <row r="2264" spans="1:16" outlineLevel="2" x14ac:dyDescent="0.2">
      <c r="A2264" s="5">
        <v>46125</v>
      </c>
      <c r="B2264" s="2">
        <v>158183</v>
      </c>
      <c r="C2264" s="2">
        <v>1</v>
      </c>
      <c r="D2264" s="2" t="s">
        <v>140</v>
      </c>
      <c r="E2264" s="2" t="s">
        <v>55</v>
      </c>
      <c r="F2264" s="2" t="s">
        <v>23</v>
      </c>
      <c r="G2264" s="2" t="s">
        <v>23</v>
      </c>
      <c r="H2264" s="2" t="s">
        <v>23</v>
      </c>
      <c r="I2264" s="2" t="s">
        <v>23</v>
      </c>
      <c r="J2264" s="2">
        <v>1</v>
      </c>
      <c r="K2264" s="2" t="s">
        <v>24</v>
      </c>
      <c r="L2264" s="2">
        <v>1833</v>
      </c>
      <c r="M2264" s="2" t="s">
        <v>142</v>
      </c>
      <c r="N2264" s="2">
        <v>10</v>
      </c>
      <c r="O2264" s="2">
        <v>168732.76</v>
      </c>
      <c r="P2264" s="2">
        <v>16873.28</v>
      </c>
    </row>
    <row r="2265" spans="1:16" outlineLevel="2" x14ac:dyDescent="0.2">
      <c r="A2265" s="5">
        <v>46111</v>
      </c>
      <c r="B2265" s="2">
        <v>158184</v>
      </c>
      <c r="C2265" s="2">
        <v>1</v>
      </c>
      <c r="D2265" s="2" t="s">
        <v>140</v>
      </c>
      <c r="E2265" s="2" t="s">
        <v>141</v>
      </c>
      <c r="F2265" s="2" t="s">
        <v>108</v>
      </c>
      <c r="G2265" s="2" t="s">
        <v>22</v>
      </c>
      <c r="H2265" s="2" t="s">
        <v>23</v>
      </c>
      <c r="I2265" s="2" t="s">
        <v>23</v>
      </c>
      <c r="J2265" s="2">
        <v>1</v>
      </c>
      <c r="K2265" s="2" t="s">
        <v>24</v>
      </c>
      <c r="L2265" s="2">
        <v>1833</v>
      </c>
      <c r="M2265" s="2" t="s">
        <v>142</v>
      </c>
      <c r="N2265" s="2">
        <v>20</v>
      </c>
      <c r="O2265" s="2">
        <v>615741.96</v>
      </c>
      <c r="P2265" s="2">
        <v>30787.1</v>
      </c>
    </row>
    <row r="2266" spans="1:16" outlineLevel="2" x14ac:dyDescent="0.2">
      <c r="A2266" s="5">
        <v>46111</v>
      </c>
      <c r="B2266" s="2">
        <v>158184</v>
      </c>
      <c r="C2266" s="2">
        <v>2</v>
      </c>
      <c r="D2266" s="2" t="s">
        <v>140</v>
      </c>
      <c r="E2266" s="2" t="s">
        <v>248</v>
      </c>
      <c r="F2266" s="2" t="s">
        <v>108</v>
      </c>
      <c r="G2266" s="2" t="s">
        <v>22</v>
      </c>
      <c r="H2266" s="2" t="s">
        <v>23</v>
      </c>
      <c r="I2266" s="2" t="s">
        <v>23</v>
      </c>
      <c r="J2266" s="2">
        <v>1</v>
      </c>
      <c r="K2266" s="2" t="s">
        <v>24</v>
      </c>
      <c r="L2266" s="2">
        <v>1833</v>
      </c>
      <c r="M2266" s="2" t="s">
        <v>142</v>
      </c>
      <c r="N2266" s="2">
        <v>20</v>
      </c>
      <c r="O2266" s="2">
        <v>522317.46</v>
      </c>
      <c r="P2266" s="2">
        <v>26115.87</v>
      </c>
    </row>
    <row r="2267" spans="1:16" outlineLevel="1" x14ac:dyDescent="0.2">
      <c r="A2267" s="5"/>
      <c r="D2267" s="3" t="s">
        <v>696</v>
      </c>
      <c r="N2267" s="2">
        <f>SUBTOTAL(9,N2264:N2266)</f>
        <v>50</v>
      </c>
      <c r="O2267" s="2">
        <f>SUBTOTAL(9,O2264:O2266)</f>
        <v>1306792.18</v>
      </c>
      <c r="P2267" s="2">
        <f>+O2267/N2267</f>
        <v>26135.8436</v>
      </c>
    </row>
    <row r="2268" spans="1:16" outlineLevel="2" x14ac:dyDescent="0.2">
      <c r="A2268" s="5">
        <v>46111</v>
      </c>
      <c r="B2268" s="2">
        <v>158185</v>
      </c>
      <c r="C2268" s="2">
        <v>1</v>
      </c>
      <c r="D2268" s="2" t="s">
        <v>60</v>
      </c>
      <c r="E2268" s="2" t="s">
        <v>346</v>
      </c>
      <c r="F2268" s="2" t="s">
        <v>31</v>
      </c>
      <c r="G2268" s="2" t="s">
        <v>22</v>
      </c>
      <c r="H2268" s="2" t="s">
        <v>23</v>
      </c>
      <c r="I2268" s="2" t="s">
        <v>23</v>
      </c>
      <c r="J2268" s="2">
        <v>78</v>
      </c>
      <c r="K2268" s="2" t="s">
        <v>212</v>
      </c>
      <c r="L2268" s="2">
        <v>226</v>
      </c>
      <c r="M2268" s="2" t="s">
        <v>59</v>
      </c>
      <c r="N2268" s="2">
        <v>83</v>
      </c>
      <c r="O2268" s="2">
        <v>1746613.79</v>
      </c>
      <c r="P2268" s="2">
        <v>21043.54</v>
      </c>
    </row>
    <row r="2269" spans="1:16" outlineLevel="1" x14ac:dyDescent="0.2">
      <c r="A2269" s="5"/>
      <c r="D2269" s="3" t="s">
        <v>728</v>
      </c>
      <c r="N2269" s="2">
        <f>SUBTOTAL(9,N2268:N2268)</f>
        <v>83</v>
      </c>
      <c r="O2269" s="2">
        <f>SUBTOTAL(9,O2268:O2268)</f>
        <v>1746613.79</v>
      </c>
      <c r="P2269" s="2">
        <f>+O2269/N2269</f>
        <v>21043.539638554219</v>
      </c>
    </row>
    <row r="2270" spans="1:16" outlineLevel="2" x14ac:dyDescent="0.2">
      <c r="A2270" s="5">
        <v>46111</v>
      </c>
      <c r="B2270" s="2">
        <v>158185</v>
      </c>
      <c r="C2270" s="2">
        <v>2</v>
      </c>
      <c r="D2270" s="2" t="s">
        <v>83</v>
      </c>
      <c r="E2270" s="2" t="s">
        <v>84</v>
      </c>
      <c r="F2270" s="2" t="s">
        <v>31</v>
      </c>
      <c r="G2270" s="2" t="s">
        <v>22</v>
      </c>
      <c r="H2270" s="2" t="s">
        <v>450</v>
      </c>
      <c r="I2270" s="2" t="s">
        <v>23</v>
      </c>
      <c r="J2270" s="2">
        <v>88</v>
      </c>
      <c r="K2270" s="2" t="s">
        <v>255</v>
      </c>
      <c r="L2270" s="2">
        <v>226</v>
      </c>
      <c r="M2270" s="2" t="s">
        <v>59</v>
      </c>
      <c r="N2270" s="2">
        <v>83</v>
      </c>
      <c r="O2270" s="2">
        <v>2677233.17</v>
      </c>
      <c r="P2270" s="2">
        <v>32255.82</v>
      </c>
    </row>
    <row r="2271" spans="1:16" outlineLevel="1" x14ac:dyDescent="0.2">
      <c r="A2271" s="5"/>
      <c r="D2271" s="3" t="s">
        <v>701</v>
      </c>
      <c r="N2271" s="2">
        <f>SUBTOTAL(9,N2270:N2270)</f>
        <v>83</v>
      </c>
      <c r="O2271" s="2">
        <f>SUBTOTAL(9,O2270:O2270)</f>
        <v>2677233.17</v>
      </c>
      <c r="P2271" s="2">
        <f>+O2271/N2271</f>
        <v>32255.821325301204</v>
      </c>
    </row>
    <row r="2272" spans="1:16" outlineLevel="2" x14ac:dyDescent="0.2">
      <c r="A2272" s="5">
        <v>46111</v>
      </c>
      <c r="B2272" s="2">
        <v>158185</v>
      </c>
      <c r="C2272" s="2">
        <v>3</v>
      </c>
      <c r="D2272" s="2" t="s">
        <v>434</v>
      </c>
      <c r="E2272" s="2" t="s">
        <v>435</v>
      </c>
      <c r="F2272" s="2" t="s">
        <v>31</v>
      </c>
      <c r="G2272" s="2" t="s">
        <v>22</v>
      </c>
      <c r="H2272" s="2" t="s">
        <v>23</v>
      </c>
      <c r="I2272" s="2" t="s">
        <v>23</v>
      </c>
      <c r="J2272" s="2">
        <v>78</v>
      </c>
      <c r="K2272" s="2" t="s">
        <v>212</v>
      </c>
      <c r="L2272" s="2">
        <v>226</v>
      </c>
      <c r="M2272" s="2" t="s">
        <v>59</v>
      </c>
      <c r="N2272" s="2">
        <v>84</v>
      </c>
      <c r="O2272" s="2">
        <v>2112206.48</v>
      </c>
      <c r="P2272" s="2">
        <v>25145.32</v>
      </c>
    </row>
    <row r="2273" spans="1:16" outlineLevel="1" x14ac:dyDescent="0.2">
      <c r="A2273" s="5"/>
      <c r="D2273" s="3" t="s">
        <v>773</v>
      </c>
      <c r="N2273" s="2">
        <f>SUBTOTAL(9,N2272:N2272)</f>
        <v>84</v>
      </c>
      <c r="O2273" s="2">
        <f>SUBTOTAL(9,O2272:O2272)</f>
        <v>2112206.48</v>
      </c>
      <c r="P2273" s="2">
        <f>+O2273/N2273</f>
        <v>25145.315238095238</v>
      </c>
    </row>
    <row r="2274" spans="1:16" outlineLevel="2" x14ac:dyDescent="0.2">
      <c r="A2274" s="5">
        <v>46111</v>
      </c>
      <c r="B2274" s="2">
        <v>158185</v>
      </c>
      <c r="C2274" s="2">
        <v>4</v>
      </c>
      <c r="D2274" s="2" t="s">
        <v>60</v>
      </c>
      <c r="E2274" s="2" t="s">
        <v>364</v>
      </c>
      <c r="F2274" s="2" t="s">
        <v>31</v>
      </c>
      <c r="G2274" s="2" t="s">
        <v>22</v>
      </c>
      <c r="H2274" s="2" t="s">
        <v>23</v>
      </c>
      <c r="I2274" s="2" t="s">
        <v>23</v>
      </c>
      <c r="J2274" s="2">
        <v>78</v>
      </c>
      <c r="K2274" s="2" t="s">
        <v>212</v>
      </c>
      <c r="L2274" s="2">
        <v>226</v>
      </c>
      <c r="M2274" s="2" t="s">
        <v>59</v>
      </c>
      <c r="N2274" s="2">
        <v>91</v>
      </c>
      <c r="O2274" s="2">
        <v>1922115.31</v>
      </c>
      <c r="P2274" s="2">
        <v>21122.15</v>
      </c>
    </row>
    <row r="2275" spans="1:16" outlineLevel="1" x14ac:dyDescent="0.2">
      <c r="A2275" s="5"/>
      <c r="D2275" s="3" t="s">
        <v>728</v>
      </c>
      <c r="N2275" s="2">
        <f>SUBTOTAL(9,N2274:N2274)</f>
        <v>91</v>
      </c>
      <c r="O2275" s="2">
        <f>SUBTOTAL(9,O2274:O2274)</f>
        <v>1922115.31</v>
      </c>
      <c r="P2275" s="2">
        <f>+O2275/N2275</f>
        <v>21122.146263736264</v>
      </c>
    </row>
    <row r="2276" spans="1:16" outlineLevel="2" x14ac:dyDescent="0.2">
      <c r="A2276" s="5">
        <v>46111</v>
      </c>
      <c r="B2276" s="2">
        <v>158185</v>
      </c>
      <c r="C2276" s="2">
        <v>5</v>
      </c>
      <c r="D2276" s="2" t="s">
        <v>57</v>
      </c>
      <c r="E2276" s="2" t="s">
        <v>58</v>
      </c>
      <c r="F2276" s="2" t="s">
        <v>31</v>
      </c>
      <c r="G2276" s="2" t="s">
        <v>22</v>
      </c>
      <c r="H2276" s="2" t="s">
        <v>23</v>
      </c>
      <c r="I2276" s="2" t="s">
        <v>23</v>
      </c>
      <c r="J2276" s="2">
        <v>1</v>
      </c>
      <c r="K2276" s="2" t="s">
        <v>24</v>
      </c>
      <c r="L2276" s="2">
        <v>226</v>
      </c>
      <c r="M2276" s="2" t="s">
        <v>59</v>
      </c>
      <c r="N2276" s="2">
        <v>42</v>
      </c>
      <c r="O2276" s="2">
        <v>1993294.72</v>
      </c>
      <c r="P2276" s="2">
        <v>47459.4</v>
      </c>
    </row>
    <row r="2277" spans="1:16" outlineLevel="1" x14ac:dyDescent="0.2">
      <c r="A2277" s="5"/>
      <c r="D2277" s="3" t="s">
        <v>716</v>
      </c>
      <c r="N2277" s="2">
        <f>SUBTOTAL(9,N2276:N2276)</f>
        <v>42</v>
      </c>
      <c r="O2277" s="2">
        <f>SUBTOTAL(9,O2276:O2276)</f>
        <v>1993294.72</v>
      </c>
      <c r="P2277" s="2">
        <f>+O2277/N2277</f>
        <v>47459.398095238095</v>
      </c>
    </row>
    <row r="2278" spans="1:16" outlineLevel="2" x14ac:dyDescent="0.2">
      <c r="A2278" s="5">
        <v>46111</v>
      </c>
      <c r="B2278" s="2">
        <v>158186</v>
      </c>
      <c r="C2278" s="2">
        <v>1</v>
      </c>
      <c r="D2278" s="2" t="s">
        <v>226</v>
      </c>
      <c r="E2278" s="2" t="s">
        <v>227</v>
      </c>
      <c r="F2278" s="2" t="s">
        <v>47</v>
      </c>
      <c r="G2278" s="2" t="s">
        <v>22</v>
      </c>
      <c r="H2278" s="2" t="s">
        <v>23</v>
      </c>
      <c r="I2278" s="2" t="s">
        <v>23</v>
      </c>
      <c r="J2278" s="2">
        <v>41</v>
      </c>
      <c r="K2278" s="2" t="s">
        <v>129</v>
      </c>
      <c r="L2278" s="2">
        <v>1964</v>
      </c>
      <c r="M2278" s="2" t="s">
        <v>49</v>
      </c>
      <c r="N2278" s="2">
        <v>96</v>
      </c>
      <c r="O2278" s="2">
        <v>2100591.9500000002</v>
      </c>
      <c r="P2278" s="2">
        <v>21881.17</v>
      </c>
    </row>
    <row r="2279" spans="1:16" outlineLevel="1" x14ac:dyDescent="0.2">
      <c r="A2279" s="5"/>
      <c r="D2279" s="3" t="s">
        <v>736</v>
      </c>
      <c r="N2279" s="2">
        <f>SUBTOTAL(9,N2278:N2278)</f>
        <v>96</v>
      </c>
      <c r="O2279" s="2">
        <f>SUBTOTAL(9,O2278:O2278)</f>
        <v>2100591.9500000002</v>
      </c>
      <c r="P2279" s="2">
        <f>+O2279/N2279</f>
        <v>21881.166145833336</v>
      </c>
    </row>
    <row r="2280" spans="1:16" outlineLevel="2" x14ac:dyDescent="0.2">
      <c r="A2280" s="5">
        <v>46111</v>
      </c>
      <c r="B2280" s="2">
        <v>158186</v>
      </c>
      <c r="C2280" s="2">
        <v>2</v>
      </c>
      <c r="D2280" s="2" t="s">
        <v>45</v>
      </c>
      <c r="E2280" s="2" t="s">
        <v>227</v>
      </c>
      <c r="F2280" s="2" t="s">
        <v>47</v>
      </c>
      <c r="G2280" s="2" t="s">
        <v>22</v>
      </c>
      <c r="H2280" s="2" t="s">
        <v>23</v>
      </c>
      <c r="I2280" s="2" t="s">
        <v>23</v>
      </c>
      <c r="J2280" s="2">
        <v>41</v>
      </c>
      <c r="K2280" s="2" t="s">
        <v>129</v>
      </c>
      <c r="L2280" s="2">
        <v>1964</v>
      </c>
      <c r="M2280" s="2" t="s">
        <v>49</v>
      </c>
      <c r="N2280" s="2">
        <v>96</v>
      </c>
      <c r="O2280" s="2">
        <v>1315661.8799999999</v>
      </c>
      <c r="P2280" s="2">
        <v>13704.81</v>
      </c>
    </row>
    <row r="2281" spans="1:16" outlineLevel="1" x14ac:dyDescent="0.2">
      <c r="A2281" s="5"/>
      <c r="D2281" s="3" t="s">
        <v>733</v>
      </c>
      <c r="N2281" s="2">
        <f>SUBTOTAL(9,N2280:N2280)</f>
        <v>96</v>
      </c>
      <c r="O2281" s="2">
        <f>SUBTOTAL(9,O2280:O2280)</f>
        <v>1315661.8799999999</v>
      </c>
      <c r="P2281" s="2">
        <f>+O2281/N2281</f>
        <v>13704.811249999999</v>
      </c>
    </row>
    <row r="2282" spans="1:16" outlineLevel="2" x14ac:dyDescent="0.2">
      <c r="A2282" s="5">
        <v>46111</v>
      </c>
      <c r="B2282" s="2">
        <v>158187</v>
      </c>
      <c r="C2282" s="2">
        <v>1</v>
      </c>
      <c r="D2282" s="2" t="s">
        <v>203</v>
      </c>
      <c r="E2282" s="2" t="s">
        <v>238</v>
      </c>
      <c r="F2282" s="2" t="s">
        <v>47</v>
      </c>
      <c r="G2282" s="2" t="s">
        <v>22</v>
      </c>
      <c r="H2282" s="2" t="s">
        <v>23</v>
      </c>
      <c r="I2282" s="2" t="s">
        <v>23</v>
      </c>
      <c r="J2282" s="2">
        <v>2</v>
      </c>
      <c r="K2282" s="2" t="s">
        <v>48</v>
      </c>
      <c r="L2282" s="2">
        <v>2338</v>
      </c>
      <c r="M2282" s="2" t="s">
        <v>417</v>
      </c>
      <c r="N2282" s="2">
        <v>10</v>
      </c>
      <c r="O2282" s="2">
        <v>165054.79999999999</v>
      </c>
      <c r="P2282" s="2">
        <v>16505.48</v>
      </c>
    </row>
    <row r="2283" spans="1:16" outlineLevel="1" x14ac:dyDescent="0.2">
      <c r="A2283" s="5"/>
      <c r="D2283" s="3" t="s">
        <v>735</v>
      </c>
      <c r="N2283" s="2">
        <f>SUBTOTAL(9,N2282:N2282)</f>
        <v>10</v>
      </c>
      <c r="O2283" s="2">
        <f>SUBTOTAL(9,O2282:O2282)</f>
        <v>165054.79999999999</v>
      </c>
      <c r="P2283" s="2">
        <f>+O2283/N2283</f>
        <v>16505.48</v>
      </c>
    </row>
    <row r="2284" spans="1:16" outlineLevel="2" x14ac:dyDescent="0.2">
      <c r="A2284" s="5">
        <v>46111</v>
      </c>
      <c r="B2284" s="2">
        <v>158188</v>
      </c>
      <c r="C2284" s="2">
        <v>1</v>
      </c>
      <c r="D2284" s="2" t="s">
        <v>207</v>
      </c>
      <c r="E2284" s="2" t="s">
        <v>23</v>
      </c>
      <c r="F2284" s="2" t="s">
        <v>47</v>
      </c>
      <c r="G2284" s="2" t="s">
        <v>22</v>
      </c>
      <c r="H2284" s="2" t="s">
        <v>208</v>
      </c>
      <c r="I2284" s="2" t="s">
        <v>23</v>
      </c>
      <c r="J2284" s="2">
        <v>41</v>
      </c>
      <c r="K2284" s="2" t="s">
        <v>129</v>
      </c>
      <c r="L2284" s="2">
        <v>25213</v>
      </c>
      <c r="M2284" s="2" t="s">
        <v>130</v>
      </c>
      <c r="N2284" s="2">
        <v>50</v>
      </c>
      <c r="O2284" s="2">
        <v>188125.17</v>
      </c>
      <c r="P2284" s="2">
        <v>3762.5</v>
      </c>
    </row>
    <row r="2285" spans="1:16" outlineLevel="2" x14ac:dyDescent="0.2">
      <c r="A2285" s="5">
        <v>46111</v>
      </c>
      <c r="B2285" s="2">
        <v>158188</v>
      </c>
      <c r="C2285" s="2">
        <v>2</v>
      </c>
      <c r="D2285" s="2" t="s">
        <v>207</v>
      </c>
      <c r="E2285" s="2" t="s">
        <v>23</v>
      </c>
      <c r="F2285" s="2" t="s">
        <v>47</v>
      </c>
      <c r="G2285" s="2" t="s">
        <v>22</v>
      </c>
      <c r="H2285" s="2" t="s">
        <v>209</v>
      </c>
      <c r="I2285" s="2" t="s">
        <v>23</v>
      </c>
      <c r="J2285" s="2">
        <v>41</v>
      </c>
      <c r="K2285" s="2" t="s">
        <v>129</v>
      </c>
      <c r="L2285" s="2">
        <v>25213</v>
      </c>
      <c r="M2285" s="2" t="s">
        <v>130</v>
      </c>
      <c r="N2285" s="2">
        <v>25</v>
      </c>
      <c r="O2285" s="2">
        <v>82028.47</v>
      </c>
      <c r="P2285" s="2">
        <v>3281.14</v>
      </c>
    </row>
    <row r="2286" spans="1:16" outlineLevel="1" x14ac:dyDescent="0.2">
      <c r="A2286" s="5"/>
      <c r="D2286" s="3" t="s">
        <v>699</v>
      </c>
      <c r="N2286" s="2">
        <f>SUBTOTAL(9,N2284:N2285)</f>
        <v>75</v>
      </c>
      <c r="O2286" s="2">
        <f>SUBTOTAL(9,O2284:O2285)</f>
        <v>270153.64</v>
      </c>
      <c r="P2286" s="2">
        <f>+O2286/N2286</f>
        <v>3602.0485333333336</v>
      </c>
    </row>
    <row r="2287" spans="1:16" outlineLevel="2" x14ac:dyDescent="0.2">
      <c r="A2287" s="5">
        <v>46111</v>
      </c>
      <c r="B2287" s="2">
        <v>158188</v>
      </c>
      <c r="C2287" s="2">
        <v>3</v>
      </c>
      <c r="D2287" s="2" t="s">
        <v>128</v>
      </c>
      <c r="E2287" s="2" t="s">
        <v>23</v>
      </c>
      <c r="F2287" s="2" t="s">
        <v>47</v>
      </c>
      <c r="G2287" s="2" t="s">
        <v>22</v>
      </c>
      <c r="H2287" s="2" t="s">
        <v>23</v>
      </c>
      <c r="I2287" s="2" t="s">
        <v>23</v>
      </c>
      <c r="J2287" s="2">
        <v>41</v>
      </c>
      <c r="K2287" s="2" t="s">
        <v>129</v>
      </c>
      <c r="L2287" s="2">
        <v>25213</v>
      </c>
      <c r="M2287" s="2" t="s">
        <v>130</v>
      </c>
      <c r="N2287" s="2">
        <v>50</v>
      </c>
      <c r="O2287" s="2">
        <v>190068.85</v>
      </c>
      <c r="P2287" s="2">
        <v>3801.38</v>
      </c>
    </row>
    <row r="2288" spans="1:16" outlineLevel="1" x14ac:dyDescent="0.2">
      <c r="A2288" s="5"/>
      <c r="D2288" s="3" t="s">
        <v>732</v>
      </c>
      <c r="N2288" s="2">
        <f>SUBTOTAL(9,N2287:N2287)</f>
        <v>50</v>
      </c>
      <c r="O2288" s="2">
        <f>SUBTOTAL(9,O2287:O2287)</f>
        <v>190068.85</v>
      </c>
      <c r="P2288" s="2">
        <f>+O2288/N2288</f>
        <v>3801.377</v>
      </c>
    </row>
    <row r="2289" spans="1:16" outlineLevel="2" x14ac:dyDescent="0.2">
      <c r="A2289" s="5">
        <v>46111</v>
      </c>
      <c r="B2289" s="2">
        <v>158188</v>
      </c>
      <c r="C2289" s="2">
        <v>4</v>
      </c>
      <c r="D2289" s="2" t="s">
        <v>207</v>
      </c>
      <c r="E2289" s="2" t="s">
        <v>23</v>
      </c>
      <c r="F2289" s="2" t="s">
        <v>47</v>
      </c>
      <c r="G2289" s="2" t="s">
        <v>22</v>
      </c>
      <c r="H2289" s="2" t="s">
        <v>23</v>
      </c>
      <c r="I2289" s="2" t="s">
        <v>23</v>
      </c>
      <c r="J2289" s="2">
        <v>1</v>
      </c>
      <c r="K2289" s="2" t="s">
        <v>24</v>
      </c>
      <c r="L2289" s="2">
        <v>25213</v>
      </c>
      <c r="M2289" s="2" t="s">
        <v>130</v>
      </c>
      <c r="N2289" s="2">
        <v>2</v>
      </c>
      <c r="O2289" s="2">
        <v>157159.57999999999</v>
      </c>
      <c r="P2289" s="2">
        <v>78579.789999999994</v>
      </c>
    </row>
    <row r="2290" spans="1:16" outlineLevel="1" x14ac:dyDescent="0.2">
      <c r="A2290" s="5"/>
      <c r="D2290" s="3" t="s">
        <v>699</v>
      </c>
      <c r="N2290" s="2">
        <f>SUBTOTAL(9,N2289:N2289)</f>
        <v>2</v>
      </c>
      <c r="O2290" s="2">
        <f>SUBTOTAL(9,O2289:O2289)</f>
        <v>157159.57999999999</v>
      </c>
      <c r="P2290" s="2">
        <f>+O2290/N2290</f>
        <v>78579.789999999994</v>
      </c>
    </row>
    <row r="2291" spans="1:16" outlineLevel="2" x14ac:dyDescent="0.2">
      <c r="A2291" s="5">
        <v>46111</v>
      </c>
      <c r="B2291" s="2">
        <v>158188</v>
      </c>
      <c r="C2291" s="2">
        <v>5</v>
      </c>
      <c r="D2291" s="2" t="s">
        <v>128</v>
      </c>
      <c r="E2291" s="2" t="s">
        <v>23</v>
      </c>
      <c r="F2291" s="2" t="s">
        <v>47</v>
      </c>
      <c r="G2291" s="2" t="s">
        <v>22</v>
      </c>
      <c r="H2291" s="2" t="s">
        <v>23</v>
      </c>
      <c r="I2291" s="2" t="s">
        <v>23</v>
      </c>
      <c r="J2291" s="2">
        <v>1</v>
      </c>
      <c r="K2291" s="2" t="s">
        <v>24</v>
      </c>
      <c r="L2291" s="2">
        <v>25213</v>
      </c>
      <c r="M2291" s="2" t="s">
        <v>130</v>
      </c>
      <c r="N2291" s="2">
        <v>2</v>
      </c>
      <c r="O2291" s="2">
        <v>175815.96</v>
      </c>
      <c r="P2291" s="2">
        <v>87907.98</v>
      </c>
    </row>
    <row r="2292" spans="1:16" outlineLevel="1" x14ac:dyDescent="0.2">
      <c r="A2292" s="5"/>
      <c r="D2292" s="3" t="s">
        <v>732</v>
      </c>
      <c r="N2292" s="2">
        <f>SUBTOTAL(9,N2291:N2291)</f>
        <v>2</v>
      </c>
      <c r="O2292" s="2">
        <f>SUBTOTAL(9,O2291:O2291)</f>
        <v>175815.96</v>
      </c>
      <c r="P2292" s="2">
        <f>+O2292/N2292</f>
        <v>87907.98</v>
      </c>
    </row>
    <row r="2293" spans="1:16" outlineLevel="2" x14ac:dyDescent="0.2">
      <c r="A2293" s="5">
        <v>46111</v>
      </c>
      <c r="B2293" s="2">
        <v>158189</v>
      </c>
      <c r="C2293" s="2">
        <v>1</v>
      </c>
      <c r="D2293" s="2" t="s">
        <v>451</v>
      </c>
      <c r="E2293" s="2" t="s">
        <v>23</v>
      </c>
      <c r="F2293" s="2" t="s">
        <v>405</v>
      </c>
      <c r="G2293" s="2" t="s">
        <v>22</v>
      </c>
      <c r="H2293" s="2" t="s">
        <v>23</v>
      </c>
      <c r="I2293" s="2" t="s">
        <v>23</v>
      </c>
      <c r="J2293" s="2">
        <v>1</v>
      </c>
      <c r="K2293" s="2" t="s">
        <v>24</v>
      </c>
      <c r="L2293" s="2">
        <v>2273</v>
      </c>
      <c r="M2293" s="2" t="s">
        <v>452</v>
      </c>
      <c r="N2293" s="2">
        <v>56</v>
      </c>
      <c r="O2293" s="2">
        <v>931647.86</v>
      </c>
      <c r="P2293" s="2">
        <v>16636.57</v>
      </c>
    </row>
    <row r="2294" spans="1:16" outlineLevel="1" x14ac:dyDescent="0.2">
      <c r="A2294" s="5"/>
      <c r="D2294" s="3" t="s">
        <v>775</v>
      </c>
      <c r="N2294" s="2">
        <f>SUBTOTAL(9,N2293:N2293)</f>
        <v>56</v>
      </c>
      <c r="O2294" s="2">
        <f>SUBTOTAL(9,O2293:O2293)</f>
        <v>931647.86</v>
      </c>
      <c r="P2294" s="2">
        <f>+O2294/N2294</f>
        <v>16636.568928571429</v>
      </c>
    </row>
    <row r="2295" spans="1:16" outlineLevel="2" x14ac:dyDescent="0.2">
      <c r="A2295" s="5">
        <v>46111</v>
      </c>
      <c r="B2295" s="2">
        <v>158191</v>
      </c>
      <c r="C2295" s="2">
        <v>1</v>
      </c>
      <c r="D2295" s="2" t="s">
        <v>404</v>
      </c>
      <c r="E2295" s="2" t="s">
        <v>23</v>
      </c>
      <c r="F2295" s="2" t="s">
        <v>289</v>
      </c>
      <c r="G2295" s="2" t="s">
        <v>22</v>
      </c>
      <c r="H2295" s="2" t="s">
        <v>23</v>
      </c>
      <c r="I2295" s="2" t="s">
        <v>23</v>
      </c>
      <c r="J2295" s="2">
        <v>1</v>
      </c>
      <c r="K2295" s="2" t="s">
        <v>24</v>
      </c>
      <c r="L2295" s="2">
        <v>25072</v>
      </c>
      <c r="M2295" s="2" t="s">
        <v>449</v>
      </c>
      <c r="N2295" s="2">
        <v>30</v>
      </c>
      <c r="O2295" s="2">
        <v>556789.99</v>
      </c>
      <c r="P2295" s="2">
        <v>18559.669999999998</v>
      </c>
    </row>
    <row r="2296" spans="1:16" outlineLevel="1" x14ac:dyDescent="0.2">
      <c r="A2296" s="5"/>
      <c r="D2296" s="3" t="s">
        <v>769</v>
      </c>
      <c r="N2296" s="2">
        <f>SUBTOTAL(9,N2295:N2295)</f>
        <v>30</v>
      </c>
      <c r="O2296" s="2">
        <f>SUBTOTAL(9,O2295:O2295)</f>
        <v>556789.99</v>
      </c>
      <c r="P2296" s="2">
        <f>+O2296/N2296</f>
        <v>18559.666333333334</v>
      </c>
    </row>
    <row r="2297" spans="1:16" outlineLevel="2" x14ac:dyDescent="0.2">
      <c r="A2297" s="5">
        <v>46111</v>
      </c>
      <c r="B2297" s="2">
        <v>158193</v>
      </c>
      <c r="C2297" s="2">
        <v>1</v>
      </c>
      <c r="D2297" s="2" t="s">
        <v>143</v>
      </c>
      <c r="E2297" s="2" t="s">
        <v>23</v>
      </c>
      <c r="F2297" s="2" t="s">
        <v>144</v>
      </c>
      <c r="G2297" s="2" t="s">
        <v>22</v>
      </c>
      <c r="H2297" s="2" t="s">
        <v>23</v>
      </c>
      <c r="I2297" s="2" t="s">
        <v>23</v>
      </c>
      <c r="J2297" s="2">
        <v>1</v>
      </c>
      <c r="K2297" s="2" t="s">
        <v>24</v>
      </c>
      <c r="L2297" s="2">
        <v>2101</v>
      </c>
      <c r="M2297" s="2" t="s">
        <v>145</v>
      </c>
      <c r="N2297" s="2">
        <v>86</v>
      </c>
      <c r="O2297" s="2">
        <v>907995.38</v>
      </c>
      <c r="P2297" s="2">
        <v>10558.09</v>
      </c>
    </row>
    <row r="2298" spans="1:16" outlineLevel="1" x14ac:dyDescent="0.2">
      <c r="A2298" s="5"/>
      <c r="D2298" s="3" t="s">
        <v>706</v>
      </c>
      <c r="N2298" s="2">
        <f>SUBTOTAL(9,N2297:N2297)</f>
        <v>86</v>
      </c>
      <c r="O2298" s="2">
        <f>SUBTOTAL(9,O2297:O2297)</f>
        <v>907995.38</v>
      </c>
      <c r="P2298" s="2">
        <f>+O2298/N2298</f>
        <v>10558.085813953488</v>
      </c>
    </row>
    <row r="2299" spans="1:16" outlineLevel="2" x14ac:dyDescent="0.2">
      <c r="A2299" s="5">
        <v>46113</v>
      </c>
      <c r="B2299" s="2">
        <v>158203</v>
      </c>
      <c r="C2299" s="2">
        <v>304</v>
      </c>
      <c r="D2299" s="2" t="s">
        <v>54</v>
      </c>
      <c r="E2299" s="2" t="s">
        <v>20</v>
      </c>
      <c r="F2299" s="2" t="s">
        <v>55</v>
      </c>
      <c r="G2299" s="2" t="s">
        <v>23</v>
      </c>
      <c r="H2299" s="2" t="s">
        <v>23</v>
      </c>
      <c r="I2299" s="2" t="s">
        <v>23</v>
      </c>
      <c r="J2299" s="2">
        <v>2</v>
      </c>
      <c r="K2299" s="2" t="s">
        <v>48</v>
      </c>
      <c r="L2299" s="2">
        <v>25095</v>
      </c>
      <c r="M2299" s="2" t="s">
        <v>216</v>
      </c>
      <c r="N2299" s="2">
        <v>21</v>
      </c>
      <c r="O2299" s="2">
        <v>55264.959999999999</v>
      </c>
      <c r="P2299" s="2">
        <v>2631.66</v>
      </c>
    </row>
    <row r="2300" spans="1:16" outlineLevel="2" x14ac:dyDescent="0.2">
      <c r="A2300" s="5">
        <v>46113</v>
      </c>
      <c r="B2300" s="2">
        <v>158203</v>
      </c>
      <c r="C2300" s="2">
        <v>315</v>
      </c>
      <c r="D2300" s="2" t="s">
        <v>54</v>
      </c>
      <c r="E2300" s="2" t="s">
        <v>20</v>
      </c>
      <c r="F2300" s="2" t="s">
        <v>55</v>
      </c>
      <c r="G2300" s="2" t="s">
        <v>23</v>
      </c>
      <c r="H2300" s="2" t="s">
        <v>23</v>
      </c>
      <c r="I2300" s="2" t="s">
        <v>23</v>
      </c>
      <c r="J2300" s="2">
        <v>2</v>
      </c>
      <c r="K2300" s="2" t="s">
        <v>48</v>
      </c>
      <c r="L2300" s="2">
        <v>25095</v>
      </c>
      <c r="M2300" s="2" t="s">
        <v>216</v>
      </c>
      <c r="N2300" s="2">
        <v>67</v>
      </c>
      <c r="O2300" s="2">
        <v>133783.51</v>
      </c>
      <c r="P2300" s="2">
        <v>1996.77</v>
      </c>
    </row>
    <row r="2301" spans="1:16" outlineLevel="1" x14ac:dyDescent="0.2">
      <c r="A2301" s="5"/>
      <c r="D2301" s="3" t="s">
        <v>719</v>
      </c>
      <c r="N2301" s="2">
        <f>SUBTOTAL(9,N2299:N2300)</f>
        <v>88</v>
      </c>
      <c r="O2301" s="2">
        <f>SUBTOTAL(9,O2299:O2300)</f>
        <v>189048.47</v>
      </c>
      <c r="P2301" s="2">
        <f>+O2301/N2301</f>
        <v>2148.2780681818181</v>
      </c>
    </row>
    <row r="2302" spans="1:16" outlineLevel="2" x14ac:dyDescent="0.2">
      <c r="A2302" s="5">
        <v>46111</v>
      </c>
      <c r="B2302" s="2">
        <v>158204</v>
      </c>
      <c r="C2302" s="2">
        <v>1</v>
      </c>
      <c r="D2302" s="2" t="s">
        <v>67</v>
      </c>
      <c r="E2302" s="2" t="s">
        <v>377</v>
      </c>
      <c r="F2302" s="2" t="s">
        <v>187</v>
      </c>
      <c r="G2302" s="2" t="s">
        <v>22</v>
      </c>
      <c r="H2302" s="2" t="s">
        <v>23</v>
      </c>
      <c r="I2302" s="2" t="s">
        <v>332</v>
      </c>
      <c r="J2302" s="2">
        <v>1</v>
      </c>
      <c r="K2302" s="2" t="s">
        <v>24</v>
      </c>
      <c r="L2302" s="2">
        <v>2800</v>
      </c>
      <c r="M2302" s="2" t="s">
        <v>453</v>
      </c>
      <c r="N2302" s="2">
        <v>163</v>
      </c>
      <c r="O2302" s="2">
        <v>5860186.5800000001</v>
      </c>
      <c r="P2302" s="2">
        <v>35952.06</v>
      </c>
    </row>
    <row r="2303" spans="1:16" outlineLevel="2" x14ac:dyDescent="0.2">
      <c r="A2303" s="5">
        <v>46136</v>
      </c>
      <c r="B2303" s="2">
        <v>158205</v>
      </c>
      <c r="C2303" s="2">
        <v>3</v>
      </c>
      <c r="D2303" s="2" t="s">
        <v>67</v>
      </c>
      <c r="E2303" s="2" t="s">
        <v>377</v>
      </c>
      <c r="F2303" s="2" t="s">
        <v>187</v>
      </c>
      <c r="G2303" s="2" t="s">
        <v>41</v>
      </c>
      <c r="H2303" s="2" t="s">
        <v>23</v>
      </c>
      <c r="I2303" s="2" t="s">
        <v>332</v>
      </c>
      <c r="J2303" s="2">
        <v>1</v>
      </c>
      <c r="K2303" s="2" t="s">
        <v>24</v>
      </c>
      <c r="L2303" s="2">
        <v>25144</v>
      </c>
      <c r="M2303" s="2" t="s">
        <v>189</v>
      </c>
      <c r="N2303" s="2">
        <v>33</v>
      </c>
      <c r="O2303" s="2">
        <v>237697.26</v>
      </c>
      <c r="P2303" s="2">
        <v>7202.95</v>
      </c>
    </row>
    <row r="2304" spans="1:16" outlineLevel="1" x14ac:dyDescent="0.2">
      <c r="A2304" s="5"/>
      <c r="D2304" s="3" t="s">
        <v>720</v>
      </c>
      <c r="N2304" s="2">
        <f>SUBTOTAL(9,N2302:N2303)</f>
        <v>196</v>
      </c>
      <c r="O2304" s="2">
        <f>SUBTOTAL(9,O2302:O2303)</f>
        <v>6097883.8399999999</v>
      </c>
      <c r="P2304" s="2">
        <f>+O2304/N2304</f>
        <v>31111.652244897959</v>
      </c>
    </row>
    <row r="2305" spans="1:16" outlineLevel="2" x14ac:dyDescent="0.2">
      <c r="A2305" s="5">
        <v>46125</v>
      </c>
      <c r="B2305" s="2">
        <v>158205</v>
      </c>
      <c r="C2305" s="2">
        <v>5</v>
      </c>
      <c r="D2305" s="2" t="s">
        <v>454</v>
      </c>
      <c r="E2305" s="2" t="s">
        <v>377</v>
      </c>
      <c r="F2305" s="2" t="s">
        <v>187</v>
      </c>
      <c r="G2305" s="2" t="s">
        <v>22</v>
      </c>
      <c r="H2305" s="2" t="s">
        <v>23</v>
      </c>
      <c r="I2305" s="2" t="s">
        <v>194</v>
      </c>
      <c r="J2305" s="2">
        <v>1</v>
      </c>
      <c r="K2305" s="2" t="s">
        <v>24</v>
      </c>
      <c r="L2305" s="2">
        <v>25144</v>
      </c>
      <c r="M2305" s="2" t="s">
        <v>189</v>
      </c>
      <c r="N2305" s="2">
        <v>80</v>
      </c>
      <c r="O2305" s="2">
        <v>1441388.67</v>
      </c>
      <c r="P2305" s="2">
        <v>18017.36</v>
      </c>
    </row>
    <row r="2306" spans="1:16" outlineLevel="1" x14ac:dyDescent="0.2">
      <c r="A2306" s="5"/>
      <c r="D2306" s="3" t="s">
        <v>776</v>
      </c>
      <c r="N2306" s="2">
        <f>SUBTOTAL(9,N2305:N2305)</f>
        <v>80</v>
      </c>
      <c r="O2306" s="2">
        <f>SUBTOTAL(9,O2305:O2305)</f>
        <v>1441388.67</v>
      </c>
      <c r="P2306" s="2">
        <f>+O2306/N2306</f>
        <v>18017.358375</v>
      </c>
    </row>
    <row r="2307" spans="1:16" outlineLevel="2" x14ac:dyDescent="0.2">
      <c r="A2307" s="5">
        <v>46141</v>
      </c>
      <c r="B2307" s="2">
        <v>158205</v>
      </c>
      <c r="C2307" s="2">
        <v>315</v>
      </c>
      <c r="D2307" s="2" t="s">
        <v>67</v>
      </c>
      <c r="E2307" s="2" t="s">
        <v>55</v>
      </c>
      <c r="F2307" s="2" t="s">
        <v>23</v>
      </c>
      <c r="G2307" s="2" t="s">
        <v>23</v>
      </c>
      <c r="H2307" s="2" t="s">
        <v>23</v>
      </c>
      <c r="I2307" s="2" t="s">
        <v>23</v>
      </c>
      <c r="J2307" s="2">
        <v>2</v>
      </c>
      <c r="K2307" s="2" t="s">
        <v>48</v>
      </c>
      <c r="L2307" s="2">
        <v>25144</v>
      </c>
      <c r="M2307" s="2" t="s">
        <v>189</v>
      </c>
      <c r="N2307" s="2">
        <v>18</v>
      </c>
      <c r="O2307" s="2">
        <v>78573.42</v>
      </c>
      <c r="P2307" s="2">
        <v>4365.1899999999996</v>
      </c>
    </row>
    <row r="2308" spans="1:16" outlineLevel="1" x14ac:dyDescent="0.2">
      <c r="A2308" s="5"/>
      <c r="D2308" s="3" t="s">
        <v>720</v>
      </c>
      <c r="N2308" s="2">
        <f>SUBTOTAL(9,N2307:N2307)</f>
        <v>18</v>
      </c>
      <c r="O2308" s="2">
        <f>SUBTOTAL(9,O2307:O2307)</f>
        <v>78573.42</v>
      </c>
      <c r="P2308" s="2">
        <f>+O2308/N2308</f>
        <v>4365.1899999999996</v>
      </c>
    </row>
    <row r="2309" spans="1:16" outlineLevel="2" x14ac:dyDescent="0.2">
      <c r="A2309" s="5">
        <v>46114</v>
      </c>
      <c r="B2309" s="2">
        <v>158206</v>
      </c>
      <c r="C2309" s="2">
        <v>1</v>
      </c>
      <c r="D2309" s="2" t="s">
        <v>102</v>
      </c>
      <c r="E2309" s="2" t="s">
        <v>104</v>
      </c>
      <c r="F2309" s="2" t="s">
        <v>40</v>
      </c>
      <c r="G2309" s="2" t="s">
        <v>22</v>
      </c>
      <c r="H2309" s="2" t="s">
        <v>23</v>
      </c>
      <c r="I2309" s="2" t="s">
        <v>23</v>
      </c>
      <c r="J2309" s="2">
        <v>1</v>
      </c>
      <c r="K2309" s="2" t="s">
        <v>24</v>
      </c>
      <c r="L2309" s="2">
        <v>6020</v>
      </c>
      <c r="M2309" s="2" t="s">
        <v>391</v>
      </c>
      <c r="N2309" s="2">
        <v>511</v>
      </c>
      <c r="O2309" s="2">
        <v>22879255.41</v>
      </c>
      <c r="P2309" s="2">
        <v>44773.49</v>
      </c>
    </row>
    <row r="2310" spans="1:16" outlineLevel="2" x14ac:dyDescent="0.2">
      <c r="A2310" s="5">
        <v>46114</v>
      </c>
      <c r="B2310" s="2">
        <v>158206</v>
      </c>
      <c r="C2310" s="2">
        <v>200</v>
      </c>
      <c r="D2310" s="2" t="s">
        <v>102</v>
      </c>
      <c r="E2310" s="2" t="s">
        <v>23</v>
      </c>
      <c r="F2310" s="2" t="s">
        <v>23</v>
      </c>
      <c r="G2310" s="2" t="s">
        <v>22</v>
      </c>
      <c r="H2310" s="2" t="s">
        <v>23</v>
      </c>
      <c r="I2310" s="2" t="s">
        <v>23</v>
      </c>
      <c r="J2310" s="2">
        <v>46</v>
      </c>
      <c r="K2310" s="2" t="s">
        <v>392</v>
      </c>
      <c r="L2310" s="2">
        <v>6020</v>
      </c>
      <c r="M2310" s="2" t="s">
        <v>391</v>
      </c>
      <c r="N2310" s="2">
        <v>395</v>
      </c>
      <c r="O2310" s="2">
        <v>591600.66</v>
      </c>
      <c r="P2310" s="2">
        <v>1497.72</v>
      </c>
    </row>
    <row r="2311" spans="1:16" outlineLevel="1" x14ac:dyDescent="0.2">
      <c r="A2311" s="5"/>
      <c r="D2311" s="3" t="s">
        <v>707</v>
      </c>
      <c r="N2311" s="2">
        <f>SUBTOTAL(9,N2309:N2310)</f>
        <v>906</v>
      </c>
      <c r="O2311" s="2">
        <f>SUBTOTAL(9,O2309:O2310)</f>
        <v>23470856.07</v>
      </c>
      <c r="P2311" s="2">
        <f>+O2311/N2311</f>
        <v>25906.022152317881</v>
      </c>
    </row>
    <row r="2312" spans="1:16" outlineLevel="2" x14ac:dyDescent="0.2">
      <c r="A2312" s="5">
        <v>46127</v>
      </c>
      <c r="B2312" s="2">
        <v>158207</v>
      </c>
      <c r="C2312" s="2">
        <v>1</v>
      </c>
      <c r="D2312" s="2" t="s">
        <v>178</v>
      </c>
      <c r="E2312" s="2" t="s">
        <v>179</v>
      </c>
      <c r="F2312" s="2" t="s">
        <v>108</v>
      </c>
      <c r="G2312" s="2" t="s">
        <v>22</v>
      </c>
      <c r="H2312" s="2" t="s">
        <v>23</v>
      </c>
      <c r="I2312" s="2" t="s">
        <v>455</v>
      </c>
      <c r="J2312" s="2">
        <v>1</v>
      </c>
      <c r="K2312" s="2" t="s">
        <v>24</v>
      </c>
      <c r="L2312" s="2">
        <v>1037</v>
      </c>
      <c r="M2312" s="2" t="s">
        <v>181</v>
      </c>
      <c r="N2312" s="2">
        <v>126</v>
      </c>
      <c r="O2312" s="2">
        <v>3535536.91</v>
      </c>
      <c r="P2312" s="2">
        <v>28059.82</v>
      </c>
    </row>
    <row r="2313" spans="1:16" outlineLevel="2" x14ac:dyDescent="0.2">
      <c r="A2313" s="5">
        <v>46111</v>
      </c>
      <c r="B2313" s="2">
        <v>158207</v>
      </c>
      <c r="C2313" s="2">
        <v>5</v>
      </c>
      <c r="D2313" s="2" t="s">
        <v>178</v>
      </c>
      <c r="E2313" s="2" t="s">
        <v>179</v>
      </c>
      <c r="F2313" s="2" t="s">
        <v>108</v>
      </c>
      <c r="G2313" s="2" t="s">
        <v>22</v>
      </c>
      <c r="H2313" s="2" t="s">
        <v>23</v>
      </c>
      <c r="I2313" s="2" t="s">
        <v>456</v>
      </c>
      <c r="J2313" s="2">
        <v>1</v>
      </c>
      <c r="K2313" s="2" t="s">
        <v>24</v>
      </c>
      <c r="L2313" s="2">
        <v>1037</v>
      </c>
      <c r="M2313" s="2" t="s">
        <v>181</v>
      </c>
      <c r="N2313" s="2">
        <v>104</v>
      </c>
      <c r="O2313" s="2">
        <v>2964626.54</v>
      </c>
      <c r="P2313" s="2">
        <v>28506.02</v>
      </c>
    </row>
    <row r="2314" spans="1:16" outlineLevel="2" x14ac:dyDescent="0.2">
      <c r="A2314" s="5">
        <v>46111</v>
      </c>
      <c r="B2314" s="2">
        <v>158207</v>
      </c>
      <c r="C2314" s="2">
        <v>6</v>
      </c>
      <c r="D2314" s="2" t="s">
        <v>178</v>
      </c>
      <c r="E2314" s="2" t="s">
        <v>179</v>
      </c>
      <c r="F2314" s="2" t="s">
        <v>108</v>
      </c>
      <c r="G2314" s="2" t="s">
        <v>22</v>
      </c>
      <c r="H2314" s="2" t="s">
        <v>23</v>
      </c>
      <c r="I2314" s="2" t="s">
        <v>152</v>
      </c>
      <c r="J2314" s="2">
        <v>1</v>
      </c>
      <c r="K2314" s="2" t="s">
        <v>24</v>
      </c>
      <c r="L2314" s="2">
        <v>1037</v>
      </c>
      <c r="M2314" s="2" t="s">
        <v>181</v>
      </c>
      <c r="N2314" s="2">
        <v>200</v>
      </c>
      <c r="O2314" s="2">
        <v>6975812.3399999999</v>
      </c>
      <c r="P2314" s="2">
        <v>34879.06</v>
      </c>
    </row>
    <row r="2315" spans="1:16" outlineLevel="1" x14ac:dyDescent="0.2">
      <c r="A2315" s="5"/>
      <c r="D2315" s="3" t="s">
        <v>730</v>
      </c>
      <c r="N2315" s="2">
        <f>SUBTOTAL(9,N2312:N2314)</f>
        <v>430</v>
      </c>
      <c r="O2315" s="2">
        <f>SUBTOTAL(9,O2312:O2314)</f>
        <v>13475975.789999999</v>
      </c>
      <c r="P2315" s="2">
        <f>+O2315/N2315</f>
        <v>31339.478581395346</v>
      </c>
    </row>
    <row r="2316" spans="1:16" outlineLevel="2" x14ac:dyDescent="0.2">
      <c r="A2316" s="5">
        <v>46122</v>
      </c>
      <c r="B2316" s="2">
        <v>158209</v>
      </c>
      <c r="C2316" s="2">
        <v>315</v>
      </c>
      <c r="D2316" s="2" t="s">
        <v>45</v>
      </c>
      <c r="E2316" s="2" t="s">
        <v>125</v>
      </c>
      <c r="F2316" s="2" t="s">
        <v>55</v>
      </c>
      <c r="G2316" s="2" t="s">
        <v>23</v>
      </c>
      <c r="H2316" s="2" t="s">
        <v>23</v>
      </c>
      <c r="I2316" s="2" t="s">
        <v>23</v>
      </c>
      <c r="J2316" s="2">
        <v>2</v>
      </c>
      <c r="K2316" s="2" t="s">
        <v>48</v>
      </c>
      <c r="L2316" s="2">
        <v>2123</v>
      </c>
      <c r="M2316" s="2" t="s">
        <v>457</v>
      </c>
      <c r="N2316" s="2">
        <v>30</v>
      </c>
      <c r="O2316" s="2">
        <v>58614.400000000001</v>
      </c>
      <c r="P2316" s="2">
        <v>1953.81</v>
      </c>
    </row>
    <row r="2317" spans="1:16" outlineLevel="1" x14ac:dyDescent="0.2">
      <c r="A2317" s="5"/>
      <c r="D2317" s="3" t="s">
        <v>733</v>
      </c>
      <c r="N2317" s="2">
        <f>SUBTOTAL(9,N2316:N2316)</f>
        <v>30</v>
      </c>
      <c r="O2317" s="2">
        <f>SUBTOTAL(9,O2316:O2316)</f>
        <v>58614.400000000001</v>
      </c>
      <c r="P2317" s="2">
        <f>+O2317/N2317</f>
        <v>1953.8133333333333</v>
      </c>
    </row>
    <row r="2318" spans="1:16" outlineLevel="2" x14ac:dyDescent="0.2">
      <c r="A2318" s="5">
        <v>46111</v>
      </c>
      <c r="B2318" s="2">
        <v>158211</v>
      </c>
      <c r="C2318" s="2">
        <v>1</v>
      </c>
      <c r="D2318" s="2" t="s">
        <v>33</v>
      </c>
      <c r="E2318" s="2" t="s">
        <v>354</v>
      </c>
      <c r="F2318" s="2" t="s">
        <v>35</v>
      </c>
      <c r="G2318" s="2" t="s">
        <v>22</v>
      </c>
      <c r="H2318" s="2" t="s">
        <v>23</v>
      </c>
      <c r="I2318" s="2" t="s">
        <v>109</v>
      </c>
      <c r="J2318" s="2">
        <v>1</v>
      </c>
      <c r="K2318" s="2" t="s">
        <v>24</v>
      </c>
      <c r="L2318" s="2">
        <v>2520</v>
      </c>
      <c r="M2318" s="2" t="s">
        <v>37</v>
      </c>
      <c r="N2318" s="2">
        <v>340</v>
      </c>
      <c r="O2318" s="2">
        <v>5375277.7000000002</v>
      </c>
      <c r="P2318" s="2">
        <v>15809.64</v>
      </c>
    </row>
    <row r="2319" spans="1:16" outlineLevel="2" x14ac:dyDescent="0.2">
      <c r="A2319" s="5">
        <v>46127</v>
      </c>
      <c r="B2319" s="2">
        <v>158211</v>
      </c>
      <c r="C2319" s="2">
        <v>2</v>
      </c>
      <c r="D2319" s="2" t="s">
        <v>33</v>
      </c>
      <c r="E2319" s="2" t="s">
        <v>354</v>
      </c>
      <c r="F2319" s="2" t="s">
        <v>35</v>
      </c>
      <c r="G2319" s="2" t="s">
        <v>22</v>
      </c>
      <c r="H2319" s="2" t="s">
        <v>23</v>
      </c>
      <c r="I2319" s="2" t="s">
        <v>101</v>
      </c>
      <c r="J2319" s="2">
        <v>1</v>
      </c>
      <c r="K2319" s="2" t="s">
        <v>24</v>
      </c>
      <c r="L2319" s="2">
        <v>2520</v>
      </c>
      <c r="M2319" s="2" t="s">
        <v>37</v>
      </c>
      <c r="N2319" s="2">
        <v>15</v>
      </c>
      <c r="O2319" s="2">
        <v>57076.98</v>
      </c>
      <c r="P2319" s="2">
        <v>3805.13</v>
      </c>
    </row>
    <row r="2320" spans="1:16" outlineLevel="2" x14ac:dyDescent="0.2">
      <c r="A2320" s="5">
        <v>46127</v>
      </c>
      <c r="B2320" s="2">
        <v>158211</v>
      </c>
      <c r="C2320" s="2">
        <v>3</v>
      </c>
      <c r="D2320" s="2" t="s">
        <v>33</v>
      </c>
      <c r="E2320" s="2" t="s">
        <v>354</v>
      </c>
      <c r="F2320" s="2" t="s">
        <v>35</v>
      </c>
      <c r="G2320" s="2" t="s">
        <v>22</v>
      </c>
      <c r="H2320" s="2" t="s">
        <v>23</v>
      </c>
      <c r="I2320" s="2" t="s">
        <v>154</v>
      </c>
      <c r="J2320" s="2">
        <v>1</v>
      </c>
      <c r="K2320" s="2" t="s">
        <v>24</v>
      </c>
      <c r="L2320" s="2">
        <v>2520</v>
      </c>
      <c r="M2320" s="2" t="s">
        <v>37</v>
      </c>
      <c r="N2320" s="2">
        <v>94</v>
      </c>
      <c r="O2320" s="2">
        <v>429930.61</v>
      </c>
      <c r="P2320" s="2">
        <v>4573.7299999999996</v>
      </c>
    </row>
    <row r="2321" spans="1:16" outlineLevel="2" x14ac:dyDescent="0.2">
      <c r="A2321" s="5">
        <v>46111</v>
      </c>
      <c r="B2321" s="2">
        <v>158211</v>
      </c>
      <c r="C2321" s="2">
        <v>4</v>
      </c>
      <c r="D2321" s="2" t="s">
        <v>33</v>
      </c>
      <c r="E2321" s="2" t="s">
        <v>354</v>
      </c>
      <c r="F2321" s="2" t="s">
        <v>35</v>
      </c>
      <c r="G2321" s="2" t="s">
        <v>22</v>
      </c>
      <c r="H2321" s="2" t="s">
        <v>23</v>
      </c>
      <c r="I2321" s="2" t="s">
        <v>79</v>
      </c>
      <c r="J2321" s="2">
        <v>1</v>
      </c>
      <c r="K2321" s="2" t="s">
        <v>24</v>
      </c>
      <c r="L2321" s="2">
        <v>2520</v>
      </c>
      <c r="M2321" s="2" t="s">
        <v>37</v>
      </c>
      <c r="N2321" s="2">
        <v>539</v>
      </c>
      <c r="O2321" s="2">
        <v>10365624.26</v>
      </c>
      <c r="P2321" s="2">
        <v>19231.21</v>
      </c>
    </row>
    <row r="2322" spans="1:16" outlineLevel="1" x14ac:dyDescent="0.2">
      <c r="A2322" s="5"/>
      <c r="D2322" s="3" t="s">
        <v>705</v>
      </c>
      <c r="N2322" s="2">
        <f>SUBTOTAL(9,N2318:N2321)</f>
        <v>988</v>
      </c>
      <c r="O2322" s="2">
        <f>SUBTOTAL(9,O2318:O2321)</f>
        <v>16227909.550000001</v>
      </c>
      <c r="P2322" s="2">
        <f>+O2322/N2322</f>
        <v>16425.009665991904</v>
      </c>
    </row>
    <row r="2323" spans="1:16" outlineLevel="2" x14ac:dyDescent="0.2">
      <c r="A2323" s="5">
        <v>46113</v>
      </c>
      <c r="B2323" s="2">
        <v>158216</v>
      </c>
      <c r="C2323" s="2">
        <v>1</v>
      </c>
      <c r="D2323" s="2" t="s">
        <v>458</v>
      </c>
      <c r="E2323" s="2" t="s">
        <v>284</v>
      </c>
      <c r="F2323" s="2" t="s">
        <v>199</v>
      </c>
      <c r="G2323" s="2" t="s">
        <v>22</v>
      </c>
      <c r="H2323" s="2" t="s">
        <v>23</v>
      </c>
      <c r="I2323" s="2" t="s">
        <v>23</v>
      </c>
      <c r="J2323" s="2">
        <v>2</v>
      </c>
      <c r="K2323" s="2" t="s">
        <v>48</v>
      </c>
      <c r="L2323" s="2">
        <v>155</v>
      </c>
      <c r="M2323" s="2" t="s">
        <v>328</v>
      </c>
      <c r="N2323" s="2">
        <v>101</v>
      </c>
      <c r="O2323" s="2">
        <v>1342586.15</v>
      </c>
      <c r="P2323" s="2">
        <v>13292.93</v>
      </c>
    </row>
    <row r="2324" spans="1:16" outlineLevel="1" x14ac:dyDescent="0.2">
      <c r="A2324" s="5"/>
      <c r="D2324" s="3" t="s">
        <v>777</v>
      </c>
      <c r="N2324" s="2">
        <f>SUBTOTAL(9,N2323:N2323)</f>
        <v>101</v>
      </c>
      <c r="O2324" s="2">
        <f>SUBTOTAL(9,O2323:O2323)</f>
        <v>1342586.15</v>
      </c>
      <c r="P2324" s="2">
        <f>+O2324/N2324</f>
        <v>13292.932178217821</v>
      </c>
    </row>
    <row r="2325" spans="1:16" outlineLevel="2" x14ac:dyDescent="0.2">
      <c r="A2325" s="5">
        <v>46111</v>
      </c>
      <c r="B2325" s="2">
        <v>158217</v>
      </c>
      <c r="C2325" s="2">
        <v>1</v>
      </c>
      <c r="D2325" s="2" t="s">
        <v>380</v>
      </c>
      <c r="E2325" s="2" t="s">
        <v>284</v>
      </c>
      <c r="F2325" s="2" t="s">
        <v>199</v>
      </c>
      <c r="G2325" s="2" t="s">
        <v>22</v>
      </c>
      <c r="H2325" s="2" t="s">
        <v>23</v>
      </c>
      <c r="I2325" s="2" t="s">
        <v>23</v>
      </c>
      <c r="J2325" s="2">
        <v>2</v>
      </c>
      <c r="K2325" s="2" t="s">
        <v>48</v>
      </c>
      <c r="L2325" s="2">
        <v>183</v>
      </c>
      <c r="M2325" s="2" t="s">
        <v>381</v>
      </c>
      <c r="N2325" s="2">
        <v>204</v>
      </c>
      <c r="O2325" s="2">
        <v>4474906.12</v>
      </c>
      <c r="P2325" s="2">
        <v>21935.81</v>
      </c>
    </row>
    <row r="2326" spans="1:16" outlineLevel="1" x14ac:dyDescent="0.2">
      <c r="A2326" s="5"/>
      <c r="D2326" s="3" t="s">
        <v>767</v>
      </c>
      <c r="N2326" s="2">
        <f>SUBTOTAL(9,N2325:N2325)</f>
        <v>204</v>
      </c>
      <c r="O2326" s="2">
        <f>SUBTOTAL(9,O2325:O2325)</f>
        <v>4474906.12</v>
      </c>
      <c r="P2326" s="2">
        <f>+O2326/N2326</f>
        <v>21935.814313725492</v>
      </c>
    </row>
    <row r="2327" spans="1:16" outlineLevel="2" x14ac:dyDescent="0.2">
      <c r="A2327" s="5">
        <v>46176</v>
      </c>
      <c r="B2327" s="2">
        <v>158220</v>
      </c>
      <c r="C2327" s="2">
        <v>1</v>
      </c>
      <c r="D2327" s="2" t="s">
        <v>57</v>
      </c>
      <c r="E2327" s="2" t="s">
        <v>259</v>
      </c>
      <c r="F2327" s="2" t="s">
        <v>31</v>
      </c>
      <c r="G2327" s="2" t="s">
        <v>22</v>
      </c>
      <c r="H2327" s="2" t="s">
        <v>23</v>
      </c>
      <c r="I2327" s="2" t="s">
        <v>23</v>
      </c>
      <c r="J2327" s="2">
        <v>1</v>
      </c>
      <c r="K2327" s="2" t="s">
        <v>24</v>
      </c>
      <c r="L2327" s="2">
        <v>895</v>
      </c>
      <c r="M2327" s="2" t="s">
        <v>448</v>
      </c>
      <c r="N2327" s="2">
        <v>1</v>
      </c>
      <c r="O2327" s="2">
        <v>32368.36</v>
      </c>
      <c r="P2327" s="2">
        <v>32368.36</v>
      </c>
    </row>
    <row r="2328" spans="1:16" outlineLevel="1" x14ac:dyDescent="0.2">
      <c r="A2328" s="5"/>
      <c r="D2328" s="3" t="s">
        <v>716</v>
      </c>
      <c r="N2328" s="2">
        <f>SUBTOTAL(9,N2327:N2327)</f>
        <v>1</v>
      </c>
      <c r="O2328" s="2">
        <f>SUBTOTAL(9,O2327:O2327)</f>
        <v>32368.36</v>
      </c>
      <c r="P2328" s="2">
        <f>+O2328/N2328</f>
        <v>32368.36</v>
      </c>
    </row>
    <row r="2329" spans="1:16" outlineLevel="2" x14ac:dyDescent="0.2">
      <c r="A2329" s="5">
        <v>46120</v>
      </c>
      <c r="B2329" s="2">
        <v>158224</v>
      </c>
      <c r="C2329" s="2">
        <v>315</v>
      </c>
      <c r="D2329" s="2" t="s">
        <v>54</v>
      </c>
      <c r="E2329" s="2" t="s">
        <v>30</v>
      </c>
      <c r="F2329" s="2" t="s">
        <v>55</v>
      </c>
      <c r="G2329" s="2" t="s">
        <v>23</v>
      </c>
      <c r="H2329" s="2" t="s">
        <v>23</v>
      </c>
      <c r="I2329" s="2" t="s">
        <v>23</v>
      </c>
      <c r="J2329" s="2">
        <v>2</v>
      </c>
      <c r="K2329" s="2" t="s">
        <v>48</v>
      </c>
      <c r="L2329" s="2">
        <v>1964</v>
      </c>
      <c r="M2329" s="2" t="s">
        <v>49</v>
      </c>
      <c r="N2329" s="2">
        <v>10</v>
      </c>
      <c r="O2329" s="2">
        <v>52986.3</v>
      </c>
      <c r="P2329" s="2">
        <v>5298.63</v>
      </c>
    </row>
    <row r="2330" spans="1:16" outlineLevel="1" x14ac:dyDescent="0.2">
      <c r="A2330" s="5"/>
      <c r="D2330" s="3" t="s">
        <v>719</v>
      </c>
      <c r="N2330" s="2">
        <f>SUBTOTAL(9,N2329:N2329)</f>
        <v>10</v>
      </c>
      <c r="O2330" s="2">
        <f>SUBTOTAL(9,O2329:O2329)</f>
        <v>52986.3</v>
      </c>
      <c r="P2330" s="2">
        <f>+O2330/N2330</f>
        <v>5298.63</v>
      </c>
    </row>
    <row r="2331" spans="1:16" outlineLevel="2" x14ac:dyDescent="0.2">
      <c r="A2331" s="5">
        <v>46141</v>
      </c>
      <c r="B2331" s="2">
        <v>158228</v>
      </c>
      <c r="C2331" s="2">
        <v>301</v>
      </c>
      <c r="D2331" s="2" t="s">
        <v>186</v>
      </c>
      <c r="E2331" s="2" t="s">
        <v>30</v>
      </c>
      <c r="F2331" s="2" t="s">
        <v>55</v>
      </c>
      <c r="G2331" s="2" t="s">
        <v>23</v>
      </c>
      <c r="H2331" s="2" t="s">
        <v>23</v>
      </c>
      <c r="I2331" s="2" t="s">
        <v>23</v>
      </c>
      <c r="J2331" s="2">
        <v>2</v>
      </c>
      <c r="K2331" s="2" t="s">
        <v>48</v>
      </c>
      <c r="L2331" s="2">
        <v>25114</v>
      </c>
      <c r="M2331" s="2" t="s">
        <v>278</v>
      </c>
      <c r="N2331" s="2">
        <v>33</v>
      </c>
      <c r="O2331" s="2">
        <v>158354.87</v>
      </c>
      <c r="P2331" s="2">
        <v>4798.63</v>
      </c>
    </row>
    <row r="2332" spans="1:16" outlineLevel="1" x14ac:dyDescent="0.2">
      <c r="A2332" s="5"/>
      <c r="D2332" s="3" t="s">
        <v>731</v>
      </c>
      <c r="N2332" s="2">
        <f>SUBTOTAL(9,N2331:N2331)</f>
        <v>33</v>
      </c>
      <c r="O2332" s="2">
        <f>SUBTOTAL(9,O2331:O2331)</f>
        <v>158354.87</v>
      </c>
      <c r="P2332" s="2">
        <f>+O2332/N2332</f>
        <v>4798.6324242424243</v>
      </c>
    </row>
    <row r="2333" spans="1:16" outlineLevel="2" x14ac:dyDescent="0.2">
      <c r="A2333" s="5">
        <v>46113</v>
      </c>
      <c r="B2333" s="2">
        <v>158236</v>
      </c>
      <c r="C2333" s="2">
        <v>1</v>
      </c>
      <c r="D2333" s="2" t="s">
        <v>45</v>
      </c>
      <c r="E2333" s="2" t="s">
        <v>227</v>
      </c>
      <c r="F2333" s="2" t="s">
        <v>47</v>
      </c>
      <c r="G2333" s="2" t="s">
        <v>22</v>
      </c>
      <c r="H2333" s="2" t="s">
        <v>23</v>
      </c>
      <c r="I2333" s="2" t="s">
        <v>23</v>
      </c>
      <c r="J2333" s="2">
        <v>41</v>
      </c>
      <c r="K2333" s="2" t="s">
        <v>129</v>
      </c>
      <c r="L2333" s="2">
        <v>1964</v>
      </c>
      <c r="M2333" s="2" t="s">
        <v>49</v>
      </c>
      <c r="N2333" s="2">
        <v>24</v>
      </c>
      <c r="O2333" s="2">
        <v>395997.58</v>
      </c>
      <c r="P2333" s="2">
        <v>16499.900000000001</v>
      </c>
    </row>
    <row r="2334" spans="1:16" outlineLevel="1" x14ac:dyDescent="0.2">
      <c r="A2334" s="5"/>
      <c r="D2334" s="3" t="s">
        <v>733</v>
      </c>
      <c r="N2334" s="2">
        <f>SUBTOTAL(9,N2333:N2333)</f>
        <v>24</v>
      </c>
      <c r="O2334" s="2">
        <f>SUBTOTAL(9,O2333:O2333)</f>
        <v>395997.58</v>
      </c>
      <c r="P2334" s="2">
        <f>+O2334/N2334</f>
        <v>16499.899166666666</v>
      </c>
    </row>
    <row r="2335" spans="1:16" outlineLevel="2" x14ac:dyDescent="0.2">
      <c r="A2335" s="5">
        <v>46113</v>
      </c>
      <c r="B2335" s="2">
        <v>158236</v>
      </c>
      <c r="C2335" s="2">
        <v>2</v>
      </c>
      <c r="D2335" s="2" t="s">
        <v>226</v>
      </c>
      <c r="E2335" s="2" t="s">
        <v>227</v>
      </c>
      <c r="F2335" s="2" t="s">
        <v>47</v>
      </c>
      <c r="G2335" s="2" t="s">
        <v>22</v>
      </c>
      <c r="H2335" s="2" t="s">
        <v>23</v>
      </c>
      <c r="I2335" s="2" t="s">
        <v>23</v>
      </c>
      <c r="J2335" s="2">
        <v>41</v>
      </c>
      <c r="K2335" s="2" t="s">
        <v>129</v>
      </c>
      <c r="L2335" s="2">
        <v>1964</v>
      </c>
      <c r="M2335" s="2" t="s">
        <v>49</v>
      </c>
      <c r="N2335" s="2">
        <v>24</v>
      </c>
      <c r="O2335" s="2">
        <v>500542.89</v>
      </c>
      <c r="P2335" s="2">
        <v>20855.95</v>
      </c>
    </row>
    <row r="2336" spans="1:16" outlineLevel="1" x14ac:dyDescent="0.2">
      <c r="A2336" s="5"/>
      <c r="D2336" s="3" t="s">
        <v>736</v>
      </c>
      <c r="N2336" s="2">
        <f>SUBTOTAL(9,N2335:N2335)</f>
        <v>24</v>
      </c>
      <c r="O2336" s="2">
        <f>SUBTOTAL(9,O2335:O2335)</f>
        <v>500542.89</v>
      </c>
      <c r="P2336" s="2">
        <f>+O2336/N2336</f>
        <v>20855.953750000001</v>
      </c>
    </row>
    <row r="2337" spans="1:16" outlineLevel="2" x14ac:dyDescent="0.2">
      <c r="A2337" s="5">
        <v>46113</v>
      </c>
      <c r="B2337" s="2">
        <v>158236</v>
      </c>
      <c r="C2337" s="2">
        <v>3</v>
      </c>
      <c r="D2337" s="2" t="s">
        <v>45</v>
      </c>
      <c r="E2337" s="2" t="s">
        <v>228</v>
      </c>
      <c r="F2337" s="2" t="s">
        <v>47</v>
      </c>
      <c r="G2337" s="2" t="s">
        <v>22</v>
      </c>
      <c r="H2337" s="2" t="s">
        <v>23</v>
      </c>
      <c r="I2337" s="2" t="s">
        <v>23</v>
      </c>
      <c r="J2337" s="2">
        <v>41</v>
      </c>
      <c r="K2337" s="2" t="s">
        <v>129</v>
      </c>
      <c r="L2337" s="2">
        <v>1964</v>
      </c>
      <c r="M2337" s="2" t="s">
        <v>49</v>
      </c>
      <c r="N2337" s="2">
        <v>9</v>
      </c>
      <c r="O2337" s="2">
        <v>111161.53</v>
      </c>
      <c r="P2337" s="2">
        <v>12351.28</v>
      </c>
    </row>
    <row r="2338" spans="1:16" outlineLevel="1" x14ac:dyDescent="0.2">
      <c r="A2338" s="5"/>
      <c r="D2338" s="3" t="s">
        <v>733</v>
      </c>
      <c r="N2338" s="2">
        <f>SUBTOTAL(9,N2337:N2337)</f>
        <v>9</v>
      </c>
      <c r="O2338" s="2">
        <f>SUBTOTAL(9,O2337:O2337)</f>
        <v>111161.53</v>
      </c>
      <c r="P2338" s="2">
        <f>+O2338/N2338</f>
        <v>12351.281111111111</v>
      </c>
    </row>
    <row r="2339" spans="1:16" outlineLevel="2" x14ac:dyDescent="0.2">
      <c r="A2339" s="5">
        <v>46113</v>
      </c>
      <c r="B2339" s="2">
        <v>158237</v>
      </c>
      <c r="C2339" s="2">
        <v>1</v>
      </c>
      <c r="D2339" s="2" t="s">
        <v>203</v>
      </c>
      <c r="E2339" s="2" t="s">
        <v>238</v>
      </c>
      <c r="F2339" s="2" t="s">
        <v>47</v>
      </c>
      <c r="G2339" s="2" t="s">
        <v>22</v>
      </c>
      <c r="H2339" s="2" t="s">
        <v>23</v>
      </c>
      <c r="I2339" s="2" t="s">
        <v>23</v>
      </c>
      <c r="J2339" s="2">
        <v>2</v>
      </c>
      <c r="K2339" s="2" t="s">
        <v>48</v>
      </c>
      <c r="L2339" s="2">
        <v>2338</v>
      </c>
      <c r="M2339" s="2" t="s">
        <v>417</v>
      </c>
      <c r="N2339" s="2">
        <v>16</v>
      </c>
      <c r="O2339" s="2">
        <v>156652.88</v>
      </c>
      <c r="P2339" s="2">
        <v>9790.81</v>
      </c>
    </row>
    <row r="2340" spans="1:16" outlineLevel="1" x14ac:dyDescent="0.2">
      <c r="A2340" s="5"/>
      <c r="D2340" s="3" t="s">
        <v>735</v>
      </c>
      <c r="N2340" s="2">
        <f>SUBTOTAL(9,N2339:N2339)</f>
        <v>16</v>
      </c>
      <c r="O2340" s="2">
        <f>SUBTOTAL(9,O2339:O2339)</f>
        <v>156652.88</v>
      </c>
      <c r="P2340" s="2">
        <f>+O2340/N2340</f>
        <v>9790.8050000000003</v>
      </c>
    </row>
    <row r="2341" spans="1:16" outlineLevel="2" x14ac:dyDescent="0.2">
      <c r="A2341" s="5">
        <v>46113</v>
      </c>
      <c r="B2341" s="2">
        <v>158238</v>
      </c>
      <c r="C2341" s="2">
        <v>1</v>
      </c>
      <c r="D2341" s="2" t="s">
        <v>207</v>
      </c>
      <c r="E2341" s="2" t="s">
        <v>23</v>
      </c>
      <c r="F2341" s="2" t="s">
        <v>47</v>
      </c>
      <c r="G2341" s="2" t="s">
        <v>22</v>
      </c>
      <c r="H2341" s="2" t="s">
        <v>208</v>
      </c>
      <c r="I2341" s="2" t="s">
        <v>23</v>
      </c>
      <c r="J2341" s="2">
        <v>41</v>
      </c>
      <c r="K2341" s="2" t="s">
        <v>129</v>
      </c>
      <c r="L2341" s="2">
        <v>25213</v>
      </c>
      <c r="M2341" s="2" t="s">
        <v>130</v>
      </c>
      <c r="N2341" s="2">
        <v>50</v>
      </c>
      <c r="O2341" s="2">
        <v>181202.31</v>
      </c>
      <c r="P2341" s="2">
        <v>3624.05</v>
      </c>
    </row>
    <row r="2342" spans="1:16" outlineLevel="2" x14ac:dyDescent="0.2">
      <c r="A2342" s="5">
        <v>46113</v>
      </c>
      <c r="B2342" s="2">
        <v>158238</v>
      </c>
      <c r="C2342" s="2">
        <v>2</v>
      </c>
      <c r="D2342" s="2" t="s">
        <v>207</v>
      </c>
      <c r="E2342" s="2" t="s">
        <v>23</v>
      </c>
      <c r="F2342" s="2" t="s">
        <v>47</v>
      </c>
      <c r="G2342" s="2" t="s">
        <v>276</v>
      </c>
      <c r="H2342" s="2" t="s">
        <v>209</v>
      </c>
      <c r="I2342" s="2" t="s">
        <v>23</v>
      </c>
      <c r="J2342" s="2">
        <v>41</v>
      </c>
      <c r="K2342" s="2" t="s">
        <v>129</v>
      </c>
      <c r="L2342" s="2">
        <v>25213</v>
      </c>
      <c r="M2342" s="2" t="s">
        <v>130</v>
      </c>
      <c r="N2342" s="2">
        <v>25</v>
      </c>
      <c r="O2342" s="2">
        <v>84673.67</v>
      </c>
      <c r="P2342" s="2">
        <v>3386.95</v>
      </c>
    </row>
    <row r="2343" spans="1:16" outlineLevel="1" x14ac:dyDescent="0.2">
      <c r="A2343" s="5"/>
      <c r="D2343" s="3" t="s">
        <v>699</v>
      </c>
      <c r="N2343" s="2">
        <f>SUBTOTAL(9,N2341:N2342)</f>
        <v>75</v>
      </c>
      <c r="O2343" s="2">
        <f>SUBTOTAL(9,O2341:O2342)</f>
        <v>265875.98</v>
      </c>
      <c r="P2343" s="2">
        <f>+O2343/N2343</f>
        <v>3545.0130666666664</v>
      </c>
    </row>
    <row r="2344" spans="1:16" outlineLevel="2" x14ac:dyDescent="0.2">
      <c r="A2344" s="5">
        <v>46113</v>
      </c>
      <c r="B2344" s="2">
        <v>158238</v>
      </c>
      <c r="C2344" s="2">
        <v>3</v>
      </c>
      <c r="D2344" s="2" t="s">
        <v>128</v>
      </c>
      <c r="E2344" s="2" t="s">
        <v>23</v>
      </c>
      <c r="F2344" s="2" t="s">
        <v>47</v>
      </c>
      <c r="G2344" s="2" t="s">
        <v>276</v>
      </c>
      <c r="H2344" s="2" t="s">
        <v>23</v>
      </c>
      <c r="I2344" s="2" t="s">
        <v>23</v>
      </c>
      <c r="J2344" s="2">
        <v>41</v>
      </c>
      <c r="K2344" s="2" t="s">
        <v>129</v>
      </c>
      <c r="L2344" s="2">
        <v>25213</v>
      </c>
      <c r="M2344" s="2" t="s">
        <v>130</v>
      </c>
      <c r="N2344" s="2">
        <v>50</v>
      </c>
      <c r="O2344" s="2">
        <v>188949.81</v>
      </c>
      <c r="P2344" s="2">
        <v>3779</v>
      </c>
    </row>
    <row r="2345" spans="1:16" outlineLevel="1" x14ac:dyDescent="0.2">
      <c r="A2345" s="5"/>
      <c r="D2345" s="3" t="s">
        <v>732</v>
      </c>
      <c r="N2345" s="2">
        <f>SUBTOTAL(9,N2344:N2344)</f>
        <v>50</v>
      </c>
      <c r="O2345" s="2">
        <f>SUBTOTAL(9,O2344:O2344)</f>
        <v>188949.81</v>
      </c>
      <c r="P2345" s="2">
        <f>+O2345/N2345</f>
        <v>3778.9962</v>
      </c>
    </row>
    <row r="2346" spans="1:16" outlineLevel="2" x14ac:dyDescent="0.2">
      <c r="A2346" s="5">
        <v>46113</v>
      </c>
      <c r="B2346" s="2">
        <v>158238</v>
      </c>
      <c r="C2346" s="2">
        <v>4</v>
      </c>
      <c r="D2346" s="2" t="s">
        <v>207</v>
      </c>
      <c r="E2346" s="2" t="s">
        <v>23</v>
      </c>
      <c r="F2346" s="2" t="s">
        <v>47</v>
      </c>
      <c r="G2346" s="2" t="s">
        <v>22</v>
      </c>
      <c r="H2346" s="2" t="s">
        <v>23</v>
      </c>
      <c r="I2346" s="2" t="s">
        <v>23</v>
      </c>
      <c r="J2346" s="2">
        <v>1</v>
      </c>
      <c r="K2346" s="2" t="s">
        <v>24</v>
      </c>
      <c r="L2346" s="2">
        <v>25213</v>
      </c>
      <c r="M2346" s="2" t="s">
        <v>130</v>
      </c>
      <c r="N2346" s="2">
        <v>2</v>
      </c>
      <c r="O2346" s="2">
        <v>157147.18</v>
      </c>
      <c r="P2346" s="2">
        <v>78573.59</v>
      </c>
    </row>
    <row r="2347" spans="1:16" outlineLevel="1" x14ac:dyDescent="0.2">
      <c r="A2347" s="5"/>
      <c r="D2347" s="3" t="s">
        <v>699</v>
      </c>
      <c r="N2347" s="2">
        <f>SUBTOTAL(9,N2346:N2346)</f>
        <v>2</v>
      </c>
      <c r="O2347" s="2">
        <f>SUBTOTAL(9,O2346:O2346)</f>
        <v>157147.18</v>
      </c>
      <c r="P2347" s="2">
        <f>+O2347/N2347</f>
        <v>78573.59</v>
      </c>
    </row>
    <row r="2348" spans="1:16" outlineLevel="2" x14ac:dyDescent="0.2">
      <c r="A2348" s="5">
        <v>46113</v>
      </c>
      <c r="B2348" s="2">
        <v>158240</v>
      </c>
      <c r="C2348" s="2">
        <v>1</v>
      </c>
      <c r="D2348" s="2" t="s">
        <v>26</v>
      </c>
      <c r="E2348" s="2" t="s">
        <v>459</v>
      </c>
      <c r="F2348" s="2" t="s">
        <v>52</v>
      </c>
      <c r="G2348" s="2" t="s">
        <v>22</v>
      </c>
      <c r="H2348" s="2" t="s">
        <v>23</v>
      </c>
      <c r="I2348" s="2" t="s">
        <v>23</v>
      </c>
      <c r="J2348" s="2">
        <v>5</v>
      </c>
      <c r="K2348" s="2" t="s">
        <v>27</v>
      </c>
      <c r="L2348" s="2">
        <v>3048</v>
      </c>
      <c r="M2348" s="2" t="s">
        <v>53</v>
      </c>
      <c r="N2348" s="2">
        <v>26</v>
      </c>
      <c r="O2348" s="2">
        <v>164834.14000000001</v>
      </c>
      <c r="P2348" s="2">
        <v>6339.77</v>
      </c>
    </row>
    <row r="2349" spans="1:16" outlineLevel="1" x14ac:dyDescent="0.2">
      <c r="A2349" s="5"/>
      <c r="D2349" s="3" t="s">
        <v>711</v>
      </c>
      <c r="N2349" s="2">
        <f>SUBTOTAL(9,N2348:N2348)</f>
        <v>26</v>
      </c>
      <c r="O2349" s="2">
        <f>SUBTOTAL(9,O2348:O2348)</f>
        <v>164834.14000000001</v>
      </c>
      <c r="P2349" s="2">
        <f>+O2349/N2349</f>
        <v>6339.7746153846156</v>
      </c>
    </row>
    <row r="2350" spans="1:16" outlineLevel="2" x14ac:dyDescent="0.2">
      <c r="A2350" s="5">
        <v>46113</v>
      </c>
      <c r="B2350" s="2">
        <v>158241</v>
      </c>
      <c r="C2350" s="2">
        <v>1</v>
      </c>
      <c r="D2350" s="2" t="s">
        <v>404</v>
      </c>
      <c r="E2350" s="2" t="s">
        <v>23</v>
      </c>
      <c r="F2350" s="2" t="s">
        <v>289</v>
      </c>
      <c r="G2350" s="2" t="s">
        <v>22</v>
      </c>
      <c r="H2350" s="2" t="s">
        <v>23</v>
      </c>
      <c r="I2350" s="2" t="s">
        <v>23</v>
      </c>
      <c r="J2350" s="2">
        <v>1</v>
      </c>
      <c r="K2350" s="2" t="s">
        <v>24</v>
      </c>
      <c r="L2350" s="2">
        <v>25072</v>
      </c>
      <c r="M2350" s="2" t="s">
        <v>449</v>
      </c>
      <c r="N2350" s="2">
        <v>30</v>
      </c>
      <c r="O2350" s="2">
        <v>687285.57</v>
      </c>
      <c r="P2350" s="2">
        <v>22909.52</v>
      </c>
    </row>
    <row r="2351" spans="1:16" outlineLevel="1" x14ac:dyDescent="0.2">
      <c r="A2351" s="5"/>
      <c r="D2351" s="3" t="s">
        <v>769</v>
      </c>
      <c r="N2351" s="2">
        <f>SUBTOTAL(9,N2350:N2350)</f>
        <v>30</v>
      </c>
      <c r="O2351" s="2">
        <f>SUBTOTAL(9,O2350:O2350)</f>
        <v>687285.57</v>
      </c>
      <c r="P2351" s="2">
        <f>+O2351/N2351</f>
        <v>22909.518999999997</v>
      </c>
    </row>
    <row r="2352" spans="1:16" outlineLevel="2" x14ac:dyDescent="0.2">
      <c r="A2352" s="5">
        <v>46114</v>
      </c>
      <c r="B2352" s="2">
        <v>158261</v>
      </c>
      <c r="C2352" s="2">
        <v>306</v>
      </c>
      <c r="D2352" s="2" t="s">
        <v>54</v>
      </c>
      <c r="E2352" s="2" t="s">
        <v>20</v>
      </c>
      <c r="F2352" s="2" t="s">
        <v>55</v>
      </c>
      <c r="G2352" s="2" t="s">
        <v>23</v>
      </c>
      <c r="H2352" s="2" t="s">
        <v>23</v>
      </c>
      <c r="I2352" s="2" t="s">
        <v>23</v>
      </c>
      <c r="J2352" s="2">
        <v>2</v>
      </c>
      <c r="K2352" s="2" t="s">
        <v>48</v>
      </c>
      <c r="L2352" s="2">
        <v>25095</v>
      </c>
      <c r="M2352" s="2" t="s">
        <v>216</v>
      </c>
      <c r="N2352" s="2">
        <v>31</v>
      </c>
      <c r="O2352" s="2">
        <v>89582.58</v>
      </c>
      <c r="P2352" s="2">
        <v>2889.76</v>
      </c>
    </row>
    <row r="2353" spans="1:16" outlineLevel="2" x14ac:dyDescent="0.2">
      <c r="A2353" s="5">
        <v>46118</v>
      </c>
      <c r="B2353" s="2">
        <v>158261</v>
      </c>
      <c r="C2353" s="2">
        <v>309</v>
      </c>
      <c r="D2353" s="2" t="s">
        <v>54</v>
      </c>
      <c r="E2353" s="2" t="s">
        <v>151</v>
      </c>
      <c r="F2353" s="2" t="s">
        <v>55</v>
      </c>
      <c r="G2353" s="2" t="s">
        <v>23</v>
      </c>
      <c r="H2353" s="2" t="s">
        <v>23</v>
      </c>
      <c r="I2353" s="2" t="s">
        <v>23</v>
      </c>
      <c r="J2353" s="2">
        <v>1</v>
      </c>
      <c r="K2353" s="2" t="s">
        <v>24</v>
      </c>
      <c r="L2353" s="2">
        <v>25095</v>
      </c>
      <c r="M2353" s="2" t="s">
        <v>216</v>
      </c>
      <c r="N2353" s="2">
        <v>1</v>
      </c>
      <c r="O2353" s="2">
        <v>3431.75</v>
      </c>
      <c r="P2353" s="2">
        <v>3431.75</v>
      </c>
    </row>
    <row r="2354" spans="1:16" outlineLevel="2" x14ac:dyDescent="0.2">
      <c r="A2354" s="5">
        <v>46125</v>
      </c>
      <c r="B2354" s="2">
        <v>158261</v>
      </c>
      <c r="C2354" s="2">
        <v>311</v>
      </c>
      <c r="D2354" s="2" t="s">
        <v>54</v>
      </c>
      <c r="E2354" s="2" t="s">
        <v>151</v>
      </c>
      <c r="F2354" s="2" t="s">
        <v>55</v>
      </c>
      <c r="G2354" s="2" t="s">
        <v>23</v>
      </c>
      <c r="H2354" s="2" t="s">
        <v>23</v>
      </c>
      <c r="I2354" s="2" t="s">
        <v>23</v>
      </c>
      <c r="J2354" s="2">
        <v>1</v>
      </c>
      <c r="K2354" s="2" t="s">
        <v>24</v>
      </c>
      <c r="L2354" s="2">
        <v>25095</v>
      </c>
      <c r="M2354" s="2" t="s">
        <v>216</v>
      </c>
      <c r="N2354" s="2">
        <v>4</v>
      </c>
      <c r="O2354" s="2">
        <v>12793.59</v>
      </c>
      <c r="P2354" s="2">
        <v>3198.4</v>
      </c>
    </row>
    <row r="2355" spans="1:16" outlineLevel="2" x14ac:dyDescent="0.2">
      <c r="A2355" s="5">
        <v>46141</v>
      </c>
      <c r="B2355" s="2">
        <v>158261</v>
      </c>
      <c r="C2355" s="2">
        <v>316</v>
      </c>
      <c r="D2355" s="2" t="s">
        <v>54</v>
      </c>
      <c r="E2355" s="2" t="s">
        <v>20</v>
      </c>
      <c r="F2355" s="2" t="s">
        <v>55</v>
      </c>
      <c r="G2355" s="2" t="s">
        <v>23</v>
      </c>
      <c r="H2355" s="2" t="s">
        <v>23</v>
      </c>
      <c r="I2355" s="2" t="s">
        <v>23</v>
      </c>
      <c r="J2355" s="2">
        <v>2</v>
      </c>
      <c r="K2355" s="2" t="s">
        <v>48</v>
      </c>
      <c r="L2355" s="2">
        <v>600</v>
      </c>
      <c r="M2355" s="2" t="s">
        <v>112</v>
      </c>
      <c r="N2355" s="2">
        <v>5</v>
      </c>
      <c r="O2355" s="2">
        <v>31160.35</v>
      </c>
      <c r="P2355" s="2">
        <v>6232.07</v>
      </c>
    </row>
    <row r="2356" spans="1:16" outlineLevel="1" x14ac:dyDescent="0.2">
      <c r="A2356" s="5"/>
      <c r="D2356" s="3" t="s">
        <v>719</v>
      </c>
      <c r="N2356" s="2">
        <f>SUBTOTAL(9,N2352:N2355)</f>
        <v>41</v>
      </c>
      <c r="O2356" s="2">
        <f>SUBTOTAL(9,O2352:O2355)</f>
        <v>136968.26999999999</v>
      </c>
      <c r="P2356" s="2">
        <f>+O2356/N2356</f>
        <v>3340.6895121951216</v>
      </c>
    </row>
    <row r="2357" spans="1:16" outlineLevel="2" x14ac:dyDescent="0.2">
      <c r="A2357" s="5">
        <v>46120</v>
      </c>
      <c r="B2357" s="2">
        <v>158278</v>
      </c>
      <c r="C2357" s="2">
        <v>1</v>
      </c>
      <c r="D2357" s="2" t="s">
        <v>380</v>
      </c>
      <c r="E2357" s="2" t="s">
        <v>284</v>
      </c>
      <c r="F2357" s="2" t="s">
        <v>199</v>
      </c>
      <c r="G2357" s="2" t="s">
        <v>22</v>
      </c>
      <c r="H2357" s="2" t="s">
        <v>23</v>
      </c>
      <c r="I2357" s="2" t="s">
        <v>23</v>
      </c>
      <c r="J2357" s="2">
        <v>2</v>
      </c>
      <c r="K2357" s="2" t="s">
        <v>48</v>
      </c>
      <c r="L2357" s="2">
        <v>183</v>
      </c>
      <c r="M2357" s="2" t="s">
        <v>381</v>
      </c>
      <c r="N2357" s="2">
        <v>306</v>
      </c>
      <c r="O2357" s="2">
        <v>6745651.0300000003</v>
      </c>
      <c r="P2357" s="2">
        <v>22044.61</v>
      </c>
    </row>
    <row r="2358" spans="1:16" outlineLevel="1" x14ac:dyDescent="0.2">
      <c r="A2358" s="5"/>
      <c r="D2358" s="3" t="s">
        <v>767</v>
      </c>
      <c r="N2358" s="2">
        <f>SUBTOTAL(9,N2357:N2357)</f>
        <v>306</v>
      </c>
      <c r="O2358" s="2">
        <f>SUBTOTAL(9,O2357:O2357)</f>
        <v>6745651.0300000003</v>
      </c>
      <c r="P2358" s="2">
        <f>+O2358/N2358</f>
        <v>22044.611209150327</v>
      </c>
    </row>
    <row r="2359" spans="1:16" outlineLevel="2" x14ac:dyDescent="0.2">
      <c r="A2359" s="5">
        <v>46118</v>
      </c>
      <c r="B2359" s="2">
        <v>158305</v>
      </c>
      <c r="C2359" s="2">
        <v>315</v>
      </c>
      <c r="D2359" s="2" t="s">
        <v>45</v>
      </c>
      <c r="E2359" s="2" t="s">
        <v>228</v>
      </c>
      <c r="F2359" s="2" t="s">
        <v>55</v>
      </c>
      <c r="G2359" s="2" t="s">
        <v>23</v>
      </c>
      <c r="H2359" s="2" t="s">
        <v>23</v>
      </c>
      <c r="I2359" s="2" t="s">
        <v>23</v>
      </c>
      <c r="J2359" s="2">
        <v>1</v>
      </c>
      <c r="K2359" s="2" t="s">
        <v>24</v>
      </c>
      <c r="L2359" s="2">
        <v>1964</v>
      </c>
      <c r="M2359" s="2" t="s">
        <v>49</v>
      </c>
      <c r="N2359" s="2">
        <v>11</v>
      </c>
      <c r="O2359" s="2">
        <v>118958.47</v>
      </c>
      <c r="P2359" s="2">
        <v>10814.41</v>
      </c>
    </row>
    <row r="2360" spans="1:16" outlineLevel="1" x14ac:dyDescent="0.2">
      <c r="A2360" s="5"/>
      <c r="D2360" s="3" t="s">
        <v>733</v>
      </c>
      <c r="N2360" s="2">
        <f>SUBTOTAL(9,N2359:N2359)</f>
        <v>11</v>
      </c>
      <c r="O2360" s="2">
        <f>SUBTOTAL(9,O2359:O2359)</f>
        <v>118958.47</v>
      </c>
      <c r="P2360" s="2">
        <f>+O2360/N2360</f>
        <v>10814.406363636364</v>
      </c>
    </row>
    <row r="2361" spans="1:16" outlineLevel="2" x14ac:dyDescent="0.2">
      <c r="A2361" s="5">
        <v>46122</v>
      </c>
      <c r="B2361" s="2">
        <v>158308</v>
      </c>
      <c r="C2361" s="2">
        <v>1</v>
      </c>
      <c r="D2361" s="2" t="s">
        <v>83</v>
      </c>
      <c r="E2361" s="2" t="s">
        <v>84</v>
      </c>
      <c r="F2361" s="2" t="s">
        <v>31</v>
      </c>
      <c r="G2361" s="2" t="s">
        <v>22</v>
      </c>
      <c r="H2361" s="2" t="s">
        <v>23</v>
      </c>
      <c r="I2361" s="2" t="s">
        <v>23</v>
      </c>
      <c r="J2361" s="2">
        <v>1</v>
      </c>
      <c r="K2361" s="2" t="s">
        <v>24</v>
      </c>
      <c r="L2361" s="2">
        <v>2353</v>
      </c>
      <c r="M2361" s="2" t="s">
        <v>347</v>
      </c>
      <c r="N2361" s="2">
        <v>93</v>
      </c>
      <c r="O2361" s="2">
        <v>1527509.05</v>
      </c>
      <c r="P2361" s="2">
        <v>16424.830000000002</v>
      </c>
    </row>
    <row r="2362" spans="1:16" outlineLevel="1" x14ac:dyDescent="0.2">
      <c r="A2362" s="5"/>
      <c r="D2362" s="3" t="s">
        <v>701</v>
      </c>
      <c r="N2362" s="2">
        <f>SUBTOTAL(9,N2361:N2361)</f>
        <v>93</v>
      </c>
      <c r="O2362" s="2">
        <f>SUBTOTAL(9,O2361:O2361)</f>
        <v>1527509.05</v>
      </c>
      <c r="P2362" s="2">
        <f>+O2362/N2362</f>
        <v>16424.828494623656</v>
      </c>
    </row>
    <row r="2363" spans="1:16" outlineLevel="2" x14ac:dyDescent="0.2">
      <c r="A2363" s="5">
        <v>46148</v>
      </c>
      <c r="B2363" s="2">
        <v>158320</v>
      </c>
      <c r="C2363" s="2">
        <v>316</v>
      </c>
      <c r="D2363" s="2" t="s">
        <v>203</v>
      </c>
      <c r="E2363" s="2" t="s">
        <v>238</v>
      </c>
      <c r="F2363" s="2" t="s">
        <v>55</v>
      </c>
      <c r="G2363" s="2" t="s">
        <v>23</v>
      </c>
      <c r="H2363" s="2" t="s">
        <v>23</v>
      </c>
      <c r="I2363" s="2" t="s">
        <v>23</v>
      </c>
      <c r="J2363" s="2">
        <v>2</v>
      </c>
      <c r="K2363" s="2" t="s">
        <v>48</v>
      </c>
      <c r="L2363" s="2">
        <v>600</v>
      </c>
      <c r="M2363" s="2" t="s">
        <v>112</v>
      </c>
      <c r="N2363" s="2">
        <v>5</v>
      </c>
      <c r="O2363" s="2">
        <v>30226.91</v>
      </c>
      <c r="P2363" s="2">
        <v>6045.38</v>
      </c>
    </row>
    <row r="2364" spans="1:16" outlineLevel="1" x14ac:dyDescent="0.2">
      <c r="A2364" s="5"/>
      <c r="D2364" s="3" t="s">
        <v>735</v>
      </c>
      <c r="N2364" s="2">
        <f>SUBTOTAL(9,N2363:N2363)</f>
        <v>5</v>
      </c>
      <c r="O2364" s="2">
        <f>SUBTOTAL(9,O2363:O2363)</f>
        <v>30226.91</v>
      </c>
      <c r="P2364" s="2">
        <f>+O2364/N2364</f>
        <v>6045.3819999999996</v>
      </c>
    </row>
    <row r="2365" spans="1:16" outlineLevel="2" x14ac:dyDescent="0.2">
      <c r="A2365" s="5">
        <v>46118</v>
      </c>
      <c r="B2365" s="2">
        <v>158322</v>
      </c>
      <c r="C2365" s="2">
        <v>1</v>
      </c>
      <c r="D2365" s="2" t="s">
        <v>143</v>
      </c>
      <c r="E2365" s="2" t="s">
        <v>23</v>
      </c>
      <c r="F2365" s="2" t="s">
        <v>144</v>
      </c>
      <c r="G2365" s="2" t="s">
        <v>22</v>
      </c>
      <c r="H2365" s="2" t="s">
        <v>23</v>
      </c>
      <c r="I2365" s="2" t="s">
        <v>23</v>
      </c>
      <c r="J2365" s="2">
        <v>1</v>
      </c>
      <c r="K2365" s="2" t="s">
        <v>24</v>
      </c>
      <c r="L2365" s="2">
        <v>2101</v>
      </c>
      <c r="M2365" s="2" t="s">
        <v>145</v>
      </c>
      <c r="N2365" s="2">
        <v>131</v>
      </c>
      <c r="O2365" s="2">
        <v>1971284.73</v>
      </c>
      <c r="P2365" s="2">
        <v>15047.98</v>
      </c>
    </row>
    <row r="2366" spans="1:16" outlineLevel="1" x14ac:dyDescent="0.2">
      <c r="A2366" s="5"/>
      <c r="D2366" s="3" t="s">
        <v>706</v>
      </c>
      <c r="N2366" s="2">
        <f>SUBTOTAL(9,N2365:N2365)</f>
        <v>131</v>
      </c>
      <c r="O2366" s="2">
        <f>SUBTOTAL(9,O2365:O2365)</f>
        <v>1971284.73</v>
      </c>
      <c r="P2366" s="2">
        <f>+O2366/N2366</f>
        <v>15047.975038167939</v>
      </c>
    </row>
    <row r="2367" spans="1:16" outlineLevel="2" x14ac:dyDescent="0.2">
      <c r="A2367" s="5">
        <v>46118</v>
      </c>
      <c r="B2367" s="2">
        <v>158323</v>
      </c>
      <c r="C2367" s="2">
        <v>2</v>
      </c>
      <c r="D2367" s="2" t="s">
        <v>186</v>
      </c>
      <c r="E2367" s="2" t="s">
        <v>460</v>
      </c>
      <c r="F2367" s="2" t="s">
        <v>144</v>
      </c>
      <c r="G2367" s="2" t="s">
        <v>22</v>
      </c>
      <c r="H2367" s="2" t="s">
        <v>23</v>
      </c>
      <c r="I2367" s="2" t="s">
        <v>23</v>
      </c>
      <c r="J2367" s="2">
        <v>1</v>
      </c>
      <c r="K2367" s="2" t="s">
        <v>24</v>
      </c>
      <c r="L2367" s="2">
        <v>25114</v>
      </c>
      <c r="M2367" s="2" t="s">
        <v>278</v>
      </c>
      <c r="N2367" s="2">
        <v>63</v>
      </c>
      <c r="O2367" s="2">
        <v>1292455.95</v>
      </c>
      <c r="P2367" s="2">
        <v>20515.169999999998</v>
      </c>
    </row>
    <row r="2368" spans="1:16" outlineLevel="1" x14ac:dyDescent="0.2">
      <c r="A2368" s="5"/>
      <c r="D2368" s="3" t="s">
        <v>731</v>
      </c>
      <c r="N2368" s="2">
        <f>SUBTOTAL(9,N2367:N2367)</f>
        <v>63</v>
      </c>
      <c r="O2368" s="2">
        <f>SUBTOTAL(9,O2367:O2367)</f>
        <v>1292455.95</v>
      </c>
      <c r="P2368" s="2">
        <f>+O2368/N2368</f>
        <v>20515.173809523807</v>
      </c>
    </row>
    <row r="2369" spans="1:16" outlineLevel="2" x14ac:dyDescent="0.2">
      <c r="A2369" s="5">
        <v>46136</v>
      </c>
      <c r="B2369" s="2">
        <v>158323</v>
      </c>
      <c r="C2369" s="2">
        <v>315</v>
      </c>
      <c r="D2369" s="2" t="s">
        <v>461</v>
      </c>
      <c r="E2369" s="2" t="s">
        <v>460</v>
      </c>
      <c r="F2369" s="2" t="s">
        <v>231</v>
      </c>
      <c r="G2369" s="2" t="s">
        <v>22</v>
      </c>
      <c r="H2369" s="2" t="s">
        <v>23</v>
      </c>
      <c r="I2369" s="2" t="s">
        <v>23</v>
      </c>
      <c r="J2369" s="2">
        <v>21</v>
      </c>
      <c r="K2369" s="2" t="s">
        <v>462</v>
      </c>
      <c r="L2369" s="2">
        <v>25114</v>
      </c>
      <c r="M2369" s="2" t="s">
        <v>278</v>
      </c>
      <c r="N2369" s="2">
        <v>5</v>
      </c>
      <c r="O2369" s="2">
        <v>27893.32</v>
      </c>
      <c r="P2369" s="2">
        <v>5578.66</v>
      </c>
    </row>
    <row r="2370" spans="1:16" outlineLevel="1" x14ac:dyDescent="0.2">
      <c r="A2370" s="5"/>
      <c r="D2370" s="3" t="s">
        <v>778</v>
      </c>
      <c r="N2370" s="2">
        <f>SUBTOTAL(9,N2369:N2369)</f>
        <v>5</v>
      </c>
      <c r="O2370" s="2">
        <f>SUBTOTAL(9,O2369:O2369)</f>
        <v>27893.32</v>
      </c>
      <c r="P2370" s="2">
        <f>+O2370/N2370</f>
        <v>5578.6639999999998</v>
      </c>
    </row>
    <row r="2371" spans="1:16" outlineLevel="2" x14ac:dyDescent="0.2">
      <c r="A2371" s="5">
        <v>46118</v>
      </c>
      <c r="B2371" s="2">
        <v>158324</v>
      </c>
      <c r="C2371" s="2">
        <v>1</v>
      </c>
      <c r="D2371" s="2" t="s">
        <v>140</v>
      </c>
      <c r="E2371" s="2" t="s">
        <v>141</v>
      </c>
      <c r="F2371" s="2" t="s">
        <v>108</v>
      </c>
      <c r="G2371" s="2" t="s">
        <v>22</v>
      </c>
      <c r="H2371" s="2" t="s">
        <v>23</v>
      </c>
      <c r="I2371" s="2" t="s">
        <v>23</v>
      </c>
      <c r="J2371" s="2">
        <v>2</v>
      </c>
      <c r="K2371" s="2" t="s">
        <v>48</v>
      </c>
      <c r="L2371" s="2">
        <v>1833</v>
      </c>
      <c r="M2371" s="2" t="s">
        <v>142</v>
      </c>
      <c r="N2371" s="2">
        <v>20</v>
      </c>
      <c r="O2371" s="2">
        <v>646433.82999999996</v>
      </c>
      <c r="P2371" s="2">
        <v>32321.69</v>
      </c>
    </row>
    <row r="2372" spans="1:16" outlineLevel="1" x14ac:dyDescent="0.2">
      <c r="A2372" s="5"/>
      <c r="D2372" s="3" t="s">
        <v>696</v>
      </c>
      <c r="N2372" s="2">
        <f>SUBTOTAL(9,N2371:N2371)</f>
        <v>20</v>
      </c>
      <c r="O2372" s="2">
        <f>SUBTOTAL(9,O2371:O2371)</f>
        <v>646433.82999999996</v>
      </c>
      <c r="P2372" s="2">
        <f>+O2372/N2372</f>
        <v>32321.691499999997</v>
      </c>
    </row>
    <row r="2373" spans="1:16" outlineLevel="2" x14ac:dyDescent="0.2">
      <c r="A2373" s="5">
        <v>46118</v>
      </c>
      <c r="B2373" s="2">
        <v>158324</v>
      </c>
      <c r="C2373" s="2">
        <v>2</v>
      </c>
      <c r="D2373" s="2" t="s">
        <v>362</v>
      </c>
      <c r="E2373" s="2" t="s">
        <v>248</v>
      </c>
      <c r="F2373" s="2" t="s">
        <v>108</v>
      </c>
      <c r="G2373" s="2" t="s">
        <v>22</v>
      </c>
      <c r="H2373" s="2" t="s">
        <v>23</v>
      </c>
      <c r="I2373" s="2" t="s">
        <v>23</v>
      </c>
      <c r="J2373" s="2">
        <v>1</v>
      </c>
      <c r="K2373" s="2" t="s">
        <v>24</v>
      </c>
      <c r="L2373" s="2">
        <v>1833</v>
      </c>
      <c r="M2373" s="2" t="s">
        <v>142</v>
      </c>
      <c r="N2373" s="2">
        <v>7</v>
      </c>
      <c r="O2373" s="2">
        <v>95897.06</v>
      </c>
      <c r="P2373" s="2">
        <v>13699.58</v>
      </c>
    </row>
    <row r="2374" spans="1:16" outlineLevel="1" x14ac:dyDescent="0.2">
      <c r="A2374" s="5"/>
      <c r="D2374" s="3" t="s">
        <v>762</v>
      </c>
      <c r="N2374" s="2">
        <f>SUBTOTAL(9,N2373:N2373)</f>
        <v>7</v>
      </c>
      <c r="O2374" s="2">
        <f>SUBTOTAL(9,O2373:O2373)</f>
        <v>95897.06</v>
      </c>
      <c r="P2374" s="2">
        <f>+O2374/N2374</f>
        <v>13699.58</v>
      </c>
    </row>
    <row r="2375" spans="1:16" outlineLevel="2" x14ac:dyDescent="0.2">
      <c r="A2375" s="5">
        <v>46118</v>
      </c>
      <c r="B2375" s="2">
        <v>158326</v>
      </c>
      <c r="C2375" s="2">
        <v>1</v>
      </c>
      <c r="D2375" s="2" t="s">
        <v>207</v>
      </c>
      <c r="E2375" s="2" t="s">
        <v>23</v>
      </c>
      <c r="F2375" s="2" t="s">
        <v>47</v>
      </c>
      <c r="G2375" s="2" t="s">
        <v>22</v>
      </c>
      <c r="H2375" s="2" t="s">
        <v>208</v>
      </c>
      <c r="I2375" s="2" t="s">
        <v>23</v>
      </c>
      <c r="J2375" s="2">
        <v>41</v>
      </c>
      <c r="K2375" s="2" t="s">
        <v>129</v>
      </c>
      <c r="L2375" s="2">
        <v>25213</v>
      </c>
      <c r="M2375" s="2" t="s">
        <v>130</v>
      </c>
      <c r="N2375" s="2">
        <v>50</v>
      </c>
      <c r="O2375" s="2">
        <v>185309.32</v>
      </c>
      <c r="P2375" s="2">
        <v>3706.19</v>
      </c>
    </row>
    <row r="2376" spans="1:16" outlineLevel="2" x14ac:dyDescent="0.2">
      <c r="A2376" s="5">
        <v>46118</v>
      </c>
      <c r="B2376" s="2">
        <v>158326</v>
      </c>
      <c r="C2376" s="2">
        <v>2</v>
      </c>
      <c r="D2376" s="2" t="s">
        <v>207</v>
      </c>
      <c r="E2376" s="2" t="s">
        <v>23</v>
      </c>
      <c r="F2376" s="2" t="s">
        <v>47</v>
      </c>
      <c r="G2376" s="2" t="s">
        <v>22</v>
      </c>
      <c r="H2376" s="2" t="s">
        <v>209</v>
      </c>
      <c r="I2376" s="2" t="s">
        <v>23</v>
      </c>
      <c r="J2376" s="2">
        <v>41</v>
      </c>
      <c r="K2376" s="2" t="s">
        <v>129</v>
      </c>
      <c r="L2376" s="2">
        <v>25213</v>
      </c>
      <c r="M2376" s="2" t="s">
        <v>130</v>
      </c>
      <c r="N2376" s="2">
        <v>25</v>
      </c>
      <c r="O2376" s="2">
        <v>85793.79</v>
      </c>
      <c r="P2376" s="2">
        <v>3431.75</v>
      </c>
    </row>
    <row r="2377" spans="1:16" outlineLevel="2" x14ac:dyDescent="0.2">
      <c r="A2377" s="5">
        <v>46118</v>
      </c>
      <c r="B2377" s="2">
        <v>158326</v>
      </c>
      <c r="C2377" s="2">
        <v>3</v>
      </c>
      <c r="D2377" s="2" t="s">
        <v>207</v>
      </c>
      <c r="E2377" s="2" t="s">
        <v>23</v>
      </c>
      <c r="F2377" s="2" t="s">
        <v>47</v>
      </c>
      <c r="G2377" s="2" t="s">
        <v>22</v>
      </c>
      <c r="H2377" s="2" t="s">
        <v>23</v>
      </c>
      <c r="I2377" s="2" t="s">
        <v>23</v>
      </c>
      <c r="J2377" s="2">
        <v>1</v>
      </c>
      <c r="K2377" s="2" t="s">
        <v>24</v>
      </c>
      <c r="L2377" s="2">
        <v>25213</v>
      </c>
      <c r="M2377" s="2" t="s">
        <v>130</v>
      </c>
      <c r="N2377" s="2">
        <v>5</v>
      </c>
      <c r="O2377" s="2">
        <v>390534.35</v>
      </c>
      <c r="P2377" s="2">
        <v>78106.87</v>
      </c>
    </row>
    <row r="2378" spans="1:16" outlineLevel="2" x14ac:dyDescent="0.2">
      <c r="A2378" s="5">
        <v>46118</v>
      </c>
      <c r="B2378" s="2">
        <v>158326</v>
      </c>
      <c r="C2378" s="2">
        <v>4</v>
      </c>
      <c r="D2378" s="2" t="s">
        <v>207</v>
      </c>
      <c r="E2378" s="2" t="s">
        <v>23</v>
      </c>
      <c r="F2378" s="2" t="s">
        <v>47</v>
      </c>
      <c r="G2378" s="2" t="s">
        <v>210</v>
      </c>
      <c r="H2378" s="2" t="s">
        <v>23</v>
      </c>
      <c r="I2378" s="2" t="s">
        <v>23</v>
      </c>
      <c r="J2378" s="2">
        <v>1</v>
      </c>
      <c r="K2378" s="2" t="s">
        <v>24</v>
      </c>
      <c r="L2378" s="2">
        <v>25213</v>
      </c>
      <c r="M2378" s="2" t="s">
        <v>130</v>
      </c>
      <c r="N2378" s="2">
        <v>5</v>
      </c>
      <c r="O2378" s="2">
        <v>330794.25</v>
      </c>
      <c r="P2378" s="2">
        <v>66158.850000000006</v>
      </c>
    </row>
    <row r="2379" spans="1:16" outlineLevel="1" x14ac:dyDescent="0.2">
      <c r="A2379" s="5"/>
      <c r="D2379" s="3" t="s">
        <v>699</v>
      </c>
      <c r="N2379" s="2">
        <f>SUBTOTAL(9,N2375:N2378)</f>
        <v>85</v>
      </c>
      <c r="O2379" s="2">
        <f>SUBTOTAL(9,O2375:O2378)</f>
        <v>992431.71</v>
      </c>
      <c r="P2379" s="2">
        <f>+O2379/N2379</f>
        <v>11675.667176470588</v>
      </c>
    </row>
    <row r="2380" spans="1:16" outlineLevel="2" x14ac:dyDescent="0.2">
      <c r="A2380" s="5">
        <v>46118</v>
      </c>
      <c r="B2380" s="2">
        <v>158327</v>
      </c>
      <c r="C2380" s="2">
        <v>1</v>
      </c>
      <c r="D2380" s="2" t="s">
        <v>45</v>
      </c>
      <c r="E2380" s="2" t="s">
        <v>227</v>
      </c>
      <c r="F2380" s="2" t="s">
        <v>47</v>
      </c>
      <c r="G2380" s="2" t="s">
        <v>22</v>
      </c>
      <c r="H2380" s="2" t="s">
        <v>23</v>
      </c>
      <c r="I2380" s="2" t="s">
        <v>23</v>
      </c>
      <c r="J2380" s="2">
        <v>41</v>
      </c>
      <c r="K2380" s="2" t="s">
        <v>129</v>
      </c>
      <c r="L2380" s="2">
        <v>1964</v>
      </c>
      <c r="M2380" s="2" t="s">
        <v>49</v>
      </c>
      <c r="N2380" s="2">
        <v>96</v>
      </c>
      <c r="O2380" s="2">
        <v>1632528.72</v>
      </c>
      <c r="P2380" s="2">
        <v>17005.509999999998</v>
      </c>
    </row>
    <row r="2381" spans="1:16" outlineLevel="1" x14ac:dyDescent="0.2">
      <c r="A2381" s="5"/>
      <c r="D2381" s="3" t="s">
        <v>733</v>
      </c>
      <c r="N2381" s="2">
        <f>SUBTOTAL(9,N2380:N2380)</f>
        <v>96</v>
      </c>
      <c r="O2381" s="2">
        <f>SUBTOTAL(9,O2380:O2380)</f>
        <v>1632528.72</v>
      </c>
      <c r="P2381" s="2">
        <f>+O2381/N2381</f>
        <v>17005.5075</v>
      </c>
    </row>
    <row r="2382" spans="1:16" outlineLevel="2" x14ac:dyDescent="0.2">
      <c r="A2382" s="5">
        <v>46118</v>
      </c>
      <c r="B2382" s="2">
        <v>158327</v>
      </c>
      <c r="C2382" s="2">
        <v>2</v>
      </c>
      <c r="D2382" s="2" t="s">
        <v>226</v>
      </c>
      <c r="E2382" s="2" t="s">
        <v>227</v>
      </c>
      <c r="F2382" s="2" t="s">
        <v>47</v>
      </c>
      <c r="G2382" s="2" t="s">
        <v>22</v>
      </c>
      <c r="H2382" s="2" t="s">
        <v>23</v>
      </c>
      <c r="I2382" s="2" t="s">
        <v>23</v>
      </c>
      <c r="J2382" s="2">
        <v>41</v>
      </c>
      <c r="K2382" s="2" t="s">
        <v>129</v>
      </c>
      <c r="L2382" s="2">
        <v>1964</v>
      </c>
      <c r="M2382" s="2" t="s">
        <v>49</v>
      </c>
      <c r="N2382" s="2">
        <v>94</v>
      </c>
      <c r="O2382" s="2">
        <v>2304276.29</v>
      </c>
      <c r="P2382" s="2">
        <v>24513.58</v>
      </c>
    </row>
    <row r="2383" spans="1:16" outlineLevel="1" x14ac:dyDescent="0.2">
      <c r="A2383" s="5"/>
      <c r="D2383" s="3" t="s">
        <v>736</v>
      </c>
      <c r="N2383" s="2">
        <f>SUBTOTAL(9,N2382:N2382)</f>
        <v>94</v>
      </c>
      <c r="O2383" s="2">
        <f>SUBTOTAL(9,O2382:O2382)</f>
        <v>2304276.29</v>
      </c>
      <c r="P2383" s="2">
        <f>+O2383/N2383</f>
        <v>24513.577553191491</v>
      </c>
    </row>
    <row r="2384" spans="1:16" outlineLevel="2" x14ac:dyDescent="0.2">
      <c r="A2384" s="5">
        <v>46118</v>
      </c>
      <c r="B2384" s="2">
        <v>158328</v>
      </c>
      <c r="C2384" s="2">
        <v>1</v>
      </c>
      <c r="D2384" s="2" t="s">
        <v>57</v>
      </c>
      <c r="E2384" s="2" t="s">
        <v>463</v>
      </c>
      <c r="F2384" s="2" t="s">
        <v>31</v>
      </c>
      <c r="G2384" s="2" t="s">
        <v>22</v>
      </c>
      <c r="H2384" s="2" t="s">
        <v>23</v>
      </c>
      <c r="I2384" s="2" t="s">
        <v>23</v>
      </c>
      <c r="J2384" s="2">
        <v>1</v>
      </c>
      <c r="K2384" s="2" t="s">
        <v>24</v>
      </c>
      <c r="L2384" s="2">
        <v>226</v>
      </c>
      <c r="M2384" s="2" t="s">
        <v>59</v>
      </c>
      <c r="N2384" s="2">
        <v>42</v>
      </c>
      <c r="O2384" s="2">
        <v>2268009.1</v>
      </c>
      <c r="P2384" s="2">
        <v>54000.22</v>
      </c>
    </row>
    <row r="2385" spans="1:16" outlineLevel="1" x14ac:dyDescent="0.2">
      <c r="A2385" s="5"/>
      <c r="D2385" s="3" t="s">
        <v>716</v>
      </c>
      <c r="N2385" s="2">
        <f>SUBTOTAL(9,N2384:N2384)</f>
        <v>42</v>
      </c>
      <c r="O2385" s="2">
        <f>SUBTOTAL(9,O2384:O2384)</f>
        <v>2268009.1</v>
      </c>
      <c r="P2385" s="2">
        <f>+O2385/N2385</f>
        <v>54000.216666666667</v>
      </c>
    </row>
    <row r="2386" spans="1:16" outlineLevel="2" x14ac:dyDescent="0.2">
      <c r="A2386" s="5">
        <v>46118</v>
      </c>
      <c r="B2386" s="2">
        <v>158329</v>
      </c>
      <c r="C2386" s="2">
        <v>1</v>
      </c>
      <c r="D2386" s="2" t="s">
        <v>203</v>
      </c>
      <c r="E2386" s="2" t="s">
        <v>238</v>
      </c>
      <c r="F2386" s="2" t="s">
        <v>47</v>
      </c>
      <c r="G2386" s="2" t="s">
        <v>22</v>
      </c>
      <c r="H2386" s="2" t="s">
        <v>23</v>
      </c>
      <c r="I2386" s="2" t="s">
        <v>23</v>
      </c>
      <c r="J2386" s="2">
        <v>2</v>
      </c>
      <c r="K2386" s="2" t="s">
        <v>48</v>
      </c>
      <c r="L2386" s="2">
        <v>2338</v>
      </c>
      <c r="M2386" s="2" t="s">
        <v>417</v>
      </c>
      <c r="N2386" s="2">
        <v>20</v>
      </c>
      <c r="O2386" s="2">
        <v>152644.63</v>
      </c>
      <c r="P2386" s="2">
        <v>7632.23</v>
      </c>
    </row>
    <row r="2387" spans="1:16" outlineLevel="1" x14ac:dyDescent="0.2">
      <c r="A2387" s="5"/>
      <c r="D2387" s="3" t="s">
        <v>735</v>
      </c>
      <c r="N2387" s="2">
        <f>SUBTOTAL(9,N2386:N2386)</f>
        <v>20</v>
      </c>
      <c r="O2387" s="2">
        <f>SUBTOTAL(9,O2386:O2386)</f>
        <v>152644.63</v>
      </c>
      <c r="P2387" s="2">
        <f>+O2387/N2387</f>
        <v>7632.2314999999999</v>
      </c>
    </row>
    <row r="2388" spans="1:16" outlineLevel="2" x14ac:dyDescent="0.2">
      <c r="A2388" s="5">
        <v>46118</v>
      </c>
      <c r="B2388" s="2">
        <v>158329</v>
      </c>
      <c r="C2388" s="2">
        <v>2</v>
      </c>
      <c r="D2388" s="2" t="s">
        <v>416</v>
      </c>
      <c r="E2388" s="2" t="s">
        <v>23</v>
      </c>
      <c r="F2388" s="2" t="s">
        <v>47</v>
      </c>
      <c r="G2388" s="2" t="s">
        <v>22</v>
      </c>
      <c r="H2388" s="2" t="s">
        <v>23</v>
      </c>
      <c r="I2388" s="2" t="s">
        <v>23</v>
      </c>
      <c r="J2388" s="2">
        <v>86</v>
      </c>
      <c r="K2388" s="2" t="s">
        <v>73</v>
      </c>
      <c r="L2388" s="2">
        <v>2338</v>
      </c>
      <c r="M2388" s="2" t="s">
        <v>417</v>
      </c>
      <c r="N2388" s="2">
        <v>13</v>
      </c>
      <c r="O2388" s="2">
        <v>300375.11</v>
      </c>
      <c r="P2388" s="2">
        <v>23105.78</v>
      </c>
    </row>
    <row r="2389" spans="1:16" outlineLevel="1" x14ac:dyDescent="0.2">
      <c r="A2389" s="5"/>
      <c r="D2389" s="3" t="s">
        <v>772</v>
      </c>
      <c r="N2389" s="2">
        <f>SUBTOTAL(9,N2388:N2388)</f>
        <v>13</v>
      </c>
      <c r="O2389" s="2">
        <f>SUBTOTAL(9,O2388:O2388)</f>
        <v>300375.11</v>
      </c>
      <c r="P2389" s="2">
        <f>+O2389/N2389</f>
        <v>23105.777692307693</v>
      </c>
    </row>
    <row r="2390" spans="1:16" outlineLevel="2" x14ac:dyDescent="0.2">
      <c r="A2390" s="5">
        <v>46118</v>
      </c>
      <c r="B2390" s="2">
        <v>158330</v>
      </c>
      <c r="C2390" s="2">
        <v>1</v>
      </c>
      <c r="D2390" s="2" t="s">
        <v>26</v>
      </c>
      <c r="E2390" s="2" t="s">
        <v>51</v>
      </c>
      <c r="F2390" s="2" t="s">
        <v>52</v>
      </c>
      <c r="G2390" s="2" t="s">
        <v>22</v>
      </c>
      <c r="H2390" s="2" t="s">
        <v>23</v>
      </c>
      <c r="I2390" s="2" t="s">
        <v>23</v>
      </c>
      <c r="J2390" s="2">
        <v>5</v>
      </c>
      <c r="K2390" s="2" t="s">
        <v>27</v>
      </c>
      <c r="L2390" s="2">
        <v>3048</v>
      </c>
      <c r="M2390" s="2" t="s">
        <v>53</v>
      </c>
      <c r="N2390" s="2">
        <v>78</v>
      </c>
      <c r="O2390" s="2">
        <v>576947.14</v>
      </c>
      <c r="P2390" s="2">
        <v>7396.76</v>
      </c>
    </row>
    <row r="2391" spans="1:16" outlineLevel="2" x14ac:dyDescent="0.2">
      <c r="A2391" s="5">
        <v>46176</v>
      </c>
      <c r="B2391" s="2">
        <v>158331</v>
      </c>
      <c r="C2391" s="2">
        <v>315</v>
      </c>
      <c r="D2391" s="2" t="s">
        <v>26</v>
      </c>
      <c r="E2391" s="2" t="s">
        <v>55</v>
      </c>
      <c r="F2391" s="2" t="s">
        <v>23</v>
      </c>
      <c r="G2391" s="2" t="s">
        <v>23</v>
      </c>
      <c r="H2391" s="2" t="s">
        <v>23</v>
      </c>
      <c r="I2391" s="2" t="s">
        <v>23</v>
      </c>
      <c r="J2391" s="2">
        <v>5</v>
      </c>
      <c r="K2391" s="2" t="s">
        <v>27</v>
      </c>
      <c r="L2391" s="2">
        <v>2602</v>
      </c>
      <c r="M2391" s="2" t="s">
        <v>464</v>
      </c>
      <c r="N2391" s="2">
        <v>24</v>
      </c>
      <c r="O2391" s="2">
        <v>82362</v>
      </c>
      <c r="P2391" s="2">
        <v>3431.75</v>
      </c>
    </row>
    <row r="2392" spans="1:16" outlineLevel="1" x14ac:dyDescent="0.2">
      <c r="A2392" s="5"/>
      <c r="D2392" s="3" t="s">
        <v>711</v>
      </c>
      <c r="N2392" s="2">
        <f>SUBTOTAL(9,N2390:N2391)</f>
        <v>102</v>
      </c>
      <c r="O2392" s="2">
        <f>SUBTOTAL(9,O2390:O2391)</f>
        <v>659309.14</v>
      </c>
      <c r="P2392" s="2">
        <f>+O2392/N2392</f>
        <v>6463.8150980392156</v>
      </c>
    </row>
    <row r="2393" spans="1:16" outlineLevel="2" x14ac:dyDescent="0.2">
      <c r="A2393" s="5">
        <v>46162</v>
      </c>
      <c r="B2393" s="2">
        <v>158333</v>
      </c>
      <c r="C2393" s="2">
        <v>315</v>
      </c>
      <c r="D2393" s="2" t="s">
        <v>54</v>
      </c>
      <c r="E2393" s="2" t="s">
        <v>30</v>
      </c>
      <c r="F2393" s="2" t="s">
        <v>289</v>
      </c>
      <c r="G2393" s="2" t="s">
        <v>22</v>
      </c>
      <c r="H2393" s="2" t="s">
        <v>23</v>
      </c>
      <c r="I2393" s="2" t="s">
        <v>23</v>
      </c>
      <c r="J2393" s="2">
        <v>2</v>
      </c>
      <c r="K2393" s="2" t="s">
        <v>48</v>
      </c>
      <c r="L2393" s="2">
        <v>801</v>
      </c>
      <c r="M2393" s="2" t="s">
        <v>56</v>
      </c>
      <c r="N2393" s="2">
        <v>3</v>
      </c>
      <c r="O2393" s="2">
        <v>19629.650000000001</v>
      </c>
      <c r="P2393" s="2">
        <v>6543.22</v>
      </c>
    </row>
    <row r="2394" spans="1:16" outlineLevel="2" x14ac:dyDescent="0.2">
      <c r="A2394" s="5">
        <v>46149</v>
      </c>
      <c r="B2394" s="2">
        <v>158333</v>
      </c>
      <c r="C2394" s="2">
        <v>502</v>
      </c>
      <c r="D2394" s="2" t="s">
        <v>54</v>
      </c>
      <c r="E2394" s="2" t="s">
        <v>30</v>
      </c>
      <c r="F2394" s="2" t="s">
        <v>55</v>
      </c>
      <c r="G2394" s="2" t="s">
        <v>23</v>
      </c>
      <c r="H2394" s="2" t="s">
        <v>23</v>
      </c>
      <c r="I2394" s="2" t="s">
        <v>23</v>
      </c>
      <c r="J2394" s="2">
        <v>2</v>
      </c>
      <c r="K2394" s="2" t="s">
        <v>48</v>
      </c>
      <c r="L2394" s="2">
        <v>600</v>
      </c>
      <c r="M2394" s="2" t="s">
        <v>112</v>
      </c>
      <c r="N2394" s="2">
        <v>3</v>
      </c>
      <c r="O2394" s="2">
        <v>18696.21</v>
      </c>
      <c r="P2394" s="2">
        <v>6232.07</v>
      </c>
    </row>
    <row r="2395" spans="1:16" outlineLevel="2" x14ac:dyDescent="0.2">
      <c r="A2395" s="5">
        <v>46118</v>
      </c>
      <c r="B2395" s="2">
        <v>158340</v>
      </c>
      <c r="C2395" s="2">
        <v>302</v>
      </c>
      <c r="D2395" s="2" t="s">
        <v>54</v>
      </c>
      <c r="E2395" s="2" t="s">
        <v>20</v>
      </c>
      <c r="F2395" s="2" t="s">
        <v>55</v>
      </c>
      <c r="G2395" s="2" t="s">
        <v>23</v>
      </c>
      <c r="H2395" s="2" t="s">
        <v>23</v>
      </c>
      <c r="I2395" s="2" t="s">
        <v>23</v>
      </c>
      <c r="J2395" s="2">
        <v>1</v>
      </c>
      <c r="K2395" s="2" t="s">
        <v>24</v>
      </c>
      <c r="L2395" s="2">
        <v>25095</v>
      </c>
      <c r="M2395" s="2" t="s">
        <v>216</v>
      </c>
      <c r="N2395" s="2">
        <v>28</v>
      </c>
      <c r="O2395" s="2">
        <v>69952.960000000006</v>
      </c>
      <c r="P2395" s="2">
        <v>2498.3200000000002</v>
      </c>
    </row>
    <row r="2396" spans="1:16" outlineLevel="2" x14ac:dyDescent="0.2">
      <c r="A2396" s="5">
        <v>46141</v>
      </c>
      <c r="B2396" s="2">
        <v>158340</v>
      </c>
      <c r="C2396" s="2">
        <v>304</v>
      </c>
      <c r="D2396" s="2" t="s">
        <v>54</v>
      </c>
      <c r="E2396" s="2" t="s">
        <v>20</v>
      </c>
      <c r="F2396" s="2" t="s">
        <v>55</v>
      </c>
      <c r="G2396" s="2" t="s">
        <v>23</v>
      </c>
      <c r="H2396" s="2" t="s">
        <v>23</v>
      </c>
      <c r="I2396" s="2" t="s">
        <v>23</v>
      </c>
      <c r="J2396" s="2">
        <v>2</v>
      </c>
      <c r="K2396" s="2" t="s">
        <v>48</v>
      </c>
      <c r="L2396" s="2">
        <v>25095</v>
      </c>
      <c r="M2396" s="2" t="s">
        <v>216</v>
      </c>
      <c r="N2396" s="2">
        <v>2</v>
      </c>
      <c r="O2396" s="2">
        <v>12464.14</v>
      </c>
      <c r="P2396" s="2">
        <v>6232.07</v>
      </c>
    </row>
    <row r="2397" spans="1:16" outlineLevel="1" x14ac:dyDescent="0.2">
      <c r="A2397" s="5"/>
      <c r="D2397" s="3" t="s">
        <v>719</v>
      </c>
      <c r="N2397" s="2">
        <f>SUBTOTAL(9,N2393:N2396)</f>
        <v>36</v>
      </c>
      <c r="O2397" s="2">
        <f>SUBTOTAL(9,O2393:O2396)</f>
        <v>120742.96</v>
      </c>
      <c r="P2397" s="2">
        <f>+O2397/N2397</f>
        <v>3353.9711111111114</v>
      </c>
    </row>
    <row r="2398" spans="1:16" outlineLevel="2" x14ac:dyDescent="0.2">
      <c r="A2398" s="5">
        <v>46118</v>
      </c>
      <c r="B2398" s="2">
        <v>158341</v>
      </c>
      <c r="C2398" s="2">
        <v>1</v>
      </c>
      <c r="D2398" s="2" t="s">
        <v>140</v>
      </c>
      <c r="E2398" s="2" t="s">
        <v>55</v>
      </c>
      <c r="F2398" s="2" t="s">
        <v>23</v>
      </c>
      <c r="G2398" s="2" t="s">
        <v>23</v>
      </c>
      <c r="H2398" s="2" t="s">
        <v>23</v>
      </c>
      <c r="I2398" s="2" t="s">
        <v>23</v>
      </c>
      <c r="J2398" s="2">
        <v>1</v>
      </c>
      <c r="K2398" s="2" t="s">
        <v>24</v>
      </c>
      <c r="L2398" s="2">
        <v>1833</v>
      </c>
      <c r="M2398" s="2" t="s">
        <v>142</v>
      </c>
      <c r="N2398" s="2">
        <v>14</v>
      </c>
      <c r="O2398" s="2">
        <v>133920.94</v>
      </c>
      <c r="P2398" s="2">
        <v>9565.7800000000007</v>
      </c>
    </row>
    <row r="2399" spans="1:16" outlineLevel="1" x14ac:dyDescent="0.2">
      <c r="A2399" s="5"/>
      <c r="D2399" s="3" t="s">
        <v>696</v>
      </c>
      <c r="N2399" s="2">
        <f>SUBTOTAL(9,N2398:N2398)</f>
        <v>14</v>
      </c>
      <c r="O2399" s="2">
        <f>SUBTOTAL(9,O2398:O2398)</f>
        <v>133920.94</v>
      </c>
      <c r="P2399" s="2">
        <f>+O2399/N2399</f>
        <v>9565.7814285714285</v>
      </c>
    </row>
    <row r="2400" spans="1:16" outlineLevel="2" x14ac:dyDescent="0.2">
      <c r="A2400" s="5">
        <v>46118</v>
      </c>
      <c r="B2400" s="2">
        <v>158342</v>
      </c>
      <c r="C2400" s="2">
        <v>1</v>
      </c>
      <c r="D2400" s="2" t="s">
        <v>197</v>
      </c>
      <c r="E2400" s="2" t="s">
        <v>465</v>
      </c>
      <c r="F2400" s="2" t="s">
        <v>63</v>
      </c>
      <c r="G2400" s="2" t="s">
        <v>22</v>
      </c>
      <c r="H2400" s="2" t="s">
        <v>23</v>
      </c>
      <c r="I2400" s="2" t="s">
        <v>23</v>
      </c>
      <c r="J2400" s="2">
        <v>1</v>
      </c>
      <c r="K2400" s="2" t="s">
        <v>24</v>
      </c>
      <c r="L2400" s="2">
        <v>2014</v>
      </c>
      <c r="M2400" s="2" t="s">
        <v>437</v>
      </c>
      <c r="N2400" s="2">
        <v>815</v>
      </c>
      <c r="O2400" s="2">
        <v>50157266.969999999</v>
      </c>
      <c r="P2400" s="2">
        <v>61542.66</v>
      </c>
    </row>
    <row r="2401" spans="1:16" outlineLevel="2" x14ac:dyDescent="0.2">
      <c r="A2401" s="5">
        <v>46118</v>
      </c>
      <c r="B2401" s="2">
        <v>158342</v>
      </c>
      <c r="C2401" s="2">
        <v>2</v>
      </c>
      <c r="D2401" s="2" t="s">
        <v>197</v>
      </c>
      <c r="E2401" s="2" t="s">
        <v>244</v>
      </c>
      <c r="F2401" s="2" t="s">
        <v>63</v>
      </c>
      <c r="G2401" s="2" t="s">
        <v>22</v>
      </c>
      <c r="H2401" s="2" t="s">
        <v>23</v>
      </c>
      <c r="I2401" s="2" t="s">
        <v>23</v>
      </c>
      <c r="J2401" s="2">
        <v>40</v>
      </c>
      <c r="K2401" s="2" t="s">
        <v>43</v>
      </c>
      <c r="L2401" s="2">
        <v>2014</v>
      </c>
      <c r="M2401" s="2" t="s">
        <v>437</v>
      </c>
      <c r="N2401" s="2">
        <v>456</v>
      </c>
      <c r="O2401" s="2">
        <v>24237173.539999999</v>
      </c>
      <c r="P2401" s="2">
        <v>53151.7</v>
      </c>
    </row>
    <row r="2402" spans="1:16" outlineLevel="1" x14ac:dyDescent="0.2">
      <c r="A2402" s="5"/>
      <c r="D2402" s="3" t="s">
        <v>734</v>
      </c>
      <c r="N2402" s="2">
        <f>SUBTOTAL(9,N2400:N2401)</f>
        <v>1271</v>
      </c>
      <c r="O2402" s="2">
        <f>SUBTOTAL(9,O2400:O2401)</f>
        <v>74394440.50999999</v>
      </c>
      <c r="P2402" s="2">
        <f>+O2402/N2402</f>
        <v>58532.21125885129</v>
      </c>
    </row>
    <row r="2403" spans="1:16" outlineLevel="2" x14ac:dyDescent="0.2">
      <c r="A2403" s="5">
        <v>46118</v>
      </c>
      <c r="B2403" s="2">
        <v>158381</v>
      </c>
      <c r="C2403" s="2">
        <v>2</v>
      </c>
      <c r="D2403" s="2" t="s">
        <v>160</v>
      </c>
      <c r="E2403" s="2" t="s">
        <v>222</v>
      </c>
      <c r="F2403" s="2" t="s">
        <v>40</v>
      </c>
      <c r="G2403" s="2" t="s">
        <v>22</v>
      </c>
      <c r="H2403" s="2" t="s">
        <v>23</v>
      </c>
      <c r="I2403" s="2" t="s">
        <v>23</v>
      </c>
      <c r="J2403" s="2">
        <v>1</v>
      </c>
      <c r="K2403" s="2" t="s">
        <v>24</v>
      </c>
      <c r="L2403" s="2">
        <v>2521</v>
      </c>
      <c r="M2403" s="2" t="s">
        <v>82</v>
      </c>
      <c r="N2403" s="2">
        <v>180</v>
      </c>
      <c r="O2403" s="2">
        <v>3035077.48</v>
      </c>
      <c r="P2403" s="2">
        <v>16861.54</v>
      </c>
    </row>
    <row r="2404" spans="1:16" outlineLevel="1" x14ac:dyDescent="0.2">
      <c r="A2404" s="5"/>
      <c r="D2404" s="3" t="s">
        <v>709</v>
      </c>
      <c r="N2404" s="2">
        <f>SUBTOTAL(9,N2403:N2403)</f>
        <v>180</v>
      </c>
      <c r="O2404" s="2">
        <f>SUBTOTAL(9,O2403:O2403)</f>
        <v>3035077.48</v>
      </c>
      <c r="P2404" s="2">
        <f>+O2404/N2404</f>
        <v>16861.541555555556</v>
      </c>
    </row>
    <row r="2405" spans="1:16" outlineLevel="2" x14ac:dyDescent="0.2">
      <c r="A2405" s="5">
        <v>46118</v>
      </c>
      <c r="B2405" s="2">
        <v>158381</v>
      </c>
      <c r="C2405" s="2">
        <v>3</v>
      </c>
      <c r="D2405" s="2" t="s">
        <v>131</v>
      </c>
      <c r="E2405" s="2" t="s">
        <v>132</v>
      </c>
      <c r="F2405" s="2" t="s">
        <v>40</v>
      </c>
      <c r="G2405" s="2" t="s">
        <v>22</v>
      </c>
      <c r="H2405" s="2" t="s">
        <v>23</v>
      </c>
      <c r="I2405" s="2" t="s">
        <v>23</v>
      </c>
      <c r="J2405" s="2">
        <v>1</v>
      </c>
      <c r="K2405" s="2" t="s">
        <v>24</v>
      </c>
      <c r="L2405" s="2">
        <v>2521</v>
      </c>
      <c r="M2405" s="2" t="s">
        <v>82</v>
      </c>
      <c r="N2405" s="2">
        <v>318</v>
      </c>
      <c r="O2405" s="2">
        <v>11798652.08</v>
      </c>
      <c r="P2405" s="2">
        <v>37102.68</v>
      </c>
    </row>
    <row r="2406" spans="1:16" outlineLevel="1" x14ac:dyDescent="0.2">
      <c r="A2406" s="5"/>
      <c r="D2406" s="3" t="s">
        <v>713</v>
      </c>
      <c r="N2406" s="2">
        <f>SUBTOTAL(9,N2405:N2405)</f>
        <v>318</v>
      </c>
      <c r="O2406" s="2">
        <f>SUBTOTAL(9,O2405:O2405)</f>
        <v>11798652.08</v>
      </c>
      <c r="P2406" s="2">
        <f>+O2406/N2406</f>
        <v>37102.679496855344</v>
      </c>
    </row>
    <row r="2407" spans="1:16" outlineLevel="2" x14ac:dyDescent="0.2">
      <c r="A2407" s="5">
        <v>46125</v>
      </c>
      <c r="B2407" s="2">
        <v>158381</v>
      </c>
      <c r="C2407" s="2">
        <v>4</v>
      </c>
      <c r="D2407" s="2" t="s">
        <v>81</v>
      </c>
      <c r="E2407" s="2" t="s">
        <v>23</v>
      </c>
      <c r="F2407" s="2" t="s">
        <v>40</v>
      </c>
      <c r="G2407" s="2" t="s">
        <v>22</v>
      </c>
      <c r="H2407" s="2" t="s">
        <v>23</v>
      </c>
      <c r="I2407" s="2" t="s">
        <v>23</v>
      </c>
      <c r="J2407" s="2">
        <v>1</v>
      </c>
      <c r="K2407" s="2" t="s">
        <v>24</v>
      </c>
      <c r="L2407" s="2">
        <v>2521</v>
      </c>
      <c r="M2407" s="2" t="s">
        <v>82</v>
      </c>
      <c r="N2407" s="2">
        <v>26</v>
      </c>
      <c r="O2407" s="2">
        <v>1036666.06</v>
      </c>
      <c r="P2407" s="2">
        <v>39871.769999999997</v>
      </c>
    </row>
    <row r="2408" spans="1:16" outlineLevel="1" x14ac:dyDescent="0.2">
      <c r="A2408" s="5"/>
      <c r="D2408" s="3" t="s">
        <v>693</v>
      </c>
      <c r="N2408" s="2">
        <f>SUBTOTAL(9,N2407:N2407)</f>
        <v>26</v>
      </c>
      <c r="O2408" s="2">
        <f>SUBTOTAL(9,O2407:O2407)</f>
        <v>1036666.06</v>
      </c>
      <c r="P2408" s="2">
        <f>+O2408/N2408</f>
        <v>39871.771538461544</v>
      </c>
    </row>
    <row r="2409" spans="1:16" outlineLevel="2" x14ac:dyDescent="0.2">
      <c r="A2409" s="5">
        <v>46120</v>
      </c>
      <c r="B2409" s="2">
        <v>158388</v>
      </c>
      <c r="C2409" s="2">
        <v>305</v>
      </c>
      <c r="D2409" s="2" t="s">
        <v>54</v>
      </c>
      <c r="E2409" s="2" t="s">
        <v>20</v>
      </c>
      <c r="F2409" s="2" t="s">
        <v>55</v>
      </c>
      <c r="G2409" s="2" t="s">
        <v>23</v>
      </c>
      <c r="H2409" s="2" t="s">
        <v>23</v>
      </c>
      <c r="I2409" s="2" t="s">
        <v>23</v>
      </c>
      <c r="J2409" s="2">
        <v>1</v>
      </c>
      <c r="K2409" s="2" t="s">
        <v>24</v>
      </c>
      <c r="L2409" s="2">
        <v>25095</v>
      </c>
      <c r="M2409" s="2" t="s">
        <v>216</v>
      </c>
      <c r="N2409" s="2">
        <v>33</v>
      </c>
      <c r="O2409" s="2">
        <v>149322.49</v>
      </c>
      <c r="P2409" s="2">
        <v>4524.92</v>
      </c>
    </row>
    <row r="2410" spans="1:16" outlineLevel="1" x14ac:dyDescent="0.2">
      <c r="A2410" s="5"/>
      <c r="D2410" s="3" t="s">
        <v>719</v>
      </c>
      <c r="N2410" s="2">
        <f>SUBTOTAL(9,N2409:N2409)</f>
        <v>33</v>
      </c>
      <c r="O2410" s="2">
        <f>SUBTOTAL(9,O2409:O2409)</f>
        <v>149322.49</v>
      </c>
      <c r="P2410" s="2">
        <f>+O2410/N2410</f>
        <v>4524.9239393939388</v>
      </c>
    </row>
    <row r="2411" spans="1:16" outlineLevel="2" x14ac:dyDescent="0.2">
      <c r="A2411" s="5">
        <v>46122</v>
      </c>
      <c r="B2411" s="2">
        <v>158389</v>
      </c>
      <c r="C2411" s="2">
        <v>1</v>
      </c>
      <c r="D2411" s="2" t="s">
        <v>92</v>
      </c>
      <c r="E2411" s="2" t="s">
        <v>93</v>
      </c>
      <c r="F2411" s="2" t="s">
        <v>40</v>
      </c>
      <c r="G2411" s="2" t="s">
        <v>22</v>
      </c>
      <c r="H2411" s="2" t="s">
        <v>23</v>
      </c>
      <c r="I2411" s="2" t="s">
        <v>23</v>
      </c>
      <c r="J2411" s="2">
        <v>5</v>
      </c>
      <c r="K2411" s="2" t="s">
        <v>27</v>
      </c>
      <c r="L2411" s="2">
        <v>2521</v>
      </c>
      <c r="M2411" s="2" t="s">
        <v>82</v>
      </c>
      <c r="N2411" s="2">
        <v>40</v>
      </c>
      <c r="O2411" s="2">
        <v>863878.8</v>
      </c>
      <c r="P2411" s="2">
        <v>21596.97</v>
      </c>
    </row>
    <row r="2412" spans="1:16" outlineLevel="1" x14ac:dyDescent="0.2">
      <c r="A2412" s="5"/>
      <c r="D2412" s="3" t="s">
        <v>702</v>
      </c>
      <c r="N2412" s="2">
        <f>SUBTOTAL(9,N2411:N2411)</f>
        <v>40</v>
      </c>
      <c r="O2412" s="2">
        <f>SUBTOTAL(9,O2411:O2411)</f>
        <v>863878.8</v>
      </c>
      <c r="P2412" s="2">
        <f>+O2412/N2412</f>
        <v>21596.97</v>
      </c>
    </row>
    <row r="2413" spans="1:16" outlineLevel="2" x14ac:dyDescent="0.2">
      <c r="A2413" s="5">
        <v>46125</v>
      </c>
      <c r="B2413" s="2">
        <v>158390</v>
      </c>
      <c r="C2413" s="2">
        <v>1</v>
      </c>
      <c r="D2413" s="2" t="s">
        <v>38</v>
      </c>
      <c r="E2413" s="2" t="s">
        <v>39</v>
      </c>
      <c r="F2413" s="2" t="s">
        <v>40</v>
      </c>
      <c r="G2413" s="2" t="s">
        <v>22</v>
      </c>
      <c r="H2413" s="2" t="s">
        <v>393</v>
      </c>
      <c r="I2413" s="2" t="s">
        <v>445</v>
      </c>
      <c r="J2413" s="2">
        <v>40</v>
      </c>
      <c r="K2413" s="2" t="s">
        <v>43</v>
      </c>
      <c r="L2413" s="2">
        <v>2579</v>
      </c>
      <c r="M2413" s="2" t="s">
        <v>44</v>
      </c>
      <c r="N2413" s="2">
        <v>243</v>
      </c>
      <c r="O2413" s="2">
        <v>4187761.8</v>
      </c>
      <c r="P2413" s="2">
        <v>17233.59</v>
      </c>
    </row>
    <row r="2414" spans="1:16" outlineLevel="1" x14ac:dyDescent="0.2">
      <c r="A2414" s="5"/>
      <c r="D2414" s="3" t="s">
        <v>721</v>
      </c>
      <c r="N2414" s="2">
        <f>SUBTOTAL(9,N2413:N2413)</f>
        <v>243</v>
      </c>
      <c r="O2414" s="2">
        <f>SUBTOTAL(9,O2413:O2413)</f>
        <v>4187761.8</v>
      </c>
      <c r="P2414" s="2">
        <f>+O2414/N2414</f>
        <v>17233.587654320985</v>
      </c>
    </row>
    <row r="2415" spans="1:16" outlineLevel="2" x14ac:dyDescent="0.2">
      <c r="A2415" s="5">
        <v>46118</v>
      </c>
      <c r="B2415" s="2">
        <v>158391</v>
      </c>
      <c r="C2415" s="2">
        <v>1</v>
      </c>
      <c r="D2415" s="2" t="s">
        <v>75</v>
      </c>
      <c r="E2415" s="2" t="s">
        <v>23</v>
      </c>
      <c r="F2415" s="2" t="s">
        <v>108</v>
      </c>
      <c r="G2415" s="2" t="s">
        <v>22</v>
      </c>
      <c r="H2415" s="2" t="s">
        <v>23</v>
      </c>
      <c r="I2415" s="2" t="s">
        <v>466</v>
      </c>
      <c r="J2415" s="2">
        <v>1</v>
      </c>
      <c r="K2415" s="2" t="s">
        <v>24</v>
      </c>
      <c r="L2415" s="2">
        <v>2024</v>
      </c>
      <c r="M2415" s="2" t="s">
        <v>76</v>
      </c>
      <c r="N2415" s="2">
        <v>160</v>
      </c>
      <c r="O2415" s="2">
        <v>4623542.45</v>
      </c>
      <c r="P2415" s="2">
        <v>28897.14</v>
      </c>
    </row>
    <row r="2416" spans="1:16" outlineLevel="2" x14ac:dyDescent="0.2">
      <c r="A2416" s="5">
        <v>46118</v>
      </c>
      <c r="B2416" s="2">
        <v>158391</v>
      </c>
      <c r="C2416" s="2">
        <v>2</v>
      </c>
      <c r="D2416" s="2" t="s">
        <v>75</v>
      </c>
      <c r="E2416" s="2" t="s">
        <v>23</v>
      </c>
      <c r="F2416" s="2" t="s">
        <v>108</v>
      </c>
      <c r="G2416" s="2" t="s">
        <v>22</v>
      </c>
      <c r="H2416" s="2" t="s">
        <v>23</v>
      </c>
      <c r="I2416" s="2" t="s">
        <v>100</v>
      </c>
      <c r="J2416" s="2">
        <v>1</v>
      </c>
      <c r="K2416" s="2" t="s">
        <v>24</v>
      </c>
      <c r="L2416" s="2">
        <v>2024</v>
      </c>
      <c r="M2416" s="2" t="s">
        <v>76</v>
      </c>
      <c r="N2416" s="2">
        <v>160</v>
      </c>
      <c r="O2416" s="2">
        <v>4471062.4000000004</v>
      </c>
      <c r="P2416" s="2">
        <v>27944.14</v>
      </c>
    </row>
    <row r="2417" spans="1:16" outlineLevel="2" x14ac:dyDescent="0.2">
      <c r="A2417" s="5">
        <v>46118</v>
      </c>
      <c r="B2417" s="2">
        <v>158391</v>
      </c>
      <c r="C2417" s="2">
        <v>3</v>
      </c>
      <c r="D2417" s="2" t="s">
        <v>75</v>
      </c>
      <c r="E2417" s="2" t="s">
        <v>23</v>
      </c>
      <c r="F2417" s="2" t="s">
        <v>108</v>
      </c>
      <c r="G2417" s="2" t="s">
        <v>22</v>
      </c>
      <c r="H2417" s="2" t="s">
        <v>23</v>
      </c>
      <c r="I2417" s="2" t="s">
        <v>109</v>
      </c>
      <c r="J2417" s="2">
        <v>1</v>
      </c>
      <c r="K2417" s="2" t="s">
        <v>24</v>
      </c>
      <c r="L2417" s="2">
        <v>2024</v>
      </c>
      <c r="M2417" s="2" t="s">
        <v>76</v>
      </c>
      <c r="N2417" s="2">
        <v>240</v>
      </c>
      <c r="O2417" s="2">
        <v>7572060.2400000002</v>
      </c>
      <c r="P2417" s="2">
        <v>31550.25</v>
      </c>
    </row>
    <row r="2418" spans="1:16" outlineLevel="2" x14ac:dyDescent="0.2">
      <c r="A2418" s="5">
        <v>46120</v>
      </c>
      <c r="B2418" s="2">
        <v>158391</v>
      </c>
      <c r="C2418" s="2">
        <v>4</v>
      </c>
      <c r="D2418" s="2" t="s">
        <v>75</v>
      </c>
      <c r="E2418" s="2" t="s">
        <v>23</v>
      </c>
      <c r="F2418" s="2" t="s">
        <v>108</v>
      </c>
      <c r="G2418" s="2" t="s">
        <v>22</v>
      </c>
      <c r="H2418" s="2" t="s">
        <v>23</v>
      </c>
      <c r="I2418" s="2" t="s">
        <v>101</v>
      </c>
      <c r="J2418" s="2">
        <v>1</v>
      </c>
      <c r="K2418" s="2" t="s">
        <v>24</v>
      </c>
      <c r="L2418" s="2">
        <v>2024</v>
      </c>
      <c r="M2418" s="2" t="s">
        <v>76</v>
      </c>
      <c r="N2418" s="2">
        <v>34</v>
      </c>
      <c r="O2418" s="2">
        <v>1017448.31</v>
      </c>
      <c r="P2418" s="2">
        <v>29924.95</v>
      </c>
    </row>
    <row r="2419" spans="1:16" outlineLevel="1" x14ac:dyDescent="0.2">
      <c r="A2419" s="5"/>
      <c r="D2419" s="3" t="s">
        <v>729</v>
      </c>
      <c r="N2419" s="2">
        <f>SUBTOTAL(9,N2415:N2418)</f>
        <v>594</v>
      </c>
      <c r="O2419" s="2">
        <f>SUBTOTAL(9,O2415:O2418)</f>
        <v>17684113.400000002</v>
      </c>
      <c r="P2419" s="2">
        <f>+O2419/N2419</f>
        <v>29771.234680134683</v>
      </c>
    </row>
    <row r="2420" spans="1:16" outlineLevel="2" x14ac:dyDescent="0.2">
      <c r="A2420" s="5">
        <v>46128</v>
      </c>
      <c r="B2420" s="2">
        <v>158392</v>
      </c>
      <c r="C2420" s="2">
        <v>1</v>
      </c>
      <c r="D2420" s="2" t="s">
        <v>38</v>
      </c>
      <c r="E2420" s="2" t="s">
        <v>39</v>
      </c>
      <c r="F2420" s="2" t="s">
        <v>21</v>
      </c>
      <c r="G2420" s="2" t="s">
        <v>22</v>
      </c>
      <c r="H2420" s="2" t="s">
        <v>23</v>
      </c>
      <c r="I2420" s="2" t="s">
        <v>133</v>
      </c>
      <c r="J2420" s="2">
        <v>1</v>
      </c>
      <c r="K2420" s="2" t="s">
        <v>24</v>
      </c>
      <c r="L2420" s="2">
        <v>25186</v>
      </c>
      <c r="M2420" s="2" t="s">
        <v>418</v>
      </c>
      <c r="N2420" s="2">
        <v>415</v>
      </c>
      <c r="O2420" s="2">
        <v>6487433.6799999997</v>
      </c>
      <c r="P2420" s="2">
        <v>15632.37</v>
      </c>
    </row>
    <row r="2421" spans="1:16" outlineLevel="2" x14ac:dyDescent="0.2">
      <c r="A2421" s="5">
        <v>46146</v>
      </c>
      <c r="B2421" s="2">
        <v>158394</v>
      </c>
      <c r="C2421" s="2">
        <v>1</v>
      </c>
      <c r="D2421" s="2" t="s">
        <v>38</v>
      </c>
      <c r="E2421" s="2" t="s">
        <v>39</v>
      </c>
      <c r="F2421" s="2" t="s">
        <v>290</v>
      </c>
      <c r="G2421" s="2" t="s">
        <v>291</v>
      </c>
      <c r="H2421" s="2" t="s">
        <v>23</v>
      </c>
      <c r="I2421" s="2" t="s">
        <v>23</v>
      </c>
      <c r="J2421" s="2">
        <v>40</v>
      </c>
      <c r="K2421" s="2" t="s">
        <v>43</v>
      </c>
      <c r="L2421" s="2">
        <v>2551</v>
      </c>
      <c r="M2421" s="2" t="s">
        <v>292</v>
      </c>
      <c r="N2421" s="2">
        <v>164</v>
      </c>
      <c r="O2421" s="2">
        <v>728025.88</v>
      </c>
      <c r="P2421" s="2">
        <v>4439.18</v>
      </c>
    </row>
    <row r="2422" spans="1:16" outlineLevel="1" x14ac:dyDescent="0.2">
      <c r="A2422" s="5"/>
      <c r="D2422" s="3" t="s">
        <v>721</v>
      </c>
      <c r="N2422" s="2">
        <f>SUBTOTAL(9,N2420:N2421)</f>
        <v>579</v>
      </c>
      <c r="O2422" s="2">
        <f>SUBTOTAL(9,O2420:O2421)</f>
        <v>7215459.5599999996</v>
      </c>
      <c r="P2422" s="2">
        <f>+O2422/N2422</f>
        <v>12461.933609671847</v>
      </c>
    </row>
    <row r="2423" spans="1:16" outlineLevel="2" x14ac:dyDescent="0.2">
      <c r="A2423" s="5">
        <v>46120</v>
      </c>
      <c r="B2423" s="2">
        <v>158395</v>
      </c>
      <c r="C2423" s="2">
        <v>2</v>
      </c>
      <c r="D2423" s="2" t="s">
        <v>357</v>
      </c>
      <c r="E2423" s="2" t="s">
        <v>230</v>
      </c>
      <c r="F2423" s="2" t="s">
        <v>40</v>
      </c>
      <c r="G2423" s="2" t="s">
        <v>22</v>
      </c>
      <c r="H2423" s="2" t="s">
        <v>23</v>
      </c>
      <c r="I2423" s="2" t="s">
        <v>36</v>
      </c>
      <c r="J2423" s="2">
        <v>51</v>
      </c>
      <c r="K2423" s="2" t="s">
        <v>438</v>
      </c>
      <c r="L2423" s="2">
        <v>331</v>
      </c>
      <c r="M2423" s="2" t="s">
        <v>356</v>
      </c>
      <c r="N2423" s="2">
        <v>109</v>
      </c>
      <c r="O2423" s="2">
        <v>4582679.47</v>
      </c>
      <c r="P2423" s="2">
        <v>42042.93</v>
      </c>
    </row>
    <row r="2424" spans="1:16" outlineLevel="1" x14ac:dyDescent="0.2">
      <c r="A2424" s="5"/>
      <c r="D2424" s="3" t="s">
        <v>758</v>
      </c>
      <c r="N2424" s="2">
        <f>SUBTOTAL(9,N2423:N2423)</f>
        <v>109</v>
      </c>
      <c r="O2424" s="2">
        <f>SUBTOTAL(9,O2423:O2423)</f>
        <v>4582679.47</v>
      </c>
      <c r="P2424" s="2">
        <f>+O2424/N2424</f>
        <v>42042.930917431193</v>
      </c>
    </row>
    <row r="2425" spans="1:16" outlineLevel="2" x14ac:dyDescent="0.2">
      <c r="A2425" s="5">
        <v>46125</v>
      </c>
      <c r="B2425" s="2">
        <v>158395</v>
      </c>
      <c r="C2425" s="2">
        <v>3</v>
      </c>
      <c r="D2425" s="2" t="s">
        <v>229</v>
      </c>
      <c r="E2425" s="2" t="s">
        <v>230</v>
      </c>
      <c r="F2425" s="2" t="s">
        <v>40</v>
      </c>
      <c r="G2425" s="2" t="s">
        <v>22</v>
      </c>
      <c r="H2425" s="2" t="s">
        <v>23</v>
      </c>
      <c r="I2425" s="2" t="s">
        <v>152</v>
      </c>
      <c r="J2425" s="2">
        <v>1</v>
      </c>
      <c r="K2425" s="2" t="s">
        <v>24</v>
      </c>
      <c r="L2425" s="2">
        <v>331</v>
      </c>
      <c r="M2425" s="2" t="s">
        <v>356</v>
      </c>
      <c r="N2425" s="2">
        <v>590</v>
      </c>
      <c r="O2425" s="2">
        <v>6370385.2999999998</v>
      </c>
      <c r="P2425" s="2">
        <v>10797.26</v>
      </c>
    </row>
    <row r="2426" spans="1:16" outlineLevel="2" x14ac:dyDescent="0.2">
      <c r="A2426" s="5">
        <v>46120</v>
      </c>
      <c r="B2426" s="2">
        <v>158395</v>
      </c>
      <c r="C2426" s="2">
        <v>5</v>
      </c>
      <c r="D2426" s="2" t="s">
        <v>229</v>
      </c>
      <c r="E2426" s="2" t="s">
        <v>230</v>
      </c>
      <c r="F2426" s="2" t="s">
        <v>40</v>
      </c>
      <c r="G2426" s="2" t="s">
        <v>22</v>
      </c>
      <c r="H2426" s="2" t="s">
        <v>23</v>
      </c>
      <c r="I2426" s="2" t="s">
        <v>79</v>
      </c>
      <c r="J2426" s="2">
        <v>1</v>
      </c>
      <c r="K2426" s="2" t="s">
        <v>24</v>
      </c>
      <c r="L2426" s="2">
        <v>331</v>
      </c>
      <c r="M2426" s="2" t="s">
        <v>356</v>
      </c>
      <c r="N2426" s="2">
        <v>216</v>
      </c>
      <c r="O2426" s="2">
        <v>2537963.17</v>
      </c>
      <c r="P2426" s="2">
        <v>11749.83</v>
      </c>
    </row>
    <row r="2427" spans="1:16" outlineLevel="1" x14ac:dyDescent="0.2">
      <c r="A2427" s="5"/>
      <c r="D2427" s="3" t="s">
        <v>737</v>
      </c>
      <c r="N2427" s="2">
        <f>SUBTOTAL(9,N2425:N2426)</f>
        <v>806</v>
      </c>
      <c r="O2427" s="2">
        <f>SUBTOTAL(9,O2425:O2426)</f>
        <v>8908348.4699999988</v>
      </c>
      <c r="P2427" s="2">
        <f>+O2427/N2427</f>
        <v>11052.541526054589</v>
      </c>
    </row>
    <row r="2428" spans="1:16" outlineLevel="2" x14ac:dyDescent="0.2">
      <c r="A2428" s="5">
        <v>46125</v>
      </c>
      <c r="B2428" s="2">
        <v>158396</v>
      </c>
      <c r="C2428" s="2">
        <v>1</v>
      </c>
      <c r="D2428" s="2" t="s">
        <v>38</v>
      </c>
      <c r="E2428" s="2" t="s">
        <v>39</v>
      </c>
      <c r="F2428" s="2" t="s">
        <v>40</v>
      </c>
      <c r="G2428" s="2" t="s">
        <v>22</v>
      </c>
      <c r="H2428" s="2" t="s">
        <v>41</v>
      </c>
      <c r="I2428" s="2" t="s">
        <v>445</v>
      </c>
      <c r="J2428" s="2">
        <v>40</v>
      </c>
      <c r="K2428" s="2" t="s">
        <v>43</v>
      </c>
      <c r="L2428" s="2">
        <v>2579</v>
      </c>
      <c r="M2428" s="2" t="s">
        <v>44</v>
      </c>
      <c r="N2428" s="2">
        <v>96</v>
      </c>
      <c r="O2428" s="2">
        <v>2066578.33</v>
      </c>
      <c r="P2428" s="2">
        <v>21526.86</v>
      </c>
    </row>
    <row r="2429" spans="1:16" outlineLevel="2" x14ac:dyDescent="0.2">
      <c r="A2429" s="5">
        <v>46125</v>
      </c>
      <c r="B2429" s="2">
        <v>158396</v>
      </c>
      <c r="C2429" s="2">
        <v>2</v>
      </c>
      <c r="D2429" s="2" t="s">
        <v>38</v>
      </c>
      <c r="E2429" s="2" t="s">
        <v>39</v>
      </c>
      <c r="F2429" s="2" t="s">
        <v>40</v>
      </c>
      <c r="G2429" s="2" t="s">
        <v>22</v>
      </c>
      <c r="H2429" s="2" t="s">
        <v>41</v>
      </c>
      <c r="I2429" s="2" t="s">
        <v>410</v>
      </c>
      <c r="J2429" s="2">
        <v>40</v>
      </c>
      <c r="K2429" s="2" t="s">
        <v>43</v>
      </c>
      <c r="L2429" s="2">
        <v>2579</v>
      </c>
      <c r="M2429" s="2" t="s">
        <v>44</v>
      </c>
      <c r="N2429" s="2">
        <v>388</v>
      </c>
      <c r="O2429" s="2">
        <v>3810925.82</v>
      </c>
      <c r="P2429" s="2">
        <v>9821.9699999999993</v>
      </c>
    </row>
    <row r="2430" spans="1:16" outlineLevel="2" x14ac:dyDescent="0.2">
      <c r="A2430" s="5">
        <v>46129</v>
      </c>
      <c r="B2430" s="2">
        <v>158396</v>
      </c>
      <c r="C2430" s="2">
        <v>3</v>
      </c>
      <c r="D2430" s="2" t="s">
        <v>38</v>
      </c>
      <c r="E2430" s="2" t="s">
        <v>39</v>
      </c>
      <c r="F2430" s="2" t="s">
        <v>40</v>
      </c>
      <c r="G2430" s="2" t="s">
        <v>22</v>
      </c>
      <c r="H2430" s="2" t="s">
        <v>393</v>
      </c>
      <c r="I2430" s="2" t="s">
        <v>445</v>
      </c>
      <c r="J2430" s="2">
        <v>40</v>
      </c>
      <c r="K2430" s="2" t="s">
        <v>43</v>
      </c>
      <c r="L2430" s="2">
        <v>2579</v>
      </c>
      <c r="M2430" s="2" t="s">
        <v>44</v>
      </c>
      <c r="N2430" s="2">
        <v>480</v>
      </c>
      <c r="O2430" s="2">
        <v>6921172.2999999998</v>
      </c>
      <c r="P2430" s="2">
        <v>14419.11</v>
      </c>
    </row>
    <row r="2431" spans="1:16" outlineLevel="2" x14ac:dyDescent="0.2">
      <c r="A2431" s="5">
        <v>46136</v>
      </c>
      <c r="B2431" s="2">
        <v>158396</v>
      </c>
      <c r="C2431" s="2">
        <v>315</v>
      </c>
      <c r="D2431" s="2" t="s">
        <v>38</v>
      </c>
      <c r="E2431" s="2" t="s">
        <v>39</v>
      </c>
      <c r="F2431" s="2" t="s">
        <v>40</v>
      </c>
      <c r="G2431" s="2" t="s">
        <v>22</v>
      </c>
      <c r="H2431" s="2" t="s">
        <v>23</v>
      </c>
      <c r="I2431" s="2" t="s">
        <v>23</v>
      </c>
      <c r="J2431" s="2">
        <v>94</v>
      </c>
      <c r="K2431" s="2" t="s">
        <v>147</v>
      </c>
      <c r="L2431" s="2">
        <v>2579</v>
      </c>
      <c r="M2431" s="2" t="s">
        <v>44</v>
      </c>
      <c r="N2431" s="2">
        <v>2</v>
      </c>
      <c r="O2431" s="2">
        <v>59136.1</v>
      </c>
      <c r="P2431" s="2">
        <v>29568.05</v>
      </c>
    </row>
    <row r="2432" spans="1:16" outlineLevel="2" x14ac:dyDescent="0.2">
      <c r="A2432" s="5">
        <v>46118</v>
      </c>
      <c r="B2432" s="2">
        <v>158397</v>
      </c>
      <c r="C2432" s="2">
        <v>1</v>
      </c>
      <c r="D2432" s="2" t="s">
        <v>38</v>
      </c>
      <c r="E2432" s="2" t="s">
        <v>39</v>
      </c>
      <c r="F2432" s="2" t="s">
        <v>63</v>
      </c>
      <c r="G2432" s="2" t="s">
        <v>22</v>
      </c>
      <c r="H2432" s="2" t="s">
        <v>23</v>
      </c>
      <c r="I2432" s="2" t="s">
        <v>243</v>
      </c>
      <c r="J2432" s="2">
        <v>1</v>
      </c>
      <c r="K2432" s="2" t="s">
        <v>24</v>
      </c>
      <c r="L2432" s="2">
        <v>1846</v>
      </c>
      <c r="M2432" s="2" t="s">
        <v>134</v>
      </c>
      <c r="N2432" s="2">
        <v>296</v>
      </c>
      <c r="O2432" s="2">
        <v>22905876.210000001</v>
      </c>
      <c r="P2432" s="2">
        <v>77384.72</v>
      </c>
    </row>
    <row r="2433" spans="1:16" outlineLevel="1" x14ac:dyDescent="0.2">
      <c r="A2433" s="5"/>
      <c r="D2433" s="3" t="s">
        <v>721</v>
      </c>
      <c r="N2433" s="2">
        <f>SUBTOTAL(9,N2428:N2432)</f>
        <v>1262</v>
      </c>
      <c r="O2433" s="2">
        <f>SUBTOTAL(9,O2428:O2432)</f>
        <v>35763688.759999998</v>
      </c>
      <c r="P2433" s="2">
        <f>+O2433/N2433</f>
        <v>28338.897591125198</v>
      </c>
    </row>
    <row r="2434" spans="1:16" outlineLevel="2" x14ac:dyDescent="0.2">
      <c r="A2434" s="5">
        <v>46118</v>
      </c>
      <c r="B2434" s="2">
        <v>158397</v>
      </c>
      <c r="C2434" s="2">
        <v>2</v>
      </c>
      <c r="D2434" s="2" t="s">
        <v>444</v>
      </c>
      <c r="E2434" s="2" t="s">
        <v>39</v>
      </c>
      <c r="F2434" s="2" t="s">
        <v>63</v>
      </c>
      <c r="G2434" s="2" t="s">
        <v>22</v>
      </c>
      <c r="H2434" s="2" t="s">
        <v>23</v>
      </c>
      <c r="I2434" s="2" t="s">
        <v>116</v>
      </c>
      <c r="J2434" s="2">
        <v>1</v>
      </c>
      <c r="K2434" s="2" t="s">
        <v>24</v>
      </c>
      <c r="L2434" s="2">
        <v>1846</v>
      </c>
      <c r="M2434" s="2" t="s">
        <v>134</v>
      </c>
      <c r="N2434" s="2">
        <v>176</v>
      </c>
      <c r="O2434" s="2">
        <v>12378881.99</v>
      </c>
      <c r="P2434" s="2">
        <v>70334.559999999998</v>
      </c>
    </row>
    <row r="2435" spans="1:16" outlineLevel="1" x14ac:dyDescent="0.2">
      <c r="A2435" s="5"/>
      <c r="D2435" s="3" t="s">
        <v>774</v>
      </c>
      <c r="N2435" s="2">
        <f>SUBTOTAL(9,N2434:N2434)</f>
        <v>176</v>
      </c>
      <c r="O2435" s="2">
        <f>SUBTOTAL(9,O2434:O2434)</f>
        <v>12378881.99</v>
      </c>
      <c r="P2435" s="2">
        <f>+O2435/N2435</f>
        <v>70334.556761363638</v>
      </c>
    </row>
    <row r="2436" spans="1:16" outlineLevel="2" x14ac:dyDescent="0.2">
      <c r="A2436" s="5">
        <v>46118</v>
      </c>
      <c r="B2436" s="2">
        <v>158397</v>
      </c>
      <c r="C2436" s="2">
        <v>3</v>
      </c>
      <c r="D2436" s="2" t="s">
        <v>38</v>
      </c>
      <c r="E2436" s="2" t="s">
        <v>39</v>
      </c>
      <c r="F2436" s="2" t="s">
        <v>63</v>
      </c>
      <c r="G2436" s="2" t="s">
        <v>22</v>
      </c>
      <c r="H2436" s="2" t="s">
        <v>23</v>
      </c>
      <c r="I2436" s="2" t="s">
        <v>116</v>
      </c>
      <c r="J2436" s="2">
        <v>1</v>
      </c>
      <c r="K2436" s="2" t="s">
        <v>24</v>
      </c>
      <c r="L2436" s="2">
        <v>1846</v>
      </c>
      <c r="M2436" s="2" t="s">
        <v>134</v>
      </c>
      <c r="N2436" s="2">
        <v>352</v>
      </c>
      <c r="O2436" s="2">
        <v>27003836.27</v>
      </c>
      <c r="P2436" s="2">
        <v>76715.44</v>
      </c>
    </row>
    <row r="2437" spans="1:16" outlineLevel="2" x14ac:dyDescent="0.2">
      <c r="A2437" s="5">
        <v>46118</v>
      </c>
      <c r="B2437" s="2">
        <v>158397</v>
      </c>
      <c r="C2437" s="2">
        <v>4</v>
      </c>
      <c r="D2437" s="2" t="s">
        <v>38</v>
      </c>
      <c r="E2437" s="2" t="s">
        <v>39</v>
      </c>
      <c r="F2437" s="2" t="s">
        <v>63</v>
      </c>
      <c r="G2437" s="2" t="s">
        <v>22</v>
      </c>
      <c r="H2437" s="2" t="s">
        <v>23</v>
      </c>
      <c r="I2437" s="2" t="s">
        <v>135</v>
      </c>
      <c r="J2437" s="2">
        <v>1</v>
      </c>
      <c r="K2437" s="2" t="s">
        <v>24</v>
      </c>
      <c r="L2437" s="2">
        <v>1846</v>
      </c>
      <c r="M2437" s="2" t="s">
        <v>134</v>
      </c>
      <c r="N2437" s="2">
        <v>240</v>
      </c>
      <c r="O2437" s="2">
        <v>20128373.109999999</v>
      </c>
      <c r="P2437" s="2">
        <v>83868.22</v>
      </c>
    </row>
    <row r="2438" spans="1:16" outlineLevel="1" x14ac:dyDescent="0.2">
      <c r="A2438" s="5"/>
      <c r="D2438" s="3" t="s">
        <v>721</v>
      </c>
      <c r="N2438" s="2">
        <f>SUBTOTAL(9,N2436:N2437)</f>
        <v>592</v>
      </c>
      <c r="O2438" s="2">
        <f>SUBTOTAL(9,O2436:O2437)</f>
        <v>47132209.379999995</v>
      </c>
      <c r="P2438" s="2">
        <f>+O2438/N2438</f>
        <v>79615.218547297292</v>
      </c>
    </row>
    <row r="2439" spans="1:16" outlineLevel="2" x14ac:dyDescent="0.2">
      <c r="A2439" s="5">
        <v>46118</v>
      </c>
      <c r="B2439" s="2">
        <v>158397</v>
      </c>
      <c r="C2439" s="2">
        <v>5</v>
      </c>
      <c r="D2439" s="2" t="s">
        <v>444</v>
      </c>
      <c r="E2439" s="2" t="s">
        <v>39</v>
      </c>
      <c r="F2439" s="2" t="s">
        <v>63</v>
      </c>
      <c r="G2439" s="2" t="s">
        <v>22</v>
      </c>
      <c r="H2439" s="2" t="s">
        <v>23</v>
      </c>
      <c r="I2439" s="2" t="s">
        <v>135</v>
      </c>
      <c r="J2439" s="2">
        <v>1</v>
      </c>
      <c r="K2439" s="2" t="s">
        <v>24</v>
      </c>
      <c r="L2439" s="2">
        <v>1846</v>
      </c>
      <c r="M2439" s="2" t="s">
        <v>134</v>
      </c>
      <c r="N2439" s="2">
        <v>88</v>
      </c>
      <c r="O2439" s="2">
        <v>6525231.7199999997</v>
      </c>
      <c r="P2439" s="2">
        <v>74150.36</v>
      </c>
    </row>
    <row r="2440" spans="1:16" outlineLevel="1" x14ac:dyDescent="0.2">
      <c r="A2440" s="5"/>
      <c r="D2440" s="3" t="s">
        <v>774</v>
      </c>
      <c r="N2440" s="2">
        <f>SUBTOTAL(9,N2439:N2439)</f>
        <v>88</v>
      </c>
      <c r="O2440" s="2">
        <f>SUBTOTAL(9,O2439:O2439)</f>
        <v>6525231.7199999997</v>
      </c>
      <c r="P2440" s="2">
        <f>+O2440/N2440</f>
        <v>74150.360454545458</v>
      </c>
    </row>
    <row r="2441" spans="1:16" outlineLevel="2" x14ac:dyDescent="0.2">
      <c r="A2441" s="5">
        <v>46118</v>
      </c>
      <c r="B2441" s="2">
        <v>158397</v>
      </c>
      <c r="C2441" s="2">
        <v>6</v>
      </c>
      <c r="D2441" s="2" t="s">
        <v>38</v>
      </c>
      <c r="E2441" s="2" t="s">
        <v>39</v>
      </c>
      <c r="F2441" s="2" t="s">
        <v>63</v>
      </c>
      <c r="G2441" s="2" t="s">
        <v>22</v>
      </c>
      <c r="H2441" s="2" t="s">
        <v>23</v>
      </c>
      <c r="I2441" s="2" t="s">
        <v>133</v>
      </c>
      <c r="J2441" s="2">
        <v>1</v>
      </c>
      <c r="K2441" s="2" t="s">
        <v>24</v>
      </c>
      <c r="L2441" s="2">
        <v>1846</v>
      </c>
      <c r="M2441" s="2" t="s">
        <v>134</v>
      </c>
      <c r="N2441" s="2">
        <v>264</v>
      </c>
      <c r="O2441" s="2">
        <v>19056704.32</v>
      </c>
      <c r="P2441" s="2">
        <v>72184.490000000005</v>
      </c>
    </row>
    <row r="2442" spans="1:16" outlineLevel="1" x14ac:dyDescent="0.2">
      <c r="A2442" s="5"/>
      <c r="D2442" s="3" t="s">
        <v>721</v>
      </c>
      <c r="N2442" s="2">
        <f>SUBTOTAL(9,N2441:N2441)</f>
        <v>264</v>
      </c>
      <c r="O2442" s="2">
        <f>SUBTOTAL(9,O2441:O2441)</f>
        <v>19056704.32</v>
      </c>
      <c r="P2442" s="2">
        <f>+O2442/N2442</f>
        <v>72184.486060606068</v>
      </c>
    </row>
    <row r="2443" spans="1:16" outlineLevel="2" x14ac:dyDescent="0.2">
      <c r="A2443" s="5">
        <v>46122</v>
      </c>
      <c r="B2443" s="2">
        <v>158422</v>
      </c>
      <c r="C2443" s="2">
        <v>1</v>
      </c>
      <c r="D2443" s="2" t="s">
        <v>119</v>
      </c>
      <c r="E2443" s="2" t="s">
        <v>120</v>
      </c>
      <c r="F2443" s="2" t="s">
        <v>55</v>
      </c>
      <c r="G2443" s="2" t="s">
        <v>23</v>
      </c>
      <c r="H2443" s="2" t="s">
        <v>23</v>
      </c>
      <c r="I2443" s="2" t="s">
        <v>23</v>
      </c>
      <c r="J2443" s="2">
        <v>1</v>
      </c>
      <c r="K2443" s="2" t="s">
        <v>24</v>
      </c>
      <c r="L2443" s="2">
        <v>3000</v>
      </c>
      <c r="M2443" s="2" t="s">
        <v>467</v>
      </c>
      <c r="N2443" s="2">
        <v>59</v>
      </c>
      <c r="O2443" s="2">
        <v>1821056.48</v>
      </c>
      <c r="P2443" s="2">
        <v>30865.360000000001</v>
      </c>
    </row>
    <row r="2444" spans="1:16" outlineLevel="1" x14ac:dyDescent="0.2">
      <c r="A2444" s="5"/>
      <c r="D2444" s="3" t="s">
        <v>708</v>
      </c>
      <c r="N2444" s="2">
        <f>SUBTOTAL(9,N2443:N2443)</f>
        <v>59</v>
      </c>
      <c r="O2444" s="2">
        <f>SUBTOTAL(9,O2443:O2443)</f>
        <v>1821056.48</v>
      </c>
      <c r="P2444" s="2">
        <f>+O2444/N2444</f>
        <v>30865.36406779661</v>
      </c>
    </row>
    <row r="2445" spans="1:16" outlineLevel="2" x14ac:dyDescent="0.2">
      <c r="A2445" s="5">
        <v>46182</v>
      </c>
      <c r="B2445" s="2">
        <v>158425</v>
      </c>
      <c r="C2445" s="2">
        <v>1</v>
      </c>
      <c r="D2445" s="2" t="s">
        <v>140</v>
      </c>
      <c r="E2445" s="2" t="s">
        <v>23</v>
      </c>
      <c r="F2445" s="2" t="s">
        <v>23</v>
      </c>
      <c r="G2445" s="2" t="s">
        <v>22</v>
      </c>
      <c r="H2445" s="2" t="s">
        <v>23</v>
      </c>
      <c r="I2445" s="2" t="s">
        <v>23</v>
      </c>
      <c r="J2445" s="2">
        <v>1</v>
      </c>
      <c r="K2445" s="2" t="s">
        <v>24</v>
      </c>
      <c r="L2445" s="2">
        <v>1833</v>
      </c>
      <c r="M2445" s="2" t="s">
        <v>142</v>
      </c>
      <c r="N2445" s="2">
        <v>4</v>
      </c>
      <c r="O2445" s="2">
        <v>54798.32</v>
      </c>
      <c r="P2445" s="2">
        <v>13699.58</v>
      </c>
    </row>
    <row r="2446" spans="1:16" outlineLevel="1" x14ac:dyDescent="0.2">
      <c r="A2446" s="5"/>
      <c r="D2446" s="3" t="s">
        <v>696</v>
      </c>
      <c r="N2446" s="2">
        <f>SUBTOTAL(9,N2445:N2445)</f>
        <v>4</v>
      </c>
      <c r="O2446" s="2">
        <f>SUBTOTAL(9,O2445:O2445)</f>
        <v>54798.32</v>
      </c>
      <c r="P2446" s="2">
        <f>+O2446/N2446</f>
        <v>13699.58</v>
      </c>
    </row>
    <row r="2447" spans="1:16" outlineLevel="2" x14ac:dyDescent="0.2">
      <c r="A2447" s="5">
        <v>46118</v>
      </c>
      <c r="B2447" s="2">
        <v>158430</v>
      </c>
      <c r="C2447" s="2">
        <v>1</v>
      </c>
      <c r="D2447" s="2" t="s">
        <v>119</v>
      </c>
      <c r="E2447" s="2" t="s">
        <v>23</v>
      </c>
      <c r="F2447" s="2" t="s">
        <v>23</v>
      </c>
      <c r="G2447" s="2" t="s">
        <v>22</v>
      </c>
      <c r="H2447" s="2" t="s">
        <v>23</v>
      </c>
      <c r="I2447" s="2" t="s">
        <v>23</v>
      </c>
      <c r="J2447" s="2">
        <v>1</v>
      </c>
      <c r="K2447" s="2" t="s">
        <v>24</v>
      </c>
      <c r="L2447" s="2">
        <v>25218</v>
      </c>
      <c r="M2447" s="2" t="s">
        <v>468</v>
      </c>
      <c r="N2447" s="2">
        <v>1</v>
      </c>
      <c r="O2447" s="2">
        <v>7165.51</v>
      </c>
      <c r="P2447" s="2">
        <v>7165.51</v>
      </c>
    </row>
    <row r="2448" spans="1:16" outlineLevel="2" x14ac:dyDescent="0.2">
      <c r="A2448" s="5">
        <v>46118</v>
      </c>
      <c r="B2448" s="2">
        <v>158430</v>
      </c>
      <c r="C2448" s="2">
        <v>2</v>
      </c>
      <c r="D2448" s="2" t="s">
        <v>119</v>
      </c>
      <c r="E2448" s="2" t="s">
        <v>23</v>
      </c>
      <c r="F2448" s="2" t="s">
        <v>23</v>
      </c>
      <c r="G2448" s="2" t="s">
        <v>22</v>
      </c>
      <c r="H2448" s="2" t="s">
        <v>23</v>
      </c>
      <c r="I2448" s="2" t="s">
        <v>23</v>
      </c>
      <c r="J2448" s="2">
        <v>1</v>
      </c>
      <c r="K2448" s="2" t="s">
        <v>24</v>
      </c>
      <c r="L2448" s="2">
        <v>25218</v>
      </c>
      <c r="M2448" s="2" t="s">
        <v>468</v>
      </c>
      <c r="N2448" s="2">
        <v>2</v>
      </c>
      <c r="O2448" s="2">
        <v>31132.92</v>
      </c>
      <c r="P2448" s="2">
        <v>15566.46</v>
      </c>
    </row>
    <row r="2449" spans="1:16" outlineLevel="1" x14ac:dyDescent="0.2">
      <c r="A2449" s="5"/>
      <c r="D2449" s="3" t="s">
        <v>708</v>
      </c>
      <c r="N2449" s="2">
        <f>SUBTOTAL(9,N2447:N2448)</f>
        <v>3</v>
      </c>
      <c r="O2449" s="2">
        <f>SUBTOTAL(9,O2447:O2448)</f>
        <v>38298.43</v>
      </c>
      <c r="P2449" s="2">
        <f>+O2449/N2449</f>
        <v>12766.143333333333</v>
      </c>
    </row>
    <row r="2450" spans="1:16" outlineLevel="2" x14ac:dyDescent="0.2">
      <c r="A2450" s="5">
        <v>46120</v>
      </c>
      <c r="B2450" s="2">
        <v>158437</v>
      </c>
      <c r="C2450" s="2">
        <v>1</v>
      </c>
      <c r="D2450" s="2" t="s">
        <v>140</v>
      </c>
      <c r="E2450" s="2" t="s">
        <v>141</v>
      </c>
      <c r="F2450" s="2" t="s">
        <v>108</v>
      </c>
      <c r="G2450" s="2" t="s">
        <v>22</v>
      </c>
      <c r="H2450" s="2" t="s">
        <v>23</v>
      </c>
      <c r="I2450" s="2" t="s">
        <v>23</v>
      </c>
      <c r="J2450" s="2">
        <v>1</v>
      </c>
      <c r="K2450" s="2" t="s">
        <v>24</v>
      </c>
      <c r="L2450" s="2">
        <v>1833</v>
      </c>
      <c r="M2450" s="2" t="s">
        <v>142</v>
      </c>
      <c r="N2450" s="2">
        <v>20</v>
      </c>
      <c r="O2450" s="2">
        <v>563337.84</v>
      </c>
      <c r="P2450" s="2">
        <v>28166.89</v>
      </c>
    </row>
    <row r="2451" spans="1:16" outlineLevel="2" x14ac:dyDescent="0.2">
      <c r="A2451" s="5">
        <v>46120</v>
      </c>
      <c r="B2451" s="2">
        <v>158437</v>
      </c>
      <c r="C2451" s="2">
        <v>2</v>
      </c>
      <c r="D2451" s="2" t="s">
        <v>140</v>
      </c>
      <c r="E2451" s="2" t="s">
        <v>248</v>
      </c>
      <c r="F2451" s="2" t="s">
        <v>108</v>
      </c>
      <c r="G2451" s="2" t="s">
        <v>22</v>
      </c>
      <c r="H2451" s="2" t="s">
        <v>23</v>
      </c>
      <c r="I2451" s="2" t="s">
        <v>23</v>
      </c>
      <c r="J2451" s="2">
        <v>1</v>
      </c>
      <c r="K2451" s="2" t="s">
        <v>24</v>
      </c>
      <c r="L2451" s="2">
        <v>1833</v>
      </c>
      <c r="M2451" s="2" t="s">
        <v>142</v>
      </c>
      <c r="N2451" s="2">
        <v>7</v>
      </c>
      <c r="O2451" s="2">
        <v>63226.73</v>
      </c>
      <c r="P2451" s="2">
        <v>9032.39</v>
      </c>
    </row>
    <row r="2452" spans="1:16" outlineLevel="1" x14ac:dyDescent="0.2">
      <c r="A2452" s="5"/>
      <c r="D2452" s="3" t="s">
        <v>696</v>
      </c>
      <c r="N2452" s="2">
        <f>SUBTOTAL(9,N2450:N2451)</f>
        <v>27</v>
      </c>
      <c r="O2452" s="2">
        <f>SUBTOTAL(9,O2450:O2451)</f>
        <v>626564.56999999995</v>
      </c>
      <c r="P2452" s="2">
        <f>+O2452/N2452</f>
        <v>23206.095185185182</v>
      </c>
    </row>
    <row r="2453" spans="1:16" outlineLevel="2" x14ac:dyDescent="0.2">
      <c r="A2453" s="5">
        <v>46120</v>
      </c>
      <c r="B2453" s="2">
        <v>158438</v>
      </c>
      <c r="C2453" s="2">
        <v>1</v>
      </c>
      <c r="D2453" s="2" t="s">
        <v>226</v>
      </c>
      <c r="E2453" s="2" t="s">
        <v>227</v>
      </c>
      <c r="F2453" s="2" t="s">
        <v>47</v>
      </c>
      <c r="G2453" s="2" t="s">
        <v>22</v>
      </c>
      <c r="H2453" s="2" t="s">
        <v>23</v>
      </c>
      <c r="I2453" s="2" t="s">
        <v>23</v>
      </c>
      <c r="J2453" s="2">
        <v>41</v>
      </c>
      <c r="K2453" s="2" t="s">
        <v>129</v>
      </c>
      <c r="L2453" s="2">
        <v>1964</v>
      </c>
      <c r="M2453" s="2" t="s">
        <v>49</v>
      </c>
      <c r="N2453" s="2">
        <v>56</v>
      </c>
      <c r="O2453" s="2">
        <v>1394612.66</v>
      </c>
      <c r="P2453" s="2">
        <v>24903.8</v>
      </c>
    </row>
    <row r="2454" spans="1:16" outlineLevel="1" x14ac:dyDescent="0.2">
      <c r="A2454" s="5"/>
      <c r="D2454" s="3" t="s">
        <v>736</v>
      </c>
      <c r="N2454" s="2">
        <f>SUBTOTAL(9,N2453:N2453)</f>
        <v>56</v>
      </c>
      <c r="O2454" s="2">
        <f>SUBTOTAL(9,O2453:O2453)</f>
        <v>1394612.66</v>
      </c>
      <c r="P2454" s="2">
        <f>+O2454/N2454</f>
        <v>24903.797499999997</v>
      </c>
    </row>
    <row r="2455" spans="1:16" outlineLevel="2" x14ac:dyDescent="0.2">
      <c r="A2455" s="5">
        <v>46120</v>
      </c>
      <c r="B2455" s="2">
        <v>158438</v>
      </c>
      <c r="C2455" s="2">
        <v>2</v>
      </c>
      <c r="D2455" s="2" t="s">
        <v>45</v>
      </c>
      <c r="E2455" s="2" t="s">
        <v>227</v>
      </c>
      <c r="F2455" s="2" t="s">
        <v>47</v>
      </c>
      <c r="G2455" s="2" t="s">
        <v>22</v>
      </c>
      <c r="H2455" s="2" t="s">
        <v>23</v>
      </c>
      <c r="I2455" s="2" t="s">
        <v>23</v>
      </c>
      <c r="J2455" s="2">
        <v>41</v>
      </c>
      <c r="K2455" s="2" t="s">
        <v>129</v>
      </c>
      <c r="L2455" s="2">
        <v>1964</v>
      </c>
      <c r="M2455" s="2" t="s">
        <v>49</v>
      </c>
      <c r="N2455" s="2">
        <v>56</v>
      </c>
      <c r="O2455" s="2">
        <v>995869.03</v>
      </c>
      <c r="P2455" s="2">
        <v>17783.38</v>
      </c>
    </row>
    <row r="2456" spans="1:16" outlineLevel="1" x14ac:dyDescent="0.2">
      <c r="A2456" s="5"/>
      <c r="D2456" s="3" t="s">
        <v>733</v>
      </c>
      <c r="N2456" s="2">
        <f>SUBTOTAL(9,N2455:N2455)</f>
        <v>56</v>
      </c>
      <c r="O2456" s="2">
        <f>SUBTOTAL(9,O2455:O2455)</f>
        <v>995869.03</v>
      </c>
      <c r="P2456" s="2">
        <f>+O2456/N2456</f>
        <v>17783.375535714287</v>
      </c>
    </row>
    <row r="2457" spans="1:16" outlineLevel="2" x14ac:dyDescent="0.2">
      <c r="A2457" s="5">
        <v>46120</v>
      </c>
      <c r="B2457" s="2">
        <v>158439</v>
      </c>
      <c r="C2457" s="2">
        <v>1</v>
      </c>
      <c r="D2457" s="2" t="s">
        <v>203</v>
      </c>
      <c r="E2457" s="2" t="s">
        <v>238</v>
      </c>
      <c r="F2457" s="2" t="s">
        <v>47</v>
      </c>
      <c r="G2457" s="2" t="s">
        <v>22</v>
      </c>
      <c r="H2457" s="2" t="s">
        <v>23</v>
      </c>
      <c r="I2457" s="2" t="s">
        <v>23</v>
      </c>
      <c r="J2457" s="2">
        <v>2</v>
      </c>
      <c r="K2457" s="2" t="s">
        <v>48</v>
      </c>
      <c r="L2457" s="2">
        <v>2338</v>
      </c>
      <c r="M2457" s="2" t="s">
        <v>417</v>
      </c>
      <c r="N2457" s="2">
        <v>9</v>
      </c>
      <c r="O2457" s="2">
        <v>77557.75</v>
      </c>
      <c r="P2457" s="2">
        <v>8617.5300000000007</v>
      </c>
    </row>
    <row r="2458" spans="1:16" outlineLevel="1" x14ac:dyDescent="0.2">
      <c r="A2458" s="5"/>
      <c r="D2458" s="3" t="s">
        <v>735</v>
      </c>
      <c r="N2458" s="2">
        <f>SUBTOTAL(9,N2457:N2457)</f>
        <v>9</v>
      </c>
      <c r="O2458" s="2">
        <f>SUBTOTAL(9,O2457:O2457)</f>
        <v>77557.75</v>
      </c>
      <c r="P2458" s="2">
        <f>+O2458/N2458</f>
        <v>8617.5277777777774</v>
      </c>
    </row>
    <row r="2459" spans="1:16" outlineLevel="2" x14ac:dyDescent="0.2">
      <c r="A2459" s="5">
        <v>46120</v>
      </c>
      <c r="B2459" s="2">
        <v>158440</v>
      </c>
      <c r="C2459" s="2">
        <v>1</v>
      </c>
      <c r="D2459" s="2" t="s">
        <v>434</v>
      </c>
      <c r="E2459" s="2" t="s">
        <v>435</v>
      </c>
      <c r="F2459" s="2" t="s">
        <v>31</v>
      </c>
      <c r="G2459" s="2" t="s">
        <v>22</v>
      </c>
      <c r="H2459" s="2" t="s">
        <v>23</v>
      </c>
      <c r="I2459" s="2" t="s">
        <v>23</v>
      </c>
      <c r="J2459" s="2">
        <v>78</v>
      </c>
      <c r="K2459" s="2" t="s">
        <v>212</v>
      </c>
      <c r="L2459" s="2">
        <v>226</v>
      </c>
      <c r="M2459" s="2" t="s">
        <v>59</v>
      </c>
      <c r="N2459" s="2">
        <v>84</v>
      </c>
      <c r="O2459" s="2">
        <v>1981828.23</v>
      </c>
      <c r="P2459" s="2">
        <v>23593.19</v>
      </c>
    </row>
    <row r="2460" spans="1:16" outlineLevel="1" x14ac:dyDescent="0.2">
      <c r="A2460" s="5"/>
      <c r="D2460" s="3" t="s">
        <v>773</v>
      </c>
      <c r="N2460" s="2">
        <f>SUBTOTAL(9,N2459:N2459)</f>
        <v>84</v>
      </c>
      <c r="O2460" s="2">
        <f>SUBTOTAL(9,O2459:O2459)</f>
        <v>1981828.23</v>
      </c>
      <c r="P2460" s="2">
        <f>+O2460/N2460</f>
        <v>23593.193214285715</v>
      </c>
    </row>
    <row r="2461" spans="1:16" outlineLevel="2" x14ac:dyDescent="0.2">
      <c r="A2461" s="5">
        <v>46120</v>
      </c>
      <c r="B2461" s="2">
        <v>158440</v>
      </c>
      <c r="C2461" s="2">
        <v>2</v>
      </c>
      <c r="D2461" s="2" t="s">
        <v>60</v>
      </c>
      <c r="E2461" s="2" t="s">
        <v>346</v>
      </c>
      <c r="F2461" s="2" t="s">
        <v>31</v>
      </c>
      <c r="G2461" s="2" t="s">
        <v>22</v>
      </c>
      <c r="H2461" s="2" t="s">
        <v>23</v>
      </c>
      <c r="I2461" s="2" t="s">
        <v>23</v>
      </c>
      <c r="J2461" s="2">
        <v>78</v>
      </c>
      <c r="K2461" s="2" t="s">
        <v>212</v>
      </c>
      <c r="L2461" s="2">
        <v>226</v>
      </c>
      <c r="M2461" s="2" t="s">
        <v>59</v>
      </c>
      <c r="N2461" s="2">
        <v>91</v>
      </c>
      <c r="O2461" s="2">
        <v>1927935.76</v>
      </c>
      <c r="P2461" s="2">
        <v>21186.11</v>
      </c>
    </row>
    <row r="2462" spans="1:16" outlineLevel="1" x14ac:dyDescent="0.2">
      <c r="A2462" s="5"/>
      <c r="D2462" s="3" t="s">
        <v>728</v>
      </c>
      <c r="N2462" s="2">
        <f>SUBTOTAL(9,N2461:N2461)</f>
        <v>91</v>
      </c>
      <c r="O2462" s="2">
        <f>SUBTOTAL(9,O2461:O2461)</f>
        <v>1927935.76</v>
      </c>
      <c r="P2462" s="2">
        <f>+O2462/N2462</f>
        <v>21186.107252747253</v>
      </c>
    </row>
    <row r="2463" spans="1:16" outlineLevel="2" x14ac:dyDescent="0.2">
      <c r="A2463" s="5">
        <v>46120</v>
      </c>
      <c r="B2463" s="2">
        <v>158441</v>
      </c>
      <c r="C2463" s="2">
        <v>1</v>
      </c>
      <c r="D2463" s="2" t="s">
        <v>207</v>
      </c>
      <c r="E2463" s="2" t="s">
        <v>23</v>
      </c>
      <c r="F2463" s="2" t="s">
        <v>47</v>
      </c>
      <c r="G2463" s="2" t="s">
        <v>22</v>
      </c>
      <c r="H2463" s="2" t="s">
        <v>208</v>
      </c>
      <c r="I2463" s="2" t="s">
        <v>23</v>
      </c>
      <c r="J2463" s="2">
        <v>41</v>
      </c>
      <c r="K2463" s="2" t="s">
        <v>129</v>
      </c>
      <c r="L2463" s="2">
        <v>25213</v>
      </c>
      <c r="M2463" s="2" t="s">
        <v>130</v>
      </c>
      <c r="N2463" s="2">
        <v>30</v>
      </c>
      <c r="O2463" s="2">
        <v>107713.11</v>
      </c>
      <c r="P2463" s="2">
        <v>3590.44</v>
      </c>
    </row>
    <row r="2464" spans="1:16" outlineLevel="2" x14ac:dyDescent="0.2">
      <c r="A2464" s="5">
        <v>46120</v>
      </c>
      <c r="B2464" s="2">
        <v>158441</v>
      </c>
      <c r="C2464" s="2">
        <v>2</v>
      </c>
      <c r="D2464" s="2" t="s">
        <v>207</v>
      </c>
      <c r="E2464" s="2" t="s">
        <v>23</v>
      </c>
      <c r="F2464" s="2" t="s">
        <v>47</v>
      </c>
      <c r="G2464" s="2" t="s">
        <v>22</v>
      </c>
      <c r="H2464" s="2" t="s">
        <v>209</v>
      </c>
      <c r="I2464" s="2" t="s">
        <v>23</v>
      </c>
      <c r="J2464" s="2">
        <v>41</v>
      </c>
      <c r="K2464" s="2" t="s">
        <v>129</v>
      </c>
      <c r="L2464" s="2">
        <v>25213</v>
      </c>
      <c r="M2464" s="2" t="s">
        <v>130</v>
      </c>
      <c r="N2464" s="2">
        <v>25</v>
      </c>
      <c r="O2464" s="2">
        <v>85793.75</v>
      </c>
      <c r="P2464" s="2">
        <v>3431.75</v>
      </c>
    </row>
    <row r="2465" spans="1:16" outlineLevel="1" x14ac:dyDescent="0.2">
      <c r="A2465" s="5"/>
      <c r="D2465" s="3" t="s">
        <v>699</v>
      </c>
      <c r="N2465" s="2">
        <f>SUBTOTAL(9,N2463:N2464)</f>
        <v>55</v>
      </c>
      <c r="O2465" s="2">
        <f>SUBTOTAL(9,O2463:O2464)</f>
        <v>193506.86</v>
      </c>
      <c r="P2465" s="2">
        <f>+O2465/N2465</f>
        <v>3518.3065454545454</v>
      </c>
    </row>
    <row r="2466" spans="1:16" outlineLevel="2" x14ac:dyDescent="0.2">
      <c r="A2466" s="5">
        <v>46120</v>
      </c>
      <c r="B2466" s="2">
        <v>158441</v>
      </c>
      <c r="C2466" s="2">
        <v>3</v>
      </c>
      <c r="D2466" s="2" t="s">
        <v>128</v>
      </c>
      <c r="E2466" s="2" t="s">
        <v>23</v>
      </c>
      <c r="F2466" s="2" t="s">
        <v>47</v>
      </c>
      <c r="G2466" s="2" t="s">
        <v>22</v>
      </c>
      <c r="H2466" s="2" t="s">
        <v>23</v>
      </c>
      <c r="I2466" s="2" t="s">
        <v>23</v>
      </c>
      <c r="J2466" s="2">
        <v>41</v>
      </c>
      <c r="K2466" s="2" t="s">
        <v>129</v>
      </c>
      <c r="L2466" s="2">
        <v>25213</v>
      </c>
      <c r="M2466" s="2" t="s">
        <v>130</v>
      </c>
      <c r="N2466" s="2">
        <v>50</v>
      </c>
      <c r="O2466" s="2">
        <v>184935.88</v>
      </c>
      <c r="P2466" s="2">
        <v>3698.72</v>
      </c>
    </row>
    <row r="2467" spans="1:16" outlineLevel="2" x14ac:dyDescent="0.2">
      <c r="A2467" s="5">
        <v>46120</v>
      </c>
      <c r="B2467" s="2">
        <v>158441</v>
      </c>
      <c r="C2467" s="2">
        <v>4</v>
      </c>
      <c r="D2467" s="2" t="s">
        <v>128</v>
      </c>
      <c r="E2467" s="2" t="s">
        <v>23</v>
      </c>
      <c r="F2467" s="2" t="s">
        <v>47</v>
      </c>
      <c r="G2467" s="2" t="s">
        <v>22</v>
      </c>
      <c r="H2467" s="2" t="s">
        <v>23</v>
      </c>
      <c r="I2467" s="2" t="s">
        <v>23</v>
      </c>
      <c r="J2467" s="2">
        <v>1</v>
      </c>
      <c r="K2467" s="2" t="s">
        <v>24</v>
      </c>
      <c r="L2467" s="2">
        <v>25213</v>
      </c>
      <c r="M2467" s="2" t="s">
        <v>130</v>
      </c>
      <c r="N2467" s="2">
        <v>5</v>
      </c>
      <c r="O2467" s="2">
        <v>434094.83</v>
      </c>
      <c r="P2467" s="2">
        <v>86818.97</v>
      </c>
    </row>
    <row r="2468" spans="1:16" outlineLevel="1" x14ac:dyDescent="0.2">
      <c r="A2468" s="5"/>
      <c r="D2468" s="3" t="s">
        <v>732</v>
      </c>
      <c r="N2468" s="2">
        <f>SUBTOTAL(9,N2466:N2467)</f>
        <v>55</v>
      </c>
      <c r="O2468" s="2">
        <f>SUBTOTAL(9,O2466:O2467)</f>
        <v>619030.71</v>
      </c>
      <c r="P2468" s="2">
        <f>+O2468/N2468</f>
        <v>11255.103818181817</v>
      </c>
    </row>
    <row r="2469" spans="1:16" outlineLevel="2" x14ac:dyDescent="0.2">
      <c r="A2469" s="5">
        <v>46120</v>
      </c>
      <c r="B2469" s="2">
        <v>158441</v>
      </c>
      <c r="C2469" s="2">
        <v>200</v>
      </c>
      <c r="D2469" s="2" t="s">
        <v>207</v>
      </c>
      <c r="E2469" s="2" t="s">
        <v>23</v>
      </c>
      <c r="F2469" s="2" t="s">
        <v>47</v>
      </c>
      <c r="G2469" s="2" t="s">
        <v>22</v>
      </c>
      <c r="H2469" s="2" t="s">
        <v>23</v>
      </c>
      <c r="I2469" s="2" t="s">
        <v>23</v>
      </c>
      <c r="J2469" s="2">
        <v>1</v>
      </c>
      <c r="K2469" s="2" t="s">
        <v>24</v>
      </c>
      <c r="L2469" s="2">
        <v>25213</v>
      </c>
      <c r="M2469" s="2" t="s">
        <v>130</v>
      </c>
      <c r="N2469" s="2">
        <v>1</v>
      </c>
      <c r="O2469" s="2">
        <v>27701.17</v>
      </c>
      <c r="P2469" s="2">
        <v>27701.17</v>
      </c>
    </row>
    <row r="2470" spans="1:16" outlineLevel="1" x14ac:dyDescent="0.2">
      <c r="A2470" s="5"/>
      <c r="D2470" s="3" t="s">
        <v>699</v>
      </c>
      <c r="N2470" s="2">
        <f>SUBTOTAL(9,N2469:N2469)</f>
        <v>1</v>
      </c>
      <c r="O2470" s="2">
        <f>SUBTOTAL(9,O2469:O2469)</f>
        <v>27701.17</v>
      </c>
      <c r="P2470" s="2">
        <f>+O2470/N2470</f>
        <v>27701.17</v>
      </c>
    </row>
    <row r="2471" spans="1:16" outlineLevel="2" x14ac:dyDescent="0.2">
      <c r="A2471" s="5">
        <v>46120</v>
      </c>
      <c r="B2471" s="2">
        <v>158442</v>
      </c>
      <c r="C2471" s="2">
        <v>1</v>
      </c>
      <c r="D2471" s="2" t="s">
        <v>404</v>
      </c>
      <c r="E2471" s="2" t="s">
        <v>23</v>
      </c>
      <c r="F2471" s="2" t="s">
        <v>289</v>
      </c>
      <c r="G2471" s="2" t="s">
        <v>22</v>
      </c>
      <c r="H2471" s="2" t="s">
        <v>23</v>
      </c>
      <c r="I2471" s="2" t="s">
        <v>23</v>
      </c>
      <c r="J2471" s="2">
        <v>1</v>
      </c>
      <c r="K2471" s="2" t="s">
        <v>24</v>
      </c>
      <c r="L2471" s="2">
        <v>25072</v>
      </c>
      <c r="M2471" s="2" t="s">
        <v>449</v>
      </c>
      <c r="N2471" s="2">
        <v>24</v>
      </c>
      <c r="O2471" s="2">
        <v>631224.24</v>
      </c>
      <c r="P2471" s="2">
        <v>26301.01</v>
      </c>
    </row>
    <row r="2472" spans="1:16" outlineLevel="1" x14ac:dyDescent="0.2">
      <c r="A2472" s="5"/>
      <c r="D2472" s="3" t="s">
        <v>769</v>
      </c>
      <c r="N2472" s="2">
        <f>SUBTOTAL(9,N2471:N2471)</f>
        <v>24</v>
      </c>
      <c r="O2472" s="2">
        <f>SUBTOTAL(9,O2471:O2471)</f>
        <v>631224.24</v>
      </c>
      <c r="P2472" s="2">
        <f>+O2472/N2472</f>
        <v>26301.01</v>
      </c>
    </row>
    <row r="2473" spans="1:16" outlineLevel="2" x14ac:dyDescent="0.2">
      <c r="A2473" s="5">
        <v>46148</v>
      </c>
      <c r="B2473" s="2">
        <v>158451</v>
      </c>
      <c r="C2473" s="2">
        <v>315</v>
      </c>
      <c r="D2473" s="2" t="s">
        <v>54</v>
      </c>
      <c r="E2473" s="2" t="s">
        <v>30</v>
      </c>
      <c r="F2473" s="2" t="s">
        <v>55</v>
      </c>
      <c r="G2473" s="2" t="s">
        <v>23</v>
      </c>
      <c r="H2473" s="2" t="s">
        <v>23</v>
      </c>
      <c r="I2473" s="2" t="s">
        <v>23</v>
      </c>
      <c r="J2473" s="2">
        <v>2</v>
      </c>
      <c r="K2473" s="2" t="s">
        <v>48</v>
      </c>
      <c r="L2473" s="2">
        <v>626</v>
      </c>
      <c r="M2473" s="2" t="s">
        <v>49</v>
      </c>
      <c r="N2473" s="2">
        <v>11</v>
      </c>
      <c r="O2473" s="2">
        <v>73219.960000000006</v>
      </c>
      <c r="P2473" s="2">
        <v>6656.36</v>
      </c>
    </row>
    <row r="2474" spans="1:16" outlineLevel="1" x14ac:dyDescent="0.2">
      <c r="A2474" s="5"/>
      <c r="D2474" s="3" t="s">
        <v>719</v>
      </c>
      <c r="N2474" s="2">
        <f>SUBTOTAL(9,N2473:N2473)</f>
        <v>11</v>
      </c>
      <c r="O2474" s="2">
        <f>SUBTOTAL(9,O2473:O2473)</f>
        <v>73219.960000000006</v>
      </c>
      <c r="P2474" s="2">
        <f>+O2474/N2474</f>
        <v>6656.3600000000006</v>
      </c>
    </row>
    <row r="2475" spans="1:16" outlineLevel="2" x14ac:dyDescent="0.2">
      <c r="A2475" s="5">
        <v>46125</v>
      </c>
      <c r="B2475" s="2">
        <v>158455</v>
      </c>
      <c r="C2475" s="2">
        <v>1</v>
      </c>
      <c r="D2475" s="2" t="s">
        <v>38</v>
      </c>
      <c r="E2475" s="2" t="s">
        <v>39</v>
      </c>
      <c r="F2475" s="2" t="s">
        <v>63</v>
      </c>
      <c r="G2475" s="2" t="s">
        <v>22</v>
      </c>
      <c r="H2475" s="2" t="s">
        <v>23</v>
      </c>
      <c r="I2475" s="2" t="s">
        <v>243</v>
      </c>
      <c r="J2475" s="2">
        <v>1</v>
      </c>
      <c r="K2475" s="2" t="s">
        <v>24</v>
      </c>
      <c r="L2475" s="2">
        <v>1846</v>
      </c>
      <c r="M2475" s="2" t="s">
        <v>134</v>
      </c>
      <c r="N2475" s="2">
        <v>96</v>
      </c>
      <c r="O2475" s="2">
        <v>7499192.96</v>
      </c>
      <c r="P2475" s="2">
        <v>78116.59</v>
      </c>
    </row>
    <row r="2476" spans="1:16" outlineLevel="1" x14ac:dyDescent="0.2">
      <c r="A2476" s="5"/>
      <c r="D2476" s="3" t="s">
        <v>721</v>
      </c>
      <c r="N2476" s="2">
        <f>SUBTOTAL(9,N2475:N2475)</f>
        <v>96</v>
      </c>
      <c r="O2476" s="2">
        <f>SUBTOTAL(9,O2475:O2475)</f>
        <v>7499192.96</v>
      </c>
      <c r="P2476" s="2">
        <f>+O2476/N2476</f>
        <v>78116.593333333338</v>
      </c>
    </row>
    <row r="2477" spans="1:16" outlineLevel="2" x14ac:dyDescent="0.2">
      <c r="A2477" s="5">
        <v>46122</v>
      </c>
      <c r="B2477" s="2">
        <v>158455</v>
      </c>
      <c r="C2477" s="2">
        <v>2</v>
      </c>
      <c r="D2477" s="2" t="s">
        <v>444</v>
      </c>
      <c r="E2477" s="2" t="s">
        <v>39</v>
      </c>
      <c r="F2477" s="2" t="s">
        <v>63</v>
      </c>
      <c r="G2477" s="2" t="s">
        <v>22</v>
      </c>
      <c r="H2477" s="2" t="s">
        <v>23</v>
      </c>
      <c r="I2477" s="2" t="s">
        <v>243</v>
      </c>
      <c r="J2477" s="2">
        <v>1</v>
      </c>
      <c r="K2477" s="2" t="s">
        <v>24</v>
      </c>
      <c r="L2477" s="2">
        <v>1846</v>
      </c>
      <c r="M2477" s="2" t="s">
        <v>134</v>
      </c>
      <c r="N2477" s="2">
        <v>88</v>
      </c>
      <c r="O2477" s="2">
        <v>6090825.9500000002</v>
      </c>
      <c r="P2477" s="2">
        <v>69213.929999999993</v>
      </c>
    </row>
    <row r="2478" spans="1:16" outlineLevel="1" x14ac:dyDescent="0.2">
      <c r="A2478" s="5"/>
      <c r="D2478" s="3" t="s">
        <v>774</v>
      </c>
      <c r="N2478" s="2">
        <f>SUBTOTAL(9,N2477:N2477)</f>
        <v>88</v>
      </c>
      <c r="O2478" s="2">
        <f>SUBTOTAL(9,O2477:O2477)</f>
        <v>6090825.9500000002</v>
      </c>
      <c r="P2478" s="2">
        <f>+O2478/N2478</f>
        <v>69213.931250000009</v>
      </c>
    </row>
    <row r="2479" spans="1:16" outlineLevel="2" x14ac:dyDescent="0.2">
      <c r="A2479" s="5">
        <v>46125</v>
      </c>
      <c r="B2479" s="2">
        <v>158455</v>
      </c>
      <c r="C2479" s="2">
        <v>3</v>
      </c>
      <c r="D2479" s="2" t="s">
        <v>38</v>
      </c>
      <c r="E2479" s="2" t="s">
        <v>39</v>
      </c>
      <c r="F2479" s="2" t="s">
        <v>63</v>
      </c>
      <c r="G2479" s="2" t="s">
        <v>22</v>
      </c>
      <c r="H2479" s="2" t="s">
        <v>23</v>
      </c>
      <c r="I2479" s="2" t="s">
        <v>116</v>
      </c>
      <c r="J2479" s="2">
        <v>1</v>
      </c>
      <c r="K2479" s="2" t="s">
        <v>24</v>
      </c>
      <c r="L2479" s="2">
        <v>1846</v>
      </c>
      <c r="M2479" s="2" t="s">
        <v>134</v>
      </c>
      <c r="N2479" s="2">
        <v>275</v>
      </c>
      <c r="O2479" s="2">
        <v>22516301.559999999</v>
      </c>
      <c r="P2479" s="2">
        <v>81877.460000000006</v>
      </c>
    </row>
    <row r="2480" spans="1:16" outlineLevel="1" x14ac:dyDescent="0.2">
      <c r="A2480" s="5"/>
      <c r="D2480" s="3" t="s">
        <v>721</v>
      </c>
      <c r="N2480" s="2">
        <f>SUBTOTAL(9,N2479:N2479)</f>
        <v>275</v>
      </c>
      <c r="O2480" s="2">
        <f>SUBTOTAL(9,O2479:O2479)</f>
        <v>22516301.559999999</v>
      </c>
      <c r="P2480" s="2">
        <f>+O2480/N2480</f>
        <v>81877.460218181819</v>
      </c>
    </row>
    <row r="2481" spans="1:16" outlineLevel="2" x14ac:dyDescent="0.2">
      <c r="A2481" s="5">
        <v>46122</v>
      </c>
      <c r="B2481" s="2">
        <v>158455</v>
      </c>
      <c r="C2481" s="2">
        <v>4</v>
      </c>
      <c r="D2481" s="2" t="s">
        <v>444</v>
      </c>
      <c r="E2481" s="2" t="s">
        <v>39</v>
      </c>
      <c r="F2481" s="2" t="s">
        <v>63</v>
      </c>
      <c r="G2481" s="2" t="s">
        <v>22</v>
      </c>
      <c r="H2481" s="2" t="s">
        <v>23</v>
      </c>
      <c r="I2481" s="2" t="s">
        <v>116</v>
      </c>
      <c r="J2481" s="2">
        <v>1</v>
      </c>
      <c r="K2481" s="2" t="s">
        <v>24</v>
      </c>
      <c r="L2481" s="2">
        <v>1846</v>
      </c>
      <c r="M2481" s="2" t="s">
        <v>134</v>
      </c>
      <c r="N2481" s="2">
        <v>176</v>
      </c>
      <c r="O2481" s="2">
        <v>12438763.109999999</v>
      </c>
      <c r="P2481" s="2">
        <v>70674.789999999994</v>
      </c>
    </row>
    <row r="2482" spans="1:16" outlineLevel="1" x14ac:dyDescent="0.2">
      <c r="A2482" s="5"/>
      <c r="D2482" s="3" t="s">
        <v>774</v>
      </c>
      <c r="N2482" s="2">
        <f>SUBTOTAL(9,N2481:N2481)</f>
        <v>176</v>
      </c>
      <c r="O2482" s="2">
        <f>SUBTOTAL(9,O2481:O2481)</f>
        <v>12438763.109999999</v>
      </c>
      <c r="P2482" s="2">
        <f>+O2482/N2482</f>
        <v>70674.790397727265</v>
      </c>
    </row>
    <row r="2483" spans="1:16" outlineLevel="2" x14ac:dyDescent="0.2">
      <c r="A2483" s="5">
        <v>46120</v>
      </c>
      <c r="B2483" s="2">
        <v>158455</v>
      </c>
      <c r="C2483" s="2">
        <v>5</v>
      </c>
      <c r="D2483" s="2" t="s">
        <v>38</v>
      </c>
      <c r="E2483" s="2" t="s">
        <v>39</v>
      </c>
      <c r="F2483" s="2" t="s">
        <v>63</v>
      </c>
      <c r="G2483" s="2" t="s">
        <v>22</v>
      </c>
      <c r="H2483" s="2" t="s">
        <v>23</v>
      </c>
      <c r="I2483" s="2" t="s">
        <v>135</v>
      </c>
      <c r="J2483" s="2">
        <v>1</v>
      </c>
      <c r="K2483" s="2" t="s">
        <v>24</v>
      </c>
      <c r="L2483" s="2">
        <v>1846</v>
      </c>
      <c r="M2483" s="2" t="s">
        <v>134</v>
      </c>
      <c r="N2483" s="2">
        <v>176</v>
      </c>
      <c r="O2483" s="2">
        <v>14686012.83</v>
      </c>
      <c r="P2483" s="2">
        <v>83443.25</v>
      </c>
    </row>
    <row r="2484" spans="1:16" outlineLevel="2" x14ac:dyDescent="0.2">
      <c r="A2484" s="5">
        <v>46120</v>
      </c>
      <c r="B2484" s="2">
        <v>158455</v>
      </c>
      <c r="C2484" s="2">
        <v>6</v>
      </c>
      <c r="D2484" s="2" t="s">
        <v>38</v>
      </c>
      <c r="E2484" s="2" t="s">
        <v>39</v>
      </c>
      <c r="F2484" s="2" t="s">
        <v>63</v>
      </c>
      <c r="G2484" s="2" t="s">
        <v>22</v>
      </c>
      <c r="H2484" s="2" t="s">
        <v>23</v>
      </c>
      <c r="I2484" s="2" t="s">
        <v>133</v>
      </c>
      <c r="J2484" s="2">
        <v>1</v>
      </c>
      <c r="K2484" s="2" t="s">
        <v>24</v>
      </c>
      <c r="L2484" s="2">
        <v>1846</v>
      </c>
      <c r="M2484" s="2" t="s">
        <v>134</v>
      </c>
      <c r="N2484" s="2">
        <v>141</v>
      </c>
      <c r="O2484" s="2">
        <v>9368651.4800000004</v>
      </c>
      <c r="P2484" s="2">
        <v>66444.34</v>
      </c>
    </row>
    <row r="2485" spans="1:16" outlineLevel="2" x14ac:dyDescent="0.2">
      <c r="A2485" s="5">
        <v>46122</v>
      </c>
      <c r="B2485" s="2">
        <v>158456</v>
      </c>
      <c r="C2485" s="2">
        <v>1</v>
      </c>
      <c r="D2485" s="2" t="s">
        <v>38</v>
      </c>
      <c r="E2485" s="2" t="s">
        <v>39</v>
      </c>
      <c r="F2485" s="2" t="s">
        <v>63</v>
      </c>
      <c r="G2485" s="2" t="s">
        <v>22</v>
      </c>
      <c r="H2485" s="2" t="s">
        <v>23</v>
      </c>
      <c r="I2485" s="2" t="s">
        <v>243</v>
      </c>
      <c r="J2485" s="2">
        <v>1</v>
      </c>
      <c r="K2485" s="2" t="s">
        <v>24</v>
      </c>
      <c r="L2485" s="2">
        <v>2586</v>
      </c>
      <c r="M2485" s="2" t="s">
        <v>65</v>
      </c>
      <c r="N2485" s="2">
        <v>176</v>
      </c>
      <c r="O2485" s="2">
        <v>12034882.060000001</v>
      </c>
      <c r="P2485" s="2">
        <v>68380.009999999995</v>
      </c>
    </row>
    <row r="2486" spans="1:16" outlineLevel="2" x14ac:dyDescent="0.2">
      <c r="A2486" s="5">
        <v>46122</v>
      </c>
      <c r="B2486" s="2">
        <v>158456</v>
      </c>
      <c r="C2486" s="2">
        <v>2</v>
      </c>
      <c r="D2486" s="2" t="s">
        <v>38</v>
      </c>
      <c r="E2486" s="2" t="s">
        <v>39</v>
      </c>
      <c r="F2486" s="2" t="s">
        <v>63</v>
      </c>
      <c r="G2486" s="2" t="s">
        <v>22</v>
      </c>
      <c r="H2486" s="2" t="s">
        <v>23</v>
      </c>
      <c r="I2486" s="2" t="s">
        <v>116</v>
      </c>
      <c r="J2486" s="2">
        <v>1</v>
      </c>
      <c r="K2486" s="2" t="s">
        <v>24</v>
      </c>
      <c r="L2486" s="2">
        <v>2586</v>
      </c>
      <c r="M2486" s="2" t="s">
        <v>65</v>
      </c>
      <c r="N2486" s="2">
        <v>307</v>
      </c>
      <c r="O2486" s="2">
        <v>21665331.940000001</v>
      </c>
      <c r="P2486" s="2">
        <v>70571.11</v>
      </c>
    </row>
    <row r="2487" spans="1:16" outlineLevel="2" x14ac:dyDescent="0.2">
      <c r="A2487" s="5">
        <v>46122</v>
      </c>
      <c r="B2487" s="2">
        <v>158456</v>
      </c>
      <c r="C2487" s="2">
        <v>3</v>
      </c>
      <c r="D2487" s="2" t="s">
        <v>38</v>
      </c>
      <c r="E2487" s="2" t="s">
        <v>39</v>
      </c>
      <c r="F2487" s="2" t="s">
        <v>63</v>
      </c>
      <c r="G2487" s="2" t="s">
        <v>22</v>
      </c>
      <c r="H2487" s="2" t="s">
        <v>23</v>
      </c>
      <c r="I2487" s="2" t="s">
        <v>135</v>
      </c>
      <c r="J2487" s="2">
        <v>1</v>
      </c>
      <c r="K2487" s="2" t="s">
        <v>24</v>
      </c>
      <c r="L2487" s="2">
        <v>2586</v>
      </c>
      <c r="M2487" s="2" t="s">
        <v>65</v>
      </c>
      <c r="N2487" s="2">
        <v>400</v>
      </c>
      <c r="O2487" s="2">
        <v>27195633.5</v>
      </c>
      <c r="P2487" s="2">
        <v>67989.08</v>
      </c>
    </row>
    <row r="2488" spans="1:16" outlineLevel="2" x14ac:dyDescent="0.2">
      <c r="A2488" s="5">
        <v>46122</v>
      </c>
      <c r="B2488" s="2">
        <v>158456</v>
      </c>
      <c r="C2488" s="2">
        <v>4</v>
      </c>
      <c r="D2488" s="2" t="s">
        <v>38</v>
      </c>
      <c r="E2488" s="2" t="s">
        <v>39</v>
      </c>
      <c r="F2488" s="2" t="s">
        <v>63</v>
      </c>
      <c r="G2488" s="2" t="s">
        <v>22</v>
      </c>
      <c r="H2488" s="2" t="s">
        <v>23</v>
      </c>
      <c r="I2488" s="2" t="s">
        <v>133</v>
      </c>
      <c r="J2488" s="2">
        <v>1</v>
      </c>
      <c r="K2488" s="2" t="s">
        <v>24</v>
      </c>
      <c r="L2488" s="2">
        <v>2586</v>
      </c>
      <c r="M2488" s="2" t="s">
        <v>65</v>
      </c>
      <c r="N2488" s="2">
        <v>444</v>
      </c>
      <c r="O2488" s="2">
        <v>19949100.18</v>
      </c>
      <c r="P2488" s="2">
        <v>44930.41</v>
      </c>
    </row>
    <row r="2489" spans="1:16" outlineLevel="2" x14ac:dyDescent="0.2">
      <c r="A2489" s="5">
        <v>46120</v>
      </c>
      <c r="B2489" s="2">
        <v>158456</v>
      </c>
      <c r="C2489" s="2">
        <v>5</v>
      </c>
      <c r="D2489" s="2" t="s">
        <v>38</v>
      </c>
      <c r="E2489" s="2" t="s">
        <v>39</v>
      </c>
      <c r="F2489" s="2" t="s">
        <v>63</v>
      </c>
      <c r="G2489" s="2" t="s">
        <v>22</v>
      </c>
      <c r="H2489" s="2" t="s">
        <v>23</v>
      </c>
      <c r="I2489" s="2" t="s">
        <v>23</v>
      </c>
      <c r="J2489" s="2">
        <v>124</v>
      </c>
      <c r="K2489" s="2" t="s">
        <v>155</v>
      </c>
      <c r="L2489" s="2">
        <v>2586</v>
      </c>
      <c r="M2489" s="2" t="s">
        <v>65</v>
      </c>
      <c r="N2489" s="2">
        <v>60</v>
      </c>
      <c r="O2489" s="2">
        <v>4497226.1500000004</v>
      </c>
      <c r="P2489" s="2">
        <v>74953.77</v>
      </c>
    </row>
    <row r="2490" spans="1:16" outlineLevel="1" x14ac:dyDescent="0.2">
      <c r="A2490" s="5"/>
      <c r="D2490" s="3" t="s">
        <v>721</v>
      </c>
      <c r="N2490" s="2">
        <f>SUBTOTAL(9,N2483:N2489)</f>
        <v>1704</v>
      </c>
      <c r="O2490" s="2">
        <f>SUBTOTAL(9,O2483:O2489)</f>
        <v>109396838.14000002</v>
      </c>
      <c r="P2490" s="2">
        <f>+O2490/N2490</f>
        <v>64200.022382629119</v>
      </c>
    </row>
    <row r="2491" spans="1:16" outlineLevel="2" x14ac:dyDescent="0.2">
      <c r="A2491" s="5">
        <v>46120</v>
      </c>
      <c r="B2491" s="2">
        <v>158493</v>
      </c>
      <c r="C2491" s="2">
        <v>1</v>
      </c>
      <c r="D2491" s="2" t="s">
        <v>19</v>
      </c>
      <c r="E2491" s="2" t="s">
        <v>20</v>
      </c>
      <c r="F2491" s="2" t="s">
        <v>21</v>
      </c>
      <c r="G2491" s="2" t="s">
        <v>23</v>
      </c>
      <c r="H2491" s="2" t="s">
        <v>23</v>
      </c>
      <c r="I2491" s="2" t="s">
        <v>23</v>
      </c>
      <c r="J2491" s="2">
        <v>1</v>
      </c>
      <c r="K2491" s="2" t="s">
        <v>24</v>
      </c>
      <c r="L2491" s="2">
        <v>25205</v>
      </c>
      <c r="M2491" s="2" t="s">
        <v>171</v>
      </c>
      <c r="N2491" s="2">
        <v>176</v>
      </c>
      <c r="O2491" s="2">
        <v>12376938.810000001</v>
      </c>
      <c r="P2491" s="2">
        <v>70323.520000000004</v>
      </c>
    </row>
    <row r="2492" spans="1:16" outlineLevel="2" x14ac:dyDescent="0.2">
      <c r="A2492" s="5">
        <v>46120</v>
      </c>
      <c r="B2492" s="2">
        <v>158493</v>
      </c>
      <c r="C2492" s="2">
        <v>2</v>
      </c>
      <c r="D2492" s="2" t="s">
        <v>19</v>
      </c>
      <c r="E2492" s="2" t="s">
        <v>20</v>
      </c>
      <c r="F2492" s="2" t="s">
        <v>21</v>
      </c>
      <c r="G2492" s="2" t="s">
        <v>22</v>
      </c>
      <c r="H2492" s="2" t="s">
        <v>23</v>
      </c>
      <c r="I2492" s="2" t="s">
        <v>23</v>
      </c>
      <c r="J2492" s="2">
        <v>1</v>
      </c>
      <c r="K2492" s="2" t="s">
        <v>24</v>
      </c>
      <c r="L2492" s="2">
        <v>25205</v>
      </c>
      <c r="M2492" s="2" t="s">
        <v>171</v>
      </c>
      <c r="N2492" s="2">
        <v>35</v>
      </c>
      <c r="O2492" s="2">
        <v>2478252.7999999998</v>
      </c>
      <c r="P2492" s="2">
        <v>70807.22</v>
      </c>
    </row>
    <row r="2493" spans="1:16" outlineLevel="2" x14ac:dyDescent="0.2">
      <c r="A2493" s="5">
        <v>46120</v>
      </c>
      <c r="B2493" s="2">
        <v>158493</v>
      </c>
      <c r="C2493" s="2">
        <v>3</v>
      </c>
      <c r="D2493" s="2" t="s">
        <v>19</v>
      </c>
      <c r="E2493" s="2" t="s">
        <v>20</v>
      </c>
      <c r="F2493" s="2" t="s">
        <v>21</v>
      </c>
      <c r="G2493" s="2" t="s">
        <v>22</v>
      </c>
      <c r="H2493" s="2" t="s">
        <v>23</v>
      </c>
      <c r="I2493" s="2" t="s">
        <v>23</v>
      </c>
      <c r="J2493" s="2">
        <v>1</v>
      </c>
      <c r="K2493" s="2" t="s">
        <v>24</v>
      </c>
      <c r="L2493" s="2">
        <v>25205</v>
      </c>
      <c r="M2493" s="2" t="s">
        <v>171</v>
      </c>
      <c r="N2493" s="2">
        <v>17</v>
      </c>
      <c r="O2493" s="2">
        <v>1202077.1200000001</v>
      </c>
      <c r="P2493" s="2">
        <v>70710.42</v>
      </c>
    </row>
    <row r="2494" spans="1:16" outlineLevel="1" x14ac:dyDescent="0.2">
      <c r="A2494" s="5"/>
      <c r="D2494" s="3" t="s">
        <v>704</v>
      </c>
      <c r="N2494" s="2">
        <f>SUBTOTAL(9,N2491:N2493)</f>
        <v>228</v>
      </c>
      <c r="O2494" s="2">
        <f>SUBTOTAL(9,O2491:O2493)</f>
        <v>16057268.73</v>
      </c>
      <c r="P2494" s="2">
        <f>+O2494/N2494</f>
        <v>70426.61723684211</v>
      </c>
    </row>
    <row r="2495" spans="1:16" outlineLevel="2" x14ac:dyDescent="0.2">
      <c r="A2495" s="5">
        <v>46134</v>
      </c>
      <c r="B2495" s="2">
        <v>158494</v>
      </c>
      <c r="C2495" s="2">
        <v>1</v>
      </c>
      <c r="D2495" s="2" t="s">
        <v>92</v>
      </c>
      <c r="E2495" s="2" t="s">
        <v>93</v>
      </c>
      <c r="F2495" s="2" t="s">
        <v>40</v>
      </c>
      <c r="G2495" s="2" t="s">
        <v>22</v>
      </c>
      <c r="H2495" s="2" t="s">
        <v>23</v>
      </c>
      <c r="I2495" s="2" t="s">
        <v>23</v>
      </c>
      <c r="J2495" s="2">
        <v>5</v>
      </c>
      <c r="K2495" s="2" t="s">
        <v>27</v>
      </c>
      <c r="L2495" s="2">
        <v>2521</v>
      </c>
      <c r="M2495" s="2" t="s">
        <v>82</v>
      </c>
      <c r="N2495" s="2">
        <v>87</v>
      </c>
      <c r="O2495" s="2">
        <v>1911504.91</v>
      </c>
      <c r="P2495" s="2">
        <v>21971.32</v>
      </c>
    </row>
    <row r="2496" spans="1:16" outlineLevel="1" x14ac:dyDescent="0.2">
      <c r="A2496" s="5"/>
      <c r="D2496" s="3" t="s">
        <v>702</v>
      </c>
      <c r="N2496" s="2">
        <f>SUBTOTAL(9,N2495:N2495)</f>
        <v>87</v>
      </c>
      <c r="O2496" s="2">
        <f>SUBTOTAL(9,O2495:O2495)</f>
        <v>1911504.91</v>
      </c>
      <c r="P2496" s="2">
        <f>+O2496/N2496</f>
        <v>21971.320804597701</v>
      </c>
    </row>
    <row r="2497" spans="1:16" outlineLevel="2" x14ac:dyDescent="0.2">
      <c r="A2497" s="5">
        <v>46122</v>
      </c>
      <c r="B2497" s="2">
        <v>158494</v>
      </c>
      <c r="C2497" s="2">
        <v>2</v>
      </c>
      <c r="D2497" s="2" t="s">
        <v>175</v>
      </c>
      <c r="E2497" s="2" t="s">
        <v>469</v>
      </c>
      <c r="F2497" s="2" t="s">
        <v>40</v>
      </c>
      <c r="G2497" s="2" t="s">
        <v>22</v>
      </c>
      <c r="H2497" s="2" t="s">
        <v>23</v>
      </c>
      <c r="I2497" s="2" t="s">
        <v>23</v>
      </c>
      <c r="J2497" s="2">
        <v>5</v>
      </c>
      <c r="K2497" s="2" t="s">
        <v>27</v>
      </c>
      <c r="L2497" s="2">
        <v>2521</v>
      </c>
      <c r="M2497" s="2" t="s">
        <v>82</v>
      </c>
      <c r="N2497" s="2">
        <v>90</v>
      </c>
      <c r="O2497" s="2">
        <v>2478170.2599999998</v>
      </c>
      <c r="P2497" s="2">
        <v>27535.23</v>
      </c>
    </row>
    <row r="2498" spans="1:16" outlineLevel="1" x14ac:dyDescent="0.2">
      <c r="A2498" s="5"/>
      <c r="D2498" s="3" t="s">
        <v>725</v>
      </c>
      <c r="N2498" s="2">
        <f>SUBTOTAL(9,N2497:N2497)</f>
        <v>90</v>
      </c>
      <c r="O2498" s="2">
        <f>SUBTOTAL(9,O2497:O2497)</f>
        <v>2478170.2599999998</v>
      </c>
      <c r="P2498" s="2">
        <f>+O2498/N2498</f>
        <v>27535.225111111107</v>
      </c>
    </row>
    <row r="2499" spans="1:16" outlineLevel="2" x14ac:dyDescent="0.2">
      <c r="A2499" s="5">
        <v>46141</v>
      </c>
      <c r="B2499" s="2">
        <v>158500</v>
      </c>
      <c r="C2499" s="2">
        <v>315</v>
      </c>
      <c r="D2499" s="2" t="s">
        <v>45</v>
      </c>
      <c r="E2499" s="2" t="s">
        <v>125</v>
      </c>
      <c r="F2499" s="2" t="s">
        <v>55</v>
      </c>
      <c r="G2499" s="2" t="s">
        <v>23</v>
      </c>
      <c r="H2499" s="2" t="s">
        <v>23</v>
      </c>
      <c r="I2499" s="2" t="s">
        <v>23</v>
      </c>
      <c r="J2499" s="2">
        <v>2</v>
      </c>
      <c r="K2499" s="2" t="s">
        <v>48</v>
      </c>
      <c r="L2499" s="2">
        <v>1964</v>
      </c>
      <c r="M2499" s="2" t="s">
        <v>49</v>
      </c>
      <c r="N2499" s="2">
        <v>13</v>
      </c>
      <c r="O2499" s="2">
        <v>102166.51</v>
      </c>
      <c r="P2499" s="2">
        <v>7858.96</v>
      </c>
    </row>
    <row r="2500" spans="1:16" outlineLevel="1" x14ac:dyDescent="0.2">
      <c r="A2500" s="5"/>
      <c r="D2500" s="3" t="s">
        <v>733</v>
      </c>
      <c r="N2500" s="2">
        <f>SUBTOTAL(9,N2499:N2499)</f>
        <v>13</v>
      </c>
      <c r="O2500" s="2">
        <f>SUBTOTAL(9,O2499:O2499)</f>
        <v>102166.51</v>
      </c>
      <c r="P2500" s="2">
        <f>+O2500/N2500</f>
        <v>7858.9623076923071</v>
      </c>
    </row>
    <row r="2501" spans="1:16" outlineLevel="2" x14ac:dyDescent="0.2">
      <c r="A2501" s="5">
        <v>46174</v>
      </c>
      <c r="B2501" s="2">
        <v>158501</v>
      </c>
      <c r="C2501" s="2">
        <v>315</v>
      </c>
      <c r="D2501" s="2" t="s">
        <v>26</v>
      </c>
      <c r="E2501" s="2" t="s">
        <v>51</v>
      </c>
      <c r="F2501" s="2" t="s">
        <v>55</v>
      </c>
      <c r="G2501" s="2" t="s">
        <v>55</v>
      </c>
      <c r="H2501" s="2" t="s">
        <v>23</v>
      </c>
      <c r="I2501" s="2" t="s">
        <v>23</v>
      </c>
      <c r="J2501" s="2">
        <v>5</v>
      </c>
      <c r="K2501" s="2" t="s">
        <v>27</v>
      </c>
      <c r="L2501" s="2">
        <v>25114</v>
      </c>
      <c r="M2501" s="2" t="s">
        <v>278</v>
      </c>
      <c r="N2501" s="2">
        <v>21</v>
      </c>
      <c r="O2501" s="2">
        <v>94469.31</v>
      </c>
      <c r="P2501" s="2">
        <v>4498.54</v>
      </c>
    </row>
    <row r="2502" spans="1:16" outlineLevel="1" x14ac:dyDescent="0.2">
      <c r="A2502" s="5"/>
      <c r="D2502" s="3" t="s">
        <v>711</v>
      </c>
      <c r="N2502" s="2">
        <f>SUBTOTAL(9,N2501:N2501)</f>
        <v>21</v>
      </c>
      <c r="O2502" s="2">
        <f>SUBTOTAL(9,O2501:O2501)</f>
        <v>94469.31</v>
      </c>
      <c r="P2502" s="2">
        <f>+O2502/N2502</f>
        <v>4498.5385714285712</v>
      </c>
    </row>
    <row r="2503" spans="1:16" outlineLevel="2" x14ac:dyDescent="0.2">
      <c r="A2503" s="5">
        <v>46122</v>
      </c>
      <c r="B2503" s="2">
        <v>158502</v>
      </c>
      <c r="C2503" s="2">
        <v>1</v>
      </c>
      <c r="D2503" s="2" t="s">
        <v>83</v>
      </c>
      <c r="E2503" s="2" t="s">
        <v>84</v>
      </c>
      <c r="F2503" s="2" t="s">
        <v>31</v>
      </c>
      <c r="G2503" s="2" t="s">
        <v>22</v>
      </c>
      <c r="H2503" s="2" t="s">
        <v>23</v>
      </c>
      <c r="I2503" s="2" t="s">
        <v>23</v>
      </c>
      <c r="J2503" s="2">
        <v>1</v>
      </c>
      <c r="K2503" s="2" t="s">
        <v>24</v>
      </c>
      <c r="L2503" s="2">
        <v>2353</v>
      </c>
      <c r="M2503" s="2" t="s">
        <v>347</v>
      </c>
      <c r="N2503" s="2">
        <v>75</v>
      </c>
      <c r="O2503" s="2">
        <v>1103077.1299999999</v>
      </c>
      <c r="P2503" s="2">
        <v>14707.7</v>
      </c>
    </row>
    <row r="2504" spans="1:16" outlineLevel="1" x14ac:dyDescent="0.2">
      <c r="A2504" s="5"/>
      <c r="D2504" s="3" t="s">
        <v>701</v>
      </c>
      <c r="N2504" s="2">
        <f>SUBTOTAL(9,N2503:N2503)</f>
        <v>75</v>
      </c>
      <c r="O2504" s="2">
        <f>SUBTOTAL(9,O2503:O2503)</f>
        <v>1103077.1299999999</v>
      </c>
      <c r="P2504" s="2">
        <f>+O2504/N2504</f>
        <v>14707.695066666665</v>
      </c>
    </row>
    <row r="2505" spans="1:16" outlineLevel="2" x14ac:dyDescent="0.2">
      <c r="A2505" s="5">
        <v>46122</v>
      </c>
      <c r="B2505" s="2">
        <v>158519</v>
      </c>
      <c r="C2505" s="2">
        <v>1</v>
      </c>
      <c r="D2505" s="2" t="s">
        <v>60</v>
      </c>
      <c r="E2505" s="2" t="s">
        <v>346</v>
      </c>
      <c r="F2505" s="2" t="s">
        <v>31</v>
      </c>
      <c r="G2505" s="2" t="s">
        <v>22</v>
      </c>
      <c r="H2505" s="2" t="s">
        <v>23</v>
      </c>
      <c r="I2505" s="2" t="s">
        <v>23</v>
      </c>
      <c r="J2505" s="2">
        <v>78</v>
      </c>
      <c r="K2505" s="2" t="s">
        <v>212</v>
      </c>
      <c r="L2505" s="2">
        <v>226</v>
      </c>
      <c r="M2505" s="2" t="s">
        <v>59</v>
      </c>
      <c r="N2505" s="2">
        <v>41</v>
      </c>
      <c r="O2505" s="2">
        <v>888249.6</v>
      </c>
      <c r="P2505" s="2">
        <v>21664.62</v>
      </c>
    </row>
    <row r="2506" spans="1:16" outlineLevel="2" x14ac:dyDescent="0.2">
      <c r="A2506" s="5">
        <v>46122</v>
      </c>
      <c r="B2506" s="2">
        <v>158519</v>
      </c>
      <c r="C2506" s="2">
        <v>2</v>
      </c>
      <c r="D2506" s="2" t="s">
        <v>60</v>
      </c>
      <c r="E2506" s="2" t="s">
        <v>364</v>
      </c>
      <c r="F2506" s="2" t="s">
        <v>31</v>
      </c>
      <c r="G2506" s="2" t="s">
        <v>22</v>
      </c>
      <c r="H2506" s="2" t="s">
        <v>23</v>
      </c>
      <c r="I2506" s="2" t="s">
        <v>23</v>
      </c>
      <c r="J2506" s="2">
        <v>78</v>
      </c>
      <c r="K2506" s="2" t="s">
        <v>212</v>
      </c>
      <c r="L2506" s="2">
        <v>226</v>
      </c>
      <c r="M2506" s="2" t="s">
        <v>59</v>
      </c>
      <c r="N2506" s="2">
        <v>50</v>
      </c>
      <c r="O2506" s="2">
        <v>1115294.8400000001</v>
      </c>
      <c r="P2506" s="2">
        <v>22305.9</v>
      </c>
    </row>
    <row r="2507" spans="1:16" outlineLevel="1" x14ac:dyDescent="0.2">
      <c r="A2507" s="5"/>
      <c r="D2507" s="3" t="s">
        <v>728</v>
      </c>
      <c r="N2507" s="2">
        <f>SUBTOTAL(9,N2505:N2506)</f>
        <v>91</v>
      </c>
      <c r="O2507" s="2">
        <f>SUBTOTAL(9,O2505:O2506)</f>
        <v>2003544.44</v>
      </c>
      <c r="P2507" s="2">
        <f>+O2507/N2507</f>
        <v>22016.971868131866</v>
      </c>
    </row>
    <row r="2508" spans="1:16" outlineLevel="2" x14ac:dyDescent="0.2">
      <c r="A2508" s="5">
        <v>46122</v>
      </c>
      <c r="B2508" s="2">
        <v>158519</v>
      </c>
      <c r="C2508" s="2">
        <v>3</v>
      </c>
      <c r="D2508" s="2" t="s">
        <v>57</v>
      </c>
      <c r="E2508" s="2" t="s">
        <v>58</v>
      </c>
      <c r="F2508" s="2" t="s">
        <v>31</v>
      </c>
      <c r="G2508" s="2" t="s">
        <v>22</v>
      </c>
      <c r="H2508" s="2" t="s">
        <v>23</v>
      </c>
      <c r="I2508" s="2" t="s">
        <v>345</v>
      </c>
      <c r="J2508" s="2">
        <v>1</v>
      </c>
      <c r="K2508" s="2" t="s">
        <v>24</v>
      </c>
      <c r="L2508" s="2">
        <v>226</v>
      </c>
      <c r="M2508" s="2" t="s">
        <v>59</v>
      </c>
      <c r="N2508" s="2">
        <v>42</v>
      </c>
      <c r="O2508" s="2">
        <v>1721645.4</v>
      </c>
      <c r="P2508" s="2">
        <v>40991.56</v>
      </c>
    </row>
    <row r="2509" spans="1:16" outlineLevel="1" x14ac:dyDescent="0.2">
      <c r="A2509" s="5"/>
      <c r="D2509" s="3" t="s">
        <v>716</v>
      </c>
      <c r="N2509" s="2">
        <f>SUBTOTAL(9,N2508:N2508)</f>
        <v>42</v>
      </c>
      <c r="O2509" s="2">
        <f>SUBTOTAL(9,O2508:O2508)</f>
        <v>1721645.4</v>
      </c>
      <c r="P2509" s="2">
        <f>+O2509/N2509</f>
        <v>40991.557142857142</v>
      </c>
    </row>
    <row r="2510" spans="1:16" outlineLevel="2" x14ac:dyDescent="0.2">
      <c r="A2510" s="5">
        <v>46122</v>
      </c>
      <c r="B2510" s="2">
        <v>158520</v>
      </c>
      <c r="C2510" s="2">
        <v>1</v>
      </c>
      <c r="D2510" s="2" t="s">
        <v>140</v>
      </c>
      <c r="E2510" s="2" t="s">
        <v>141</v>
      </c>
      <c r="F2510" s="2" t="s">
        <v>108</v>
      </c>
      <c r="G2510" s="2" t="s">
        <v>22</v>
      </c>
      <c r="H2510" s="2" t="s">
        <v>23</v>
      </c>
      <c r="I2510" s="2" t="s">
        <v>23</v>
      </c>
      <c r="J2510" s="2">
        <v>1</v>
      </c>
      <c r="K2510" s="2" t="s">
        <v>24</v>
      </c>
      <c r="L2510" s="2">
        <v>1833</v>
      </c>
      <c r="M2510" s="2" t="s">
        <v>142</v>
      </c>
      <c r="N2510" s="2">
        <v>20</v>
      </c>
      <c r="O2510" s="2">
        <v>606296.03</v>
      </c>
      <c r="P2510" s="2">
        <v>30314.799999999999</v>
      </c>
    </row>
    <row r="2511" spans="1:16" outlineLevel="1" x14ac:dyDescent="0.2">
      <c r="A2511" s="5"/>
      <c r="D2511" s="3" t="s">
        <v>696</v>
      </c>
      <c r="N2511" s="2">
        <f>SUBTOTAL(9,N2510:N2510)</f>
        <v>20</v>
      </c>
      <c r="O2511" s="2">
        <f>SUBTOTAL(9,O2510:O2510)</f>
        <v>606296.03</v>
      </c>
      <c r="P2511" s="2">
        <f>+O2511/N2511</f>
        <v>30314.801500000001</v>
      </c>
    </row>
    <row r="2512" spans="1:16" outlineLevel="2" x14ac:dyDescent="0.2">
      <c r="A2512" s="5">
        <v>46122</v>
      </c>
      <c r="B2512" s="2">
        <v>158521</v>
      </c>
      <c r="C2512" s="2">
        <v>1</v>
      </c>
      <c r="D2512" s="2" t="s">
        <v>45</v>
      </c>
      <c r="E2512" s="2" t="s">
        <v>227</v>
      </c>
      <c r="F2512" s="2" t="s">
        <v>47</v>
      </c>
      <c r="G2512" s="2" t="s">
        <v>22</v>
      </c>
      <c r="H2512" s="2" t="s">
        <v>23</v>
      </c>
      <c r="I2512" s="2" t="s">
        <v>23</v>
      </c>
      <c r="J2512" s="2">
        <v>41</v>
      </c>
      <c r="K2512" s="2" t="s">
        <v>129</v>
      </c>
      <c r="L2512" s="2">
        <v>1964</v>
      </c>
      <c r="M2512" s="2" t="s">
        <v>49</v>
      </c>
      <c r="N2512" s="2">
        <v>48</v>
      </c>
      <c r="O2512" s="2">
        <v>880671.66</v>
      </c>
      <c r="P2512" s="2">
        <v>18347.330000000002</v>
      </c>
    </row>
    <row r="2513" spans="1:16" outlineLevel="1" x14ac:dyDescent="0.2">
      <c r="A2513" s="5"/>
      <c r="D2513" s="3" t="s">
        <v>733</v>
      </c>
      <c r="N2513" s="2">
        <f>SUBTOTAL(9,N2512:N2512)</f>
        <v>48</v>
      </c>
      <c r="O2513" s="2">
        <f>SUBTOTAL(9,O2512:O2512)</f>
        <v>880671.66</v>
      </c>
      <c r="P2513" s="2">
        <f>+O2513/N2513</f>
        <v>18347.326250000002</v>
      </c>
    </row>
    <row r="2514" spans="1:16" outlineLevel="2" x14ac:dyDescent="0.2">
      <c r="A2514" s="5">
        <v>46122</v>
      </c>
      <c r="B2514" s="2">
        <v>158521</v>
      </c>
      <c r="C2514" s="2">
        <v>2</v>
      </c>
      <c r="D2514" s="2" t="s">
        <v>226</v>
      </c>
      <c r="E2514" s="2" t="s">
        <v>227</v>
      </c>
      <c r="F2514" s="2" t="s">
        <v>47</v>
      </c>
      <c r="G2514" s="2" t="s">
        <v>22</v>
      </c>
      <c r="H2514" s="2" t="s">
        <v>23</v>
      </c>
      <c r="I2514" s="2" t="s">
        <v>23</v>
      </c>
      <c r="J2514" s="2">
        <v>41</v>
      </c>
      <c r="K2514" s="2" t="s">
        <v>129</v>
      </c>
      <c r="L2514" s="2">
        <v>1964</v>
      </c>
      <c r="M2514" s="2" t="s">
        <v>49</v>
      </c>
      <c r="N2514" s="2">
        <v>56</v>
      </c>
      <c r="O2514" s="2">
        <v>1362711.05</v>
      </c>
      <c r="P2514" s="2">
        <v>24334.13</v>
      </c>
    </row>
    <row r="2515" spans="1:16" outlineLevel="1" x14ac:dyDescent="0.2">
      <c r="A2515" s="5"/>
      <c r="D2515" s="3" t="s">
        <v>736</v>
      </c>
      <c r="N2515" s="2">
        <f>SUBTOTAL(9,N2514:N2514)</f>
        <v>56</v>
      </c>
      <c r="O2515" s="2">
        <f>SUBTOTAL(9,O2514:O2514)</f>
        <v>1362711.05</v>
      </c>
      <c r="P2515" s="2">
        <f>+O2515/N2515</f>
        <v>24334.125892857144</v>
      </c>
    </row>
    <row r="2516" spans="1:16" outlineLevel="2" x14ac:dyDescent="0.2">
      <c r="A2516" s="5">
        <v>46122</v>
      </c>
      <c r="B2516" s="2">
        <v>158522</v>
      </c>
      <c r="C2516" s="2">
        <v>1</v>
      </c>
      <c r="D2516" s="2" t="s">
        <v>143</v>
      </c>
      <c r="E2516" s="2" t="s">
        <v>23</v>
      </c>
      <c r="F2516" s="2" t="s">
        <v>144</v>
      </c>
      <c r="G2516" s="2" t="s">
        <v>22</v>
      </c>
      <c r="H2516" s="2" t="s">
        <v>23</v>
      </c>
      <c r="I2516" s="2" t="s">
        <v>23</v>
      </c>
      <c r="J2516" s="2">
        <v>1</v>
      </c>
      <c r="K2516" s="2" t="s">
        <v>24</v>
      </c>
      <c r="L2516" s="2">
        <v>2101</v>
      </c>
      <c r="M2516" s="2" t="s">
        <v>145</v>
      </c>
      <c r="N2516" s="2">
        <v>199</v>
      </c>
      <c r="O2516" s="2">
        <v>2928772.46</v>
      </c>
      <c r="P2516" s="2">
        <v>14717.45</v>
      </c>
    </row>
    <row r="2517" spans="1:16" outlineLevel="1" x14ac:dyDescent="0.2">
      <c r="A2517" s="5"/>
      <c r="D2517" s="3" t="s">
        <v>706</v>
      </c>
      <c r="N2517" s="2">
        <f>SUBTOTAL(9,N2516:N2516)</f>
        <v>199</v>
      </c>
      <c r="O2517" s="2">
        <f>SUBTOTAL(9,O2516:O2516)</f>
        <v>2928772.46</v>
      </c>
      <c r="P2517" s="2">
        <f>+O2517/N2517</f>
        <v>14717.449547738694</v>
      </c>
    </row>
    <row r="2518" spans="1:16" outlineLevel="2" x14ac:dyDescent="0.2">
      <c r="A2518" s="5">
        <v>46122</v>
      </c>
      <c r="B2518" s="2">
        <v>158523</v>
      </c>
      <c r="C2518" s="2">
        <v>1</v>
      </c>
      <c r="D2518" s="2" t="s">
        <v>404</v>
      </c>
      <c r="E2518" s="2" t="s">
        <v>23</v>
      </c>
      <c r="F2518" s="2" t="s">
        <v>289</v>
      </c>
      <c r="G2518" s="2" t="s">
        <v>22</v>
      </c>
      <c r="H2518" s="2" t="s">
        <v>23</v>
      </c>
      <c r="I2518" s="2" t="s">
        <v>23</v>
      </c>
      <c r="J2518" s="2">
        <v>1</v>
      </c>
      <c r="K2518" s="2" t="s">
        <v>24</v>
      </c>
      <c r="L2518" s="2">
        <v>25072</v>
      </c>
      <c r="M2518" s="2" t="s">
        <v>449</v>
      </c>
      <c r="N2518" s="2">
        <v>24</v>
      </c>
      <c r="O2518" s="2">
        <v>843114.89</v>
      </c>
      <c r="P2518" s="2">
        <v>35129.79</v>
      </c>
    </row>
    <row r="2519" spans="1:16" outlineLevel="1" x14ac:dyDescent="0.2">
      <c r="A2519" s="5"/>
      <c r="D2519" s="3" t="s">
        <v>769</v>
      </c>
      <c r="N2519" s="2">
        <f>SUBTOTAL(9,N2518:N2518)</f>
        <v>24</v>
      </c>
      <c r="O2519" s="2">
        <f>SUBTOTAL(9,O2518:O2518)</f>
        <v>843114.89</v>
      </c>
      <c r="P2519" s="2">
        <f>+O2519/N2519</f>
        <v>35129.787083333336</v>
      </c>
    </row>
    <row r="2520" spans="1:16" outlineLevel="2" x14ac:dyDescent="0.2">
      <c r="A2520" s="5">
        <v>46122</v>
      </c>
      <c r="B2520" s="2">
        <v>158524</v>
      </c>
      <c r="C2520" s="2">
        <v>1</v>
      </c>
      <c r="D2520" s="2" t="s">
        <v>470</v>
      </c>
      <c r="E2520" s="2" t="s">
        <v>23</v>
      </c>
      <c r="F2520" s="2" t="s">
        <v>23</v>
      </c>
      <c r="G2520" s="2" t="s">
        <v>23</v>
      </c>
      <c r="H2520" s="2" t="s">
        <v>23</v>
      </c>
      <c r="I2520" s="2" t="s">
        <v>23</v>
      </c>
      <c r="J2520" s="2">
        <v>93</v>
      </c>
      <c r="K2520" s="2" t="s">
        <v>183</v>
      </c>
      <c r="L2520" s="2">
        <v>2338</v>
      </c>
      <c r="M2520" s="2" t="s">
        <v>417</v>
      </c>
      <c r="N2520" s="2">
        <v>5</v>
      </c>
      <c r="O2520" s="2">
        <v>166509</v>
      </c>
      <c r="P2520" s="2">
        <v>33301.800000000003</v>
      </c>
    </row>
    <row r="2521" spans="1:16" outlineLevel="1" x14ac:dyDescent="0.2">
      <c r="A2521" s="5"/>
      <c r="D2521" s="3" t="s">
        <v>779</v>
      </c>
      <c r="N2521" s="2">
        <f>SUBTOTAL(9,N2520:N2520)</f>
        <v>5</v>
      </c>
      <c r="O2521" s="2">
        <f>SUBTOTAL(9,O2520:O2520)</f>
        <v>166509</v>
      </c>
      <c r="P2521" s="2">
        <f>+O2521/N2521</f>
        <v>33301.800000000003</v>
      </c>
    </row>
    <row r="2522" spans="1:16" outlineLevel="2" x14ac:dyDescent="0.2">
      <c r="A2522" s="5">
        <v>46146</v>
      </c>
      <c r="B2522" s="2">
        <v>158524</v>
      </c>
      <c r="C2522" s="2">
        <v>302</v>
      </c>
      <c r="D2522" s="2" t="s">
        <v>54</v>
      </c>
      <c r="E2522" s="2" t="s">
        <v>30</v>
      </c>
      <c r="F2522" s="2" t="s">
        <v>55</v>
      </c>
      <c r="G2522" s="2" t="s">
        <v>23</v>
      </c>
      <c r="H2522" s="2" t="s">
        <v>23</v>
      </c>
      <c r="I2522" s="2" t="s">
        <v>23</v>
      </c>
      <c r="J2522" s="2">
        <v>2</v>
      </c>
      <c r="K2522" s="2" t="s">
        <v>48</v>
      </c>
      <c r="L2522" s="2">
        <v>626</v>
      </c>
      <c r="M2522" s="2" t="s">
        <v>49</v>
      </c>
      <c r="N2522" s="2">
        <v>18</v>
      </c>
      <c r="O2522" s="2">
        <v>106576.62</v>
      </c>
      <c r="P2522" s="2">
        <v>5920.92</v>
      </c>
    </row>
    <row r="2523" spans="1:16" outlineLevel="1" x14ac:dyDescent="0.2">
      <c r="A2523" s="5"/>
      <c r="D2523" s="3" t="s">
        <v>719</v>
      </c>
      <c r="N2523" s="2">
        <f>SUBTOTAL(9,N2522:N2522)</f>
        <v>18</v>
      </c>
      <c r="O2523" s="2">
        <f>SUBTOTAL(9,O2522:O2522)</f>
        <v>106576.62</v>
      </c>
      <c r="P2523" s="2">
        <f>+O2523/N2523</f>
        <v>5920.9233333333332</v>
      </c>
    </row>
    <row r="2524" spans="1:16" outlineLevel="2" x14ac:dyDescent="0.2">
      <c r="A2524" s="5">
        <v>46248</v>
      </c>
      <c r="B2524" s="2">
        <v>158528</v>
      </c>
      <c r="C2524" s="2">
        <v>15</v>
      </c>
      <c r="D2524" s="2" t="s">
        <v>67</v>
      </c>
      <c r="E2524" s="2" t="s">
        <v>68</v>
      </c>
      <c r="F2524" s="2" t="s">
        <v>72</v>
      </c>
      <c r="G2524" s="2" t="s">
        <v>23</v>
      </c>
      <c r="H2524" s="2" t="s">
        <v>23</v>
      </c>
      <c r="I2524" s="2" t="s">
        <v>23</v>
      </c>
      <c r="J2524" s="2">
        <v>2</v>
      </c>
      <c r="K2524" s="2" t="s">
        <v>48</v>
      </c>
      <c r="L2524" s="2">
        <v>2815</v>
      </c>
      <c r="M2524" s="2" t="s">
        <v>471</v>
      </c>
      <c r="N2524" s="2">
        <v>27</v>
      </c>
      <c r="O2524" s="2">
        <v>81550.23</v>
      </c>
      <c r="P2524" s="2">
        <v>3020.38</v>
      </c>
    </row>
    <row r="2525" spans="1:16" outlineLevel="2" x14ac:dyDescent="0.2">
      <c r="A2525" s="5">
        <v>46168</v>
      </c>
      <c r="B2525" s="2">
        <v>158528</v>
      </c>
      <c r="C2525" s="2">
        <v>315</v>
      </c>
      <c r="D2525" s="2" t="s">
        <v>67</v>
      </c>
      <c r="E2525" s="2" t="s">
        <v>68</v>
      </c>
      <c r="F2525" s="2" t="s">
        <v>47</v>
      </c>
      <c r="G2525" s="2" t="s">
        <v>22</v>
      </c>
      <c r="H2525" s="2" t="s">
        <v>23</v>
      </c>
      <c r="I2525" s="2" t="s">
        <v>23</v>
      </c>
      <c r="J2525" s="2">
        <v>2</v>
      </c>
      <c r="K2525" s="2" t="s">
        <v>48</v>
      </c>
      <c r="L2525" s="2">
        <v>25257</v>
      </c>
      <c r="M2525" s="2" t="s">
        <v>341</v>
      </c>
      <c r="N2525" s="2">
        <v>48</v>
      </c>
      <c r="O2525" s="2">
        <v>164724</v>
      </c>
      <c r="P2525" s="2">
        <v>3431.75</v>
      </c>
    </row>
    <row r="2526" spans="1:16" outlineLevel="2" x14ac:dyDescent="0.2">
      <c r="A2526" s="5">
        <v>46141</v>
      </c>
      <c r="B2526" s="2">
        <v>158528</v>
      </c>
      <c r="C2526" s="2">
        <v>500</v>
      </c>
      <c r="D2526" s="2" t="s">
        <v>67</v>
      </c>
      <c r="E2526" s="2" t="s">
        <v>55</v>
      </c>
      <c r="F2526" s="2" t="s">
        <v>23</v>
      </c>
      <c r="G2526" s="2" t="s">
        <v>23</v>
      </c>
      <c r="H2526" s="2" t="s">
        <v>23</v>
      </c>
      <c r="I2526" s="2" t="s">
        <v>23</v>
      </c>
      <c r="J2526" s="2">
        <v>2</v>
      </c>
      <c r="K2526" s="2" t="s">
        <v>48</v>
      </c>
      <c r="L2526" s="2">
        <v>2805</v>
      </c>
      <c r="M2526" s="2" t="s">
        <v>471</v>
      </c>
      <c r="N2526" s="2">
        <v>23</v>
      </c>
      <c r="O2526" s="2">
        <v>100399.37</v>
      </c>
      <c r="P2526" s="2">
        <v>4365.1899999999996</v>
      </c>
    </row>
    <row r="2527" spans="1:16" outlineLevel="1" x14ac:dyDescent="0.2">
      <c r="A2527" s="5"/>
      <c r="D2527" s="3" t="s">
        <v>720</v>
      </c>
      <c r="N2527" s="2">
        <f>SUBTOTAL(9,N2524:N2526)</f>
        <v>98</v>
      </c>
      <c r="O2527" s="2">
        <f>SUBTOTAL(9,O2524:O2526)</f>
        <v>346673.6</v>
      </c>
      <c r="P2527" s="2">
        <f>+O2527/N2527</f>
        <v>3537.485714285714</v>
      </c>
    </row>
    <row r="2528" spans="1:16" outlineLevel="2" x14ac:dyDescent="0.2">
      <c r="A2528" s="5">
        <v>46150</v>
      </c>
      <c r="B2528" s="2">
        <v>158530</v>
      </c>
      <c r="C2528" s="2">
        <v>2</v>
      </c>
      <c r="D2528" s="2" t="s">
        <v>57</v>
      </c>
      <c r="E2528" s="2" t="s">
        <v>259</v>
      </c>
      <c r="F2528" s="2" t="s">
        <v>55</v>
      </c>
      <c r="G2528" s="2" t="s">
        <v>23</v>
      </c>
      <c r="H2528" s="2" t="s">
        <v>23</v>
      </c>
      <c r="I2528" s="2" t="s">
        <v>23</v>
      </c>
      <c r="J2528" s="2">
        <v>1</v>
      </c>
      <c r="K2528" s="2" t="s">
        <v>24</v>
      </c>
      <c r="L2528" s="2">
        <v>600</v>
      </c>
      <c r="M2528" s="2" t="s">
        <v>112</v>
      </c>
      <c r="N2528" s="2">
        <v>8</v>
      </c>
      <c r="O2528" s="2">
        <v>266414.40000000002</v>
      </c>
      <c r="P2528" s="2">
        <v>33301.800000000003</v>
      </c>
    </row>
    <row r="2529" spans="1:16" outlineLevel="1" x14ac:dyDescent="0.2">
      <c r="A2529" s="5"/>
      <c r="D2529" s="3" t="s">
        <v>716</v>
      </c>
      <c r="N2529" s="2">
        <f>SUBTOTAL(9,N2528:N2528)</f>
        <v>8</v>
      </c>
      <c r="O2529" s="2">
        <f>SUBTOTAL(9,O2528:O2528)</f>
        <v>266414.40000000002</v>
      </c>
      <c r="P2529" s="2">
        <f>+O2529/N2529</f>
        <v>33301.800000000003</v>
      </c>
    </row>
    <row r="2530" spans="1:16" outlineLevel="2" x14ac:dyDescent="0.2">
      <c r="A2530" s="5">
        <v>46132</v>
      </c>
      <c r="B2530" s="2">
        <v>158531</v>
      </c>
      <c r="C2530" s="2">
        <v>2</v>
      </c>
      <c r="D2530" s="2" t="s">
        <v>140</v>
      </c>
      <c r="E2530" s="2" t="s">
        <v>55</v>
      </c>
      <c r="F2530" s="2" t="s">
        <v>23</v>
      </c>
      <c r="G2530" s="2" t="s">
        <v>23</v>
      </c>
      <c r="H2530" s="2" t="s">
        <v>23</v>
      </c>
      <c r="I2530" s="2" t="s">
        <v>23</v>
      </c>
      <c r="J2530" s="2">
        <v>1</v>
      </c>
      <c r="K2530" s="2" t="s">
        <v>24</v>
      </c>
      <c r="L2530" s="2">
        <v>1833</v>
      </c>
      <c r="M2530" s="2" t="s">
        <v>142</v>
      </c>
      <c r="N2530" s="2">
        <v>12</v>
      </c>
      <c r="O2530" s="2">
        <v>93755.61</v>
      </c>
      <c r="P2530" s="2">
        <v>7812.97</v>
      </c>
    </row>
    <row r="2531" spans="1:16" outlineLevel="1" x14ac:dyDescent="0.2">
      <c r="A2531" s="5"/>
      <c r="D2531" s="3" t="s">
        <v>696</v>
      </c>
      <c r="N2531" s="2">
        <f>SUBTOTAL(9,N2530:N2530)</f>
        <v>12</v>
      </c>
      <c r="O2531" s="2">
        <f>SUBTOTAL(9,O2530:O2530)</f>
        <v>93755.61</v>
      </c>
      <c r="P2531" s="2">
        <f>+O2531/N2531</f>
        <v>7812.9674999999997</v>
      </c>
    </row>
    <row r="2532" spans="1:16" outlineLevel="2" x14ac:dyDescent="0.2">
      <c r="A2532" s="5">
        <v>46129</v>
      </c>
      <c r="B2532" s="2">
        <v>158533</v>
      </c>
      <c r="C2532" s="2">
        <v>309</v>
      </c>
      <c r="D2532" s="2" t="s">
        <v>54</v>
      </c>
      <c r="E2532" s="2" t="s">
        <v>20</v>
      </c>
      <c r="F2532" s="2" t="s">
        <v>55</v>
      </c>
      <c r="G2532" s="2" t="s">
        <v>23</v>
      </c>
      <c r="H2532" s="2" t="s">
        <v>23</v>
      </c>
      <c r="I2532" s="2" t="s">
        <v>23</v>
      </c>
      <c r="J2532" s="2">
        <v>1</v>
      </c>
      <c r="K2532" s="2" t="s">
        <v>24</v>
      </c>
      <c r="L2532" s="2">
        <v>25095</v>
      </c>
      <c r="M2532" s="2" t="s">
        <v>216</v>
      </c>
      <c r="N2532" s="2">
        <v>4</v>
      </c>
      <c r="O2532" s="2">
        <v>17460.759999999998</v>
      </c>
      <c r="P2532" s="2">
        <v>4365.1899999999996</v>
      </c>
    </row>
    <row r="2533" spans="1:16" outlineLevel="1" x14ac:dyDescent="0.2">
      <c r="A2533" s="5"/>
      <c r="D2533" s="3" t="s">
        <v>719</v>
      </c>
      <c r="N2533" s="2">
        <f>SUBTOTAL(9,N2532:N2532)</f>
        <v>4</v>
      </c>
      <c r="O2533" s="2">
        <f>SUBTOTAL(9,O2532:O2532)</f>
        <v>17460.759999999998</v>
      </c>
      <c r="P2533" s="2">
        <f>+O2533/N2533</f>
        <v>4365.1899999999996</v>
      </c>
    </row>
    <row r="2534" spans="1:16" outlineLevel="2" x14ac:dyDescent="0.2">
      <c r="A2534" s="5">
        <v>46125</v>
      </c>
      <c r="B2534" s="2">
        <v>158539</v>
      </c>
      <c r="C2534" s="2">
        <v>1</v>
      </c>
      <c r="D2534" s="2" t="s">
        <v>75</v>
      </c>
      <c r="E2534" s="2" t="s">
        <v>412</v>
      </c>
      <c r="F2534" s="2" t="s">
        <v>108</v>
      </c>
      <c r="G2534" s="2" t="s">
        <v>22</v>
      </c>
      <c r="H2534" s="2" t="s">
        <v>23</v>
      </c>
      <c r="I2534" s="2" t="s">
        <v>100</v>
      </c>
      <c r="J2534" s="2">
        <v>1</v>
      </c>
      <c r="K2534" s="2" t="s">
        <v>24</v>
      </c>
      <c r="L2534" s="2">
        <v>2024</v>
      </c>
      <c r="M2534" s="2" t="s">
        <v>76</v>
      </c>
      <c r="N2534" s="2">
        <v>80</v>
      </c>
      <c r="O2534" s="2">
        <v>2267405.36</v>
      </c>
      <c r="P2534" s="2">
        <v>28342.57</v>
      </c>
    </row>
    <row r="2535" spans="1:16" outlineLevel="2" x14ac:dyDescent="0.2">
      <c r="A2535" s="5">
        <v>46125</v>
      </c>
      <c r="B2535" s="2">
        <v>158539</v>
      </c>
      <c r="C2535" s="2">
        <v>2</v>
      </c>
      <c r="D2535" s="2" t="s">
        <v>75</v>
      </c>
      <c r="E2535" s="2" t="s">
        <v>412</v>
      </c>
      <c r="F2535" s="2" t="s">
        <v>108</v>
      </c>
      <c r="G2535" s="2" t="s">
        <v>22</v>
      </c>
      <c r="H2535" s="2" t="s">
        <v>23</v>
      </c>
      <c r="I2535" s="2" t="s">
        <v>109</v>
      </c>
      <c r="J2535" s="2">
        <v>1</v>
      </c>
      <c r="K2535" s="2" t="s">
        <v>24</v>
      </c>
      <c r="L2535" s="2">
        <v>2024</v>
      </c>
      <c r="M2535" s="2" t="s">
        <v>76</v>
      </c>
      <c r="N2535" s="2">
        <v>410</v>
      </c>
      <c r="O2535" s="2">
        <v>12136929.710000001</v>
      </c>
      <c r="P2535" s="2">
        <v>29602.27</v>
      </c>
    </row>
    <row r="2536" spans="1:16" outlineLevel="2" x14ac:dyDescent="0.2">
      <c r="A2536" s="5">
        <v>46125</v>
      </c>
      <c r="B2536" s="2">
        <v>158539</v>
      </c>
      <c r="C2536" s="2">
        <v>3</v>
      </c>
      <c r="D2536" s="2" t="s">
        <v>75</v>
      </c>
      <c r="E2536" s="2" t="s">
        <v>412</v>
      </c>
      <c r="F2536" s="2" t="s">
        <v>108</v>
      </c>
      <c r="G2536" s="2" t="s">
        <v>22</v>
      </c>
      <c r="H2536" s="2" t="s">
        <v>23</v>
      </c>
      <c r="I2536" s="2" t="s">
        <v>101</v>
      </c>
      <c r="J2536" s="2">
        <v>1</v>
      </c>
      <c r="K2536" s="2" t="s">
        <v>24</v>
      </c>
      <c r="L2536" s="2">
        <v>2024</v>
      </c>
      <c r="M2536" s="2" t="s">
        <v>76</v>
      </c>
      <c r="N2536" s="2">
        <v>329</v>
      </c>
      <c r="O2536" s="2">
        <v>9604839.3599999994</v>
      </c>
      <c r="P2536" s="2">
        <v>29194.04</v>
      </c>
    </row>
    <row r="2537" spans="1:16" outlineLevel="2" x14ac:dyDescent="0.2">
      <c r="A2537" s="5">
        <v>46125</v>
      </c>
      <c r="B2537" s="2">
        <v>158539</v>
      </c>
      <c r="C2537" s="2">
        <v>4</v>
      </c>
      <c r="D2537" s="2" t="s">
        <v>75</v>
      </c>
      <c r="E2537" s="2" t="s">
        <v>412</v>
      </c>
      <c r="F2537" s="2" t="s">
        <v>108</v>
      </c>
      <c r="G2537" s="2" t="s">
        <v>22</v>
      </c>
      <c r="H2537" s="2" t="s">
        <v>23</v>
      </c>
      <c r="I2537" s="2" t="s">
        <v>152</v>
      </c>
      <c r="J2537" s="2">
        <v>1</v>
      </c>
      <c r="K2537" s="2" t="s">
        <v>24</v>
      </c>
      <c r="L2537" s="2">
        <v>2024</v>
      </c>
      <c r="M2537" s="2" t="s">
        <v>76</v>
      </c>
      <c r="N2537" s="2">
        <v>160</v>
      </c>
      <c r="O2537" s="2">
        <v>4668567.22</v>
      </c>
      <c r="P2537" s="2">
        <v>29178.55</v>
      </c>
    </row>
    <row r="2538" spans="1:16" outlineLevel="1" x14ac:dyDescent="0.2">
      <c r="A2538" s="5"/>
      <c r="D2538" s="3" t="s">
        <v>729</v>
      </c>
      <c r="N2538" s="2">
        <f>SUBTOTAL(9,N2534:N2537)</f>
        <v>979</v>
      </c>
      <c r="O2538" s="2">
        <f>SUBTOTAL(9,O2534:O2537)</f>
        <v>28677741.649999999</v>
      </c>
      <c r="P2538" s="2">
        <f>+O2538/N2538</f>
        <v>29292.892390194073</v>
      </c>
    </row>
    <row r="2539" spans="1:16" outlineLevel="2" x14ac:dyDescent="0.2">
      <c r="A2539" s="5">
        <v>46148</v>
      </c>
      <c r="B2539" s="2">
        <v>158540</v>
      </c>
      <c r="C2539" s="2">
        <v>2</v>
      </c>
      <c r="D2539" s="2" t="s">
        <v>229</v>
      </c>
      <c r="E2539" s="2" t="s">
        <v>230</v>
      </c>
      <c r="F2539" s="2" t="s">
        <v>40</v>
      </c>
      <c r="G2539" s="2" t="s">
        <v>438</v>
      </c>
      <c r="H2539" s="2" t="s">
        <v>23</v>
      </c>
      <c r="I2539" s="2" t="s">
        <v>23</v>
      </c>
      <c r="J2539" s="2">
        <v>1</v>
      </c>
      <c r="K2539" s="2" t="s">
        <v>24</v>
      </c>
      <c r="L2539" s="2">
        <v>331</v>
      </c>
      <c r="M2539" s="2" t="s">
        <v>356</v>
      </c>
      <c r="N2539" s="2">
        <v>13</v>
      </c>
      <c r="O2539" s="2">
        <v>444097.23</v>
      </c>
      <c r="P2539" s="2">
        <v>34161.33</v>
      </c>
    </row>
    <row r="2540" spans="1:16" outlineLevel="1" x14ac:dyDescent="0.2">
      <c r="A2540" s="5"/>
      <c r="D2540" s="3" t="s">
        <v>737</v>
      </c>
      <c r="N2540" s="2">
        <f>SUBTOTAL(9,N2539:N2539)</f>
        <v>13</v>
      </c>
      <c r="O2540" s="2">
        <f>SUBTOTAL(9,O2539:O2539)</f>
        <v>444097.23</v>
      </c>
      <c r="P2540" s="2">
        <f>+O2540/N2540</f>
        <v>34161.325384615382</v>
      </c>
    </row>
    <row r="2541" spans="1:16" outlineLevel="2" x14ac:dyDescent="0.2">
      <c r="A2541" s="5">
        <v>46160</v>
      </c>
      <c r="B2541" s="2">
        <v>158541</v>
      </c>
      <c r="C2541" s="2">
        <v>5</v>
      </c>
      <c r="D2541" s="2" t="s">
        <v>38</v>
      </c>
      <c r="E2541" s="2" t="s">
        <v>39</v>
      </c>
      <c r="F2541" s="2" t="s">
        <v>40</v>
      </c>
      <c r="G2541" s="2" t="s">
        <v>41</v>
      </c>
      <c r="H2541" s="2" t="s">
        <v>23</v>
      </c>
      <c r="I2541" s="2" t="s">
        <v>395</v>
      </c>
      <c r="J2541" s="2">
        <v>40</v>
      </c>
      <c r="K2541" s="2" t="s">
        <v>43</v>
      </c>
      <c r="L2541" s="2">
        <v>2579</v>
      </c>
      <c r="M2541" s="2" t="s">
        <v>44</v>
      </c>
      <c r="N2541" s="2">
        <v>96</v>
      </c>
      <c r="O2541" s="2">
        <v>717759.04</v>
      </c>
      <c r="P2541" s="2">
        <v>7476.66</v>
      </c>
    </row>
    <row r="2542" spans="1:16" outlineLevel="2" x14ac:dyDescent="0.2">
      <c r="A2542" s="5">
        <v>46141</v>
      </c>
      <c r="B2542" s="2">
        <v>158541</v>
      </c>
      <c r="C2542" s="2">
        <v>6</v>
      </c>
      <c r="D2542" s="2" t="s">
        <v>38</v>
      </c>
      <c r="E2542" s="2" t="s">
        <v>39</v>
      </c>
      <c r="F2542" s="2" t="s">
        <v>40</v>
      </c>
      <c r="G2542" s="2" t="s">
        <v>41</v>
      </c>
      <c r="H2542" s="2" t="s">
        <v>23</v>
      </c>
      <c r="I2542" s="2" t="s">
        <v>23</v>
      </c>
      <c r="J2542" s="2">
        <v>131</v>
      </c>
      <c r="K2542" s="2" t="s">
        <v>430</v>
      </c>
      <c r="L2542" s="2">
        <v>2579</v>
      </c>
      <c r="M2542" s="2" t="s">
        <v>44</v>
      </c>
      <c r="N2542" s="2">
        <v>163</v>
      </c>
      <c r="O2542" s="2">
        <v>1202515.25</v>
      </c>
      <c r="P2542" s="2">
        <v>7377.39</v>
      </c>
    </row>
    <row r="2543" spans="1:16" outlineLevel="2" x14ac:dyDescent="0.2">
      <c r="A2543" s="5">
        <v>46146</v>
      </c>
      <c r="B2543" s="2">
        <v>158542</v>
      </c>
      <c r="C2543" s="2">
        <v>3</v>
      </c>
      <c r="D2543" s="2" t="s">
        <v>38</v>
      </c>
      <c r="E2543" s="2" t="s">
        <v>39</v>
      </c>
      <c r="F2543" s="2" t="s">
        <v>40</v>
      </c>
      <c r="G2543" s="2" t="s">
        <v>407</v>
      </c>
      <c r="H2543" s="2" t="s">
        <v>23</v>
      </c>
      <c r="I2543" s="2" t="s">
        <v>42</v>
      </c>
      <c r="J2543" s="2">
        <v>40</v>
      </c>
      <c r="K2543" s="2" t="s">
        <v>43</v>
      </c>
      <c r="L2543" s="2">
        <v>2579</v>
      </c>
      <c r="M2543" s="2" t="s">
        <v>44</v>
      </c>
      <c r="N2543" s="2">
        <v>35</v>
      </c>
      <c r="O2543" s="2">
        <v>692309.6</v>
      </c>
      <c r="P2543" s="2">
        <v>19780.27</v>
      </c>
    </row>
    <row r="2544" spans="1:16" outlineLevel="2" x14ac:dyDescent="0.2">
      <c r="A2544" s="5">
        <v>46160</v>
      </c>
      <c r="B2544" s="2">
        <v>158542</v>
      </c>
      <c r="C2544" s="2">
        <v>5</v>
      </c>
      <c r="D2544" s="2" t="s">
        <v>38</v>
      </c>
      <c r="E2544" s="2" t="s">
        <v>39</v>
      </c>
      <c r="F2544" s="2" t="s">
        <v>40</v>
      </c>
      <c r="G2544" s="2" t="s">
        <v>22</v>
      </c>
      <c r="H2544" s="2" t="s">
        <v>23</v>
      </c>
      <c r="I2544" s="2" t="s">
        <v>23</v>
      </c>
      <c r="J2544" s="2">
        <v>131</v>
      </c>
      <c r="K2544" s="2" t="s">
        <v>430</v>
      </c>
      <c r="L2544" s="2">
        <v>2579</v>
      </c>
      <c r="M2544" s="2" t="s">
        <v>44</v>
      </c>
      <c r="N2544" s="2">
        <v>54</v>
      </c>
      <c r="O2544" s="2">
        <v>235720.26</v>
      </c>
      <c r="P2544" s="2">
        <v>4365.1899999999996</v>
      </c>
    </row>
    <row r="2545" spans="1:16" outlineLevel="1" x14ac:dyDescent="0.2">
      <c r="A2545" s="5"/>
      <c r="D2545" s="3" t="s">
        <v>721</v>
      </c>
      <c r="N2545" s="2">
        <f>SUBTOTAL(9,N2541:N2544)</f>
        <v>348</v>
      </c>
      <c r="O2545" s="2">
        <f>SUBTOTAL(9,O2541:O2544)</f>
        <v>2848304.1500000004</v>
      </c>
      <c r="P2545" s="2">
        <f>+O2545/N2545</f>
        <v>8184.7820402298858</v>
      </c>
    </row>
    <row r="2546" spans="1:16" outlineLevel="2" x14ac:dyDescent="0.2">
      <c r="A2546" s="5">
        <v>46168</v>
      </c>
      <c r="B2546" s="2">
        <v>158544</v>
      </c>
      <c r="C2546" s="2">
        <v>301</v>
      </c>
      <c r="D2546" s="2" t="s">
        <v>110</v>
      </c>
      <c r="E2546" s="2" t="s">
        <v>111</v>
      </c>
      <c r="F2546" s="2" t="s">
        <v>47</v>
      </c>
      <c r="G2546" s="2" t="s">
        <v>23</v>
      </c>
      <c r="H2546" s="2" t="s">
        <v>23</v>
      </c>
      <c r="I2546" s="2" t="s">
        <v>23</v>
      </c>
      <c r="J2546" s="2">
        <v>1</v>
      </c>
      <c r="K2546" s="2" t="s">
        <v>24</v>
      </c>
      <c r="L2546" s="2">
        <v>1974</v>
      </c>
      <c r="M2546" s="2" t="s">
        <v>95</v>
      </c>
      <c r="N2546" s="2">
        <v>17</v>
      </c>
      <c r="O2546" s="2">
        <v>46205.15</v>
      </c>
      <c r="P2546" s="2">
        <v>2717.95</v>
      </c>
    </row>
    <row r="2547" spans="1:16" outlineLevel="1" x14ac:dyDescent="0.2">
      <c r="A2547" s="5"/>
      <c r="D2547" s="3" t="s">
        <v>697</v>
      </c>
      <c r="N2547" s="2">
        <f>SUBTOTAL(9,N2546:N2546)</f>
        <v>17</v>
      </c>
      <c r="O2547" s="2">
        <f>SUBTOTAL(9,O2546:O2546)</f>
        <v>46205.15</v>
      </c>
      <c r="P2547" s="2">
        <f>+O2547/N2547</f>
        <v>2717.9500000000003</v>
      </c>
    </row>
    <row r="2548" spans="1:16" outlineLevel="2" x14ac:dyDescent="0.2">
      <c r="A2548" s="5">
        <v>46125</v>
      </c>
      <c r="B2548" s="2">
        <v>158554</v>
      </c>
      <c r="C2548" s="2">
        <v>1</v>
      </c>
      <c r="D2548" s="2" t="s">
        <v>197</v>
      </c>
      <c r="E2548" s="2" t="s">
        <v>284</v>
      </c>
      <c r="F2548" s="2" t="s">
        <v>199</v>
      </c>
      <c r="G2548" s="2" t="s">
        <v>22</v>
      </c>
      <c r="H2548" s="2" t="s">
        <v>23</v>
      </c>
      <c r="I2548" s="2" t="s">
        <v>23</v>
      </c>
      <c r="J2548" s="2">
        <v>2</v>
      </c>
      <c r="K2548" s="2" t="s">
        <v>48</v>
      </c>
      <c r="L2548" s="2">
        <v>183</v>
      </c>
      <c r="M2548" s="2" t="s">
        <v>381</v>
      </c>
      <c r="N2548" s="2">
        <v>102</v>
      </c>
      <c r="O2548" s="2">
        <v>2284125.16</v>
      </c>
      <c r="P2548" s="2">
        <v>22393.38</v>
      </c>
    </row>
    <row r="2549" spans="1:16" outlineLevel="1" x14ac:dyDescent="0.2">
      <c r="A2549" s="5"/>
      <c r="D2549" s="3" t="s">
        <v>734</v>
      </c>
      <c r="N2549" s="2">
        <f>SUBTOTAL(9,N2548:N2548)</f>
        <v>102</v>
      </c>
      <c r="O2549" s="2">
        <f>SUBTOTAL(9,O2548:O2548)</f>
        <v>2284125.16</v>
      </c>
      <c r="P2549" s="2">
        <f>+O2549/N2549</f>
        <v>22393.383921568628</v>
      </c>
    </row>
    <row r="2550" spans="1:16" outlineLevel="2" x14ac:dyDescent="0.2">
      <c r="A2550" s="5">
        <v>46125</v>
      </c>
      <c r="B2550" s="2">
        <v>158565</v>
      </c>
      <c r="C2550" s="2">
        <v>1</v>
      </c>
      <c r="D2550" s="2" t="s">
        <v>404</v>
      </c>
      <c r="E2550" s="2" t="s">
        <v>23</v>
      </c>
      <c r="F2550" s="2" t="s">
        <v>289</v>
      </c>
      <c r="G2550" s="2" t="s">
        <v>22</v>
      </c>
      <c r="H2550" s="2" t="s">
        <v>23</v>
      </c>
      <c r="I2550" s="2" t="s">
        <v>23</v>
      </c>
      <c r="J2550" s="2">
        <v>1</v>
      </c>
      <c r="K2550" s="2" t="s">
        <v>24</v>
      </c>
      <c r="L2550" s="2">
        <v>25072</v>
      </c>
      <c r="M2550" s="2" t="s">
        <v>449</v>
      </c>
      <c r="N2550" s="2">
        <v>24</v>
      </c>
      <c r="O2550" s="2">
        <v>925257.5</v>
      </c>
      <c r="P2550" s="2">
        <v>38552.400000000001</v>
      </c>
    </row>
    <row r="2551" spans="1:16" outlineLevel="1" x14ac:dyDescent="0.2">
      <c r="A2551" s="5"/>
      <c r="D2551" s="3" t="s">
        <v>769</v>
      </c>
      <c r="N2551" s="2">
        <f>SUBTOTAL(9,N2550:N2550)</f>
        <v>24</v>
      </c>
      <c r="O2551" s="2">
        <f>SUBTOTAL(9,O2550:O2550)</f>
        <v>925257.5</v>
      </c>
      <c r="P2551" s="2">
        <f>+O2551/N2551</f>
        <v>38552.395833333336</v>
      </c>
    </row>
    <row r="2552" spans="1:16" outlineLevel="2" x14ac:dyDescent="0.2">
      <c r="A2552" s="5">
        <v>46125</v>
      </c>
      <c r="B2552" s="2">
        <v>158566</v>
      </c>
      <c r="C2552" s="2">
        <v>1</v>
      </c>
      <c r="D2552" s="2" t="s">
        <v>416</v>
      </c>
      <c r="E2552" s="2" t="s">
        <v>23</v>
      </c>
      <c r="F2552" s="2" t="s">
        <v>47</v>
      </c>
      <c r="G2552" s="2" t="s">
        <v>22</v>
      </c>
      <c r="H2552" s="2" t="s">
        <v>23</v>
      </c>
      <c r="I2552" s="2" t="s">
        <v>23</v>
      </c>
      <c r="J2552" s="2">
        <v>86</v>
      </c>
      <c r="K2552" s="2" t="s">
        <v>73</v>
      </c>
      <c r="L2552" s="2">
        <v>2338</v>
      </c>
      <c r="M2552" s="2" t="s">
        <v>417</v>
      </c>
      <c r="N2552" s="2">
        <v>10</v>
      </c>
      <c r="O2552" s="2">
        <v>295680.5</v>
      </c>
      <c r="P2552" s="2">
        <v>29568.05</v>
      </c>
    </row>
    <row r="2553" spans="1:16" outlineLevel="1" x14ac:dyDescent="0.2">
      <c r="A2553" s="5"/>
      <c r="D2553" s="3" t="s">
        <v>772</v>
      </c>
      <c r="N2553" s="2">
        <f>SUBTOTAL(9,N2552:N2552)</f>
        <v>10</v>
      </c>
      <c r="O2553" s="2">
        <f>SUBTOTAL(9,O2552:O2552)</f>
        <v>295680.5</v>
      </c>
      <c r="P2553" s="2">
        <f>+O2553/N2553</f>
        <v>29568.05</v>
      </c>
    </row>
    <row r="2554" spans="1:16" outlineLevel="2" x14ac:dyDescent="0.2">
      <c r="A2554" s="5">
        <v>46125</v>
      </c>
      <c r="B2554" s="2">
        <v>158567</v>
      </c>
      <c r="C2554" s="2">
        <v>1</v>
      </c>
      <c r="D2554" s="2" t="s">
        <v>143</v>
      </c>
      <c r="E2554" s="2" t="s">
        <v>23</v>
      </c>
      <c r="F2554" s="2" t="s">
        <v>144</v>
      </c>
      <c r="G2554" s="2" t="s">
        <v>22</v>
      </c>
      <c r="H2554" s="2" t="s">
        <v>23</v>
      </c>
      <c r="I2554" s="2" t="s">
        <v>23</v>
      </c>
      <c r="J2554" s="2">
        <v>1</v>
      </c>
      <c r="K2554" s="2" t="s">
        <v>24</v>
      </c>
      <c r="L2554" s="2">
        <v>2101</v>
      </c>
      <c r="M2554" s="2" t="s">
        <v>145</v>
      </c>
      <c r="N2554" s="2">
        <v>377</v>
      </c>
      <c r="O2554" s="2">
        <v>2143860.16</v>
      </c>
      <c r="P2554" s="2">
        <v>5686.63</v>
      </c>
    </row>
    <row r="2555" spans="1:16" outlineLevel="1" x14ac:dyDescent="0.2">
      <c r="A2555" s="5"/>
      <c r="D2555" s="3" t="s">
        <v>706</v>
      </c>
      <c r="N2555" s="2">
        <f>SUBTOTAL(9,N2554:N2554)</f>
        <v>377</v>
      </c>
      <c r="O2555" s="2">
        <f>SUBTOTAL(9,O2554:O2554)</f>
        <v>2143860.16</v>
      </c>
      <c r="P2555" s="2">
        <f>+O2555/N2555</f>
        <v>5686.6317241379311</v>
      </c>
    </row>
    <row r="2556" spans="1:16" outlineLevel="2" x14ac:dyDescent="0.2">
      <c r="A2556" s="5">
        <v>46125</v>
      </c>
      <c r="B2556" s="2">
        <v>158568</v>
      </c>
      <c r="C2556" s="2">
        <v>1</v>
      </c>
      <c r="D2556" s="2" t="s">
        <v>160</v>
      </c>
      <c r="E2556" s="2" t="s">
        <v>23</v>
      </c>
      <c r="F2556" s="2" t="s">
        <v>289</v>
      </c>
      <c r="G2556" s="2" t="s">
        <v>22</v>
      </c>
      <c r="H2556" s="2" t="s">
        <v>23</v>
      </c>
      <c r="I2556" s="2" t="s">
        <v>23</v>
      </c>
      <c r="J2556" s="2">
        <v>2</v>
      </c>
      <c r="K2556" s="2" t="s">
        <v>48</v>
      </c>
      <c r="L2556" s="2">
        <v>2803</v>
      </c>
      <c r="M2556" s="2" t="s">
        <v>472</v>
      </c>
      <c r="N2556" s="2">
        <v>1</v>
      </c>
      <c r="O2556" s="2">
        <v>29568.05</v>
      </c>
      <c r="P2556" s="2">
        <v>29568.05</v>
      </c>
    </row>
    <row r="2557" spans="1:16" outlineLevel="1" x14ac:dyDescent="0.2">
      <c r="A2557" s="5"/>
      <c r="D2557" s="3" t="s">
        <v>709</v>
      </c>
      <c r="N2557" s="2">
        <f>SUBTOTAL(9,N2556:N2556)</f>
        <v>1</v>
      </c>
      <c r="O2557" s="2">
        <f>SUBTOTAL(9,O2556:O2556)</f>
        <v>29568.05</v>
      </c>
      <c r="P2557" s="2">
        <f>+O2557/N2557</f>
        <v>29568.05</v>
      </c>
    </row>
    <row r="2558" spans="1:16" outlineLevel="2" x14ac:dyDescent="0.2">
      <c r="A2558" s="5">
        <v>46125</v>
      </c>
      <c r="B2558" s="2">
        <v>158569</v>
      </c>
      <c r="C2558" s="2">
        <v>1</v>
      </c>
      <c r="D2558" s="2" t="s">
        <v>226</v>
      </c>
      <c r="E2558" s="2" t="s">
        <v>227</v>
      </c>
      <c r="F2558" s="2" t="s">
        <v>47</v>
      </c>
      <c r="G2558" s="2" t="s">
        <v>22</v>
      </c>
      <c r="H2558" s="2" t="s">
        <v>23</v>
      </c>
      <c r="I2558" s="2" t="s">
        <v>23</v>
      </c>
      <c r="J2558" s="2">
        <v>41</v>
      </c>
      <c r="K2558" s="2" t="s">
        <v>129</v>
      </c>
      <c r="L2558" s="2">
        <v>1964</v>
      </c>
      <c r="M2558" s="2" t="s">
        <v>49</v>
      </c>
      <c r="N2558" s="2">
        <v>96</v>
      </c>
      <c r="O2558" s="2">
        <v>2228613.1200000001</v>
      </c>
      <c r="P2558" s="2">
        <v>23214.720000000001</v>
      </c>
    </row>
    <row r="2559" spans="1:16" outlineLevel="1" x14ac:dyDescent="0.2">
      <c r="A2559" s="5"/>
      <c r="D2559" s="3" t="s">
        <v>736</v>
      </c>
      <c r="N2559" s="2">
        <f>SUBTOTAL(9,N2558:N2558)</f>
        <v>96</v>
      </c>
      <c r="O2559" s="2">
        <f>SUBTOTAL(9,O2558:O2558)</f>
        <v>2228613.1200000001</v>
      </c>
      <c r="P2559" s="2">
        <f>+O2559/N2559</f>
        <v>23214.720000000001</v>
      </c>
    </row>
    <row r="2560" spans="1:16" outlineLevel="2" x14ac:dyDescent="0.2">
      <c r="A2560" s="5">
        <v>46125</v>
      </c>
      <c r="B2560" s="2">
        <v>158569</v>
      </c>
      <c r="C2560" s="2">
        <v>2</v>
      </c>
      <c r="D2560" s="2" t="s">
        <v>45</v>
      </c>
      <c r="E2560" s="2" t="s">
        <v>295</v>
      </c>
      <c r="F2560" s="2" t="s">
        <v>47</v>
      </c>
      <c r="G2560" s="2" t="s">
        <v>22</v>
      </c>
      <c r="H2560" s="2" t="s">
        <v>23</v>
      </c>
      <c r="I2560" s="2" t="s">
        <v>23</v>
      </c>
      <c r="J2560" s="2">
        <v>41</v>
      </c>
      <c r="K2560" s="2" t="s">
        <v>129</v>
      </c>
      <c r="L2560" s="2">
        <v>1964</v>
      </c>
      <c r="M2560" s="2" t="s">
        <v>49</v>
      </c>
      <c r="N2560" s="2">
        <v>79</v>
      </c>
      <c r="O2560" s="2">
        <v>1256819.82</v>
      </c>
      <c r="P2560" s="2">
        <v>15909.11</v>
      </c>
    </row>
    <row r="2561" spans="1:16" outlineLevel="2" x14ac:dyDescent="0.2">
      <c r="A2561" s="5">
        <v>46125</v>
      </c>
      <c r="B2561" s="2">
        <v>158569</v>
      </c>
      <c r="C2561" s="2">
        <v>3</v>
      </c>
      <c r="D2561" s="2" t="s">
        <v>45</v>
      </c>
      <c r="E2561" s="2" t="s">
        <v>228</v>
      </c>
      <c r="F2561" s="2" t="s">
        <v>47</v>
      </c>
      <c r="G2561" s="2" t="s">
        <v>22</v>
      </c>
      <c r="H2561" s="2" t="s">
        <v>23</v>
      </c>
      <c r="I2561" s="2" t="s">
        <v>23</v>
      </c>
      <c r="J2561" s="2">
        <v>41</v>
      </c>
      <c r="K2561" s="2" t="s">
        <v>129</v>
      </c>
      <c r="L2561" s="2">
        <v>1964</v>
      </c>
      <c r="M2561" s="2" t="s">
        <v>49</v>
      </c>
      <c r="N2561" s="2">
        <v>16</v>
      </c>
      <c r="O2561" s="2">
        <v>303202.77</v>
      </c>
      <c r="P2561" s="2">
        <v>18950.169999999998</v>
      </c>
    </row>
    <row r="2562" spans="1:16" outlineLevel="1" x14ac:dyDescent="0.2">
      <c r="A2562" s="5"/>
      <c r="D2562" s="3" t="s">
        <v>733</v>
      </c>
      <c r="N2562" s="2">
        <f>SUBTOTAL(9,N2560:N2561)</f>
        <v>95</v>
      </c>
      <c r="O2562" s="2">
        <f>SUBTOTAL(9,O2560:O2561)</f>
        <v>1560022.59</v>
      </c>
      <c r="P2562" s="2">
        <f>+O2562/N2562</f>
        <v>16421.290421052632</v>
      </c>
    </row>
    <row r="2563" spans="1:16" outlineLevel="2" x14ac:dyDescent="0.2">
      <c r="A2563" s="5">
        <v>46125</v>
      </c>
      <c r="B2563" s="2">
        <v>158570</v>
      </c>
      <c r="C2563" s="2">
        <v>1</v>
      </c>
      <c r="D2563" s="2" t="s">
        <v>362</v>
      </c>
      <c r="E2563" s="2" t="s">
        <v>141</v>
      </c>
      <c r="F2563" s="2" t="s">
        <v>108</v>
      </c>
      <c r="G2563" s="2" t="s">
        <v>22</v>
      </c>
      <c r="H2563" s="2" t="s">
        <v>23</v>
      </c>
      <c r="I2563" s="2" t="s">
        <v>23</v>
      </c>
      <c r="J2563" s="2">
        <v>1</v>
      </c>
      <c r="K2563" s="2" t="s">
        <v>24</v>
      </c>
      <c r="L2563" s="2">
        <v>1833</v>
      </c>
      <c r="M2563" s="2" t="s">
        <v>142</v>
      </c>
      <c r="N2563" s="2">
        <v>31</v>
      </c>
      <c r="O2563" s="2">
        <v>606707.74</v>
      </c>
      <c r="P2563" s="2">
        <v>19571.22</v>
      </c>
    </row>
    <row r="2564" spans="1:16" outlineLevel="2" x14ac:dyDescent="0.2">
      <c r="A2564" s="5">
        <v>46125</v>
      </c>
      <c r="B2564" s="2">
        <v>158570</v>
      </c>
      <c r="C2564" s="2">
        <v>2</v>
      </c>
      <c r="D2564" s="2" t="s">
        <v>362</v>
      </c>
      <c r="E2564" s="2" t="s">
        <v>248</v>
      </c>
      <c r="F2564" s="2" t="s">
        <v>108</v>
      </c>
      <c r="G2564" s="2" t="s">
        <v>22</v>
      </c>
      <c r="H2564" s="2" t="s">
        <v>23</v>
      </c>
      <c r="I2564" s="2" t="s">
        <v>23</v>
      </c>
      <c r="J2564" s="2">
        <v>1</v>
      </c>
      <c r="K2564" s="2" t="s">
        <v>24</v>
      </c>
      <c r="L2564" s="2">
        <v>1833</v>
      </c>
      <c r="M2564" s="2" t="s">
        <v>142</v>
      </c>
      <c r="N2564" s="2">
        <v>10</v>
      </c>
      <c r="O2564" s="2">
        <v>62320.7</v>
      </c>
      <c r="P2564" s="2">
        <v>6232.07</v>
      </c>
    </row>
    <row r="2565" spans="1:16" outlineLevel="1" x14ac:dyDescent="0.2">
      <c r="A2565" s="5"/>
      <c r="D2565" s="3" t="s">
        <v>762</v>
      </c>
      <c r="N2565" s="2">
        <f>SUBTOTAL(9,N2563:N2564)</f>
        <v>41</v>
      </c>
      <c r="O2565" s="2">
        <f>SUBTOTAL(9,O2563:O2564)</f>
        <v>669028.43999999994</v>
      </c>
      <c r="P2565" s="2">
        <f>+O2565/N2565</f>
        <v>16317.766829268292</v>
      </c>
    </row>
    <row r="2566" spans="1:16" outlineLevel="2" x14ac:dyDescent="0.2">
      <c r="A2566" s="5">
        <v>46125</v>
      </c>
      <c r="B2566" s="2">
        <v>158571</v>
      </c>
      <c r="C2566" s="2">
        <v>1</v>
      </c>
      <c r="D2566" s="2" t="s">
        <v>451</v>
      </c>
      <c r="E2566" s="2" t="s">
        <v>23</v>
      </c>
      <c r="F2566" s="2" t="s">
        <v>144</v>
      </c>
      <c r="G2566" s="2" t="s">
        <v>22</v>
      </c>
      <c r="H2566" s="2" t="s">
        <v>23</v>
      </c>
      <c r="I2566" s="2" t="s">
        <v>23</v>
      </c>
      <c r="J2566" s="2">
        <v>1</v>
      </c>
      <c r="K2566" s="2" t="s">
        <v>24</v>
      </c>
      <c r="L2566" s="2">
        <v>2273</v>
      </c>
      <c r="M2566" s="2" t="s">
        <v>452</v>
      </c>
      <c r="N2566" s="2">
        <v>58</v>
      </c>
      <c r="O2566" s="2">
        <v>698102.19</v>
      </c>
      <c r="P2566" s="2">
        <v>12036.24</v>
      </c>
    </row>
    <row r="2567" spans="1:16" outlineLevel="1" x14ac:dyDescent="0.2">
      <c r="A2567" s="5"/>
      <c r="D2567" s="3" t="s">
        <v>775</v>
      </c>
      <c r="N2567" s="2">
        <f>SUBTOTAL(9,N2566:N2566)</f>
        <v>58</v>
      </c>
      <c r="O2567" s="2">
        <f>SUBTOTAL(9,O2566:O2566)</f>
        <v>698102.19</v>
      </c>
      <c r="P2567" s="2">
        <f>+O2567/N2567</f>
        <v>12036.244655172413</v>
      </c>
    </row>
    <row r="2568" spans="1:16" outlineLevel="2" x14ac:dyDescent="0.2">
      <c r="A2568" s="5">
        <v>46125</v>
      </c>
      <c r="B2568" s="2">
        <v>158572</v>
      </c>
      <c r="C2568" s="2">
        <v>1</v>
      </c>
      <c r="D2568" s="2" t="s">
        <v>207</v>
      </c>
      <c r="E2568" s="2" t="s">
        <v>23</v>
      </c>
      <c r="F2568" s="2" t="s">
        <v>47</v>
      </c>
      <c r="G2568" s="2" t="s">
        <v>22</v>
      </c>
      <c r="H2568" s="2" t="s">
        <v>208</v>
      </c>
      <c r="I2568" s="2" t="s">
        <v>23</v>
      </c>
      <c r="J2568" s="2">
        <v>41</v>
      </c>
      <c r="K2568" s="2" t="s">
        <v>129</v>
      </c>
      <c r="L2568" s="2">
        <v>25213</v>
      </c>
      <c r="M2568" s="2" t="s">
        <v>130</v>
      </c>
      <c r="N2568" s="2">
        <v>25</v>
      </c>
      <c r="O2568" s="2">
        <v>72538.990000000005</v>
      </c>
      <c r="P2568" s="2">
        <v>2901.56</v>
      </c>
    </row>
    <row r="2569" spans="1:16" outlineLevel="2" x14ac:dyDescent="0.2">
      <c r="A2569" s="5">
        <v>46125</v>
      </c>
      <c r="B2569" s="2">
        <v>158572</v>
      </c>
      <c r="C2569" s="2">
        <v>2</v>
      </c>
      <c r="D2569" s="2" t="s">
        <v>207</v>
      </c>
      <c r="E2569" s="2" t="s">
        <v>23</v>
      </c>
      <c r="F2569" s="2" t="s">
        <v>47</v>
      </c>
      <c r="G2569" s="2" t="s">
        <v>22</v>
      </c>
      <c r="H2569" s="2" t="s">
        <v>209</v>
      </c>
      <c r="I2569" s="2" t="s">
        <v>23</v>
      </c>
      <c r="J2569" s="2">
        <v>41</v>
      </c>
      <c r="K2569" s="2" t="s">
        <v>129</v>
      </c>
      <c r="L2569" s="2">
        <v>25213</v>
      </c>
      <c r="M2569" s="2" t="s">
        <v>130</v>
      </c>
      <c r="N2569" s="2">
        <v>25</v>
      </c>
      <c r="O2569" s="2">
        <v>81126.75</v>
      </c>
      <c r="P2569" s="2">
        <v>3245.07</v>
      </c>
    </row>
    <row r="2570" spans="1:16" outlineLevel="1" x14ac:dyDescent="0.2">
      <c r="A2570" s="5"/>
      <c r="D2570" s="3" t="s">
        <v>699</v>
      </c>
      <c r="N2570" s="2">
        <f>SUBTOTAL(9,N2568:N2569)</f>
        <v>50</v>
      </c>
      <c r="O2570" s="2">
        <f>SUBTOTAL(9,O2568:O2569)</f>
        <v>153665.74</v>
      </c>
      <c r="P2570" s="2">
        <f>+O2570/N2570</f>
        <v>3073.3147999999997</v>
      </c>
    </row>
    <row r="2571" spans="1:16" outlineLevel="2" x14ac:dyDescent="0.2">
      <c r="A2571" s="5">
        <v>46125</v>
      </c>
      <c r="B2571" s="2">
        <v>158572</v>
      </c>
      <c r="C2571" s="2">
        <v>3</v>
      </c>
      <c r="D2571" s="2" t="s">
        <v>128</v>
      </c>
      <c r="E2571" s="2" t="s">
        <v>23</v>
      </c>
      <c r="F2571" s="2" t="s">
        <v>47</v>
      </c>
      <c r="G2571" s="2" t="s">
        <v>22</v>
      </c>
      <c r="H2571" s="2" t="s">
        <v>23</v>
      </c>
      <c r="I2571" s="2" t="s">
        <v>23</v>
      </c>
      <c r="J2571" s="2">
        <v>41</v>
      </c>
      <c r="K2571" s="2" t="s">
        <v>129</v>
      </c>
      <c r="L2571" s="2">
        <v>25213</v>
      </c>
      <c r="M2571" s="2" t="s">
        <v>130</v>
      </c>
      <c r="N2571" s="2">
        <v>25</v>
      </c>
      <c r="O2571" s="2">
        <v>90274.35</v>
      </c>
      <c r="P2571" s="2">
        <v>3610.97</v>
      </c>
    </row>
    <row r="2572" spans="1:16" outlineLevel="1" x14ac:dyDescent="0.2">
      <c r="A2572" s="5"/>
      <c r="D2572" s="3" t="s">
        <v>732</v>
      </c>
      <c r="N2572" s="2">
        <f>SUBTOTAL(9,N2571:N2571)</f>
        <v>25</v>
      </c>
      <c r="O2572" s="2">
        <f>SUBTOTAL(9,O2571:O2571)</f>
        <v>90274.35</v>
      </c>
      <c r="P2572" s="2">
        <f>+O2572/N2572</f>
        <v>3610.9740000000002</v>
      </c>
    </row>
    <row r="2573" spans="1:16" outlineLevel="2" x14ac:dyDescent="0.2">
      <c r="A2573" s="5">
        <v>46125</v>
      </c>
      <c r="B2573" s="2">
        <v>158572</v>
      </c>
      <c r="C2573" s="2">
        <v>4</v>
      </c>
      <c r="D2573" s="2" t="s">
        <v>207</v>
      </c>
      <c r="E2573" s="2" t="s">
        <v>23</v>
      </c>
      <c r="F2573" s="2" t="s">
        <v>47</v>
      </c>
      <c r="G2573" s="2" t="s">
        <v>22</v>
      </c>
      <c r="H2573" s="2" t="s">
        <v>23</v>
      </c>
      <c r="I2573" s="2" t="s">
        <v>23</v>
      </c>
      <c r="J2573" s="2">
        <v>1</v>
      </c>
      <c r="K2573" s="2" t="s">
        <v>24</v>
      </c>
      <c r="L2573" s="2">
        <v>25213</v>
      </c>
      <c r="M2573" s="2" t="s">
        <v>130</v>
      </c>
      <c r="N2573" s="2">
        <v>2</v>
      </c>
      <c r="O2573" s="2">
        <v>137544.95999999999</v>
      </c>
      <c r="P2573" s="2">
        <v>68772.479999999996</v>
      </c>
    </row>
    <row r="2574" spans="1:16" outlineLevel="1" x14ac:dyDescent="0.2">
      <c r="A2574" s="5"/>
      <c r="D2574" s="3" t="s">
        <v>699</v>
      </c>
      <c r="N2574" s="2">
        <f>SUBTOTAL(9,N2573:N2573)</f>
        <v>2</v>
      </c>
      <c r="O2574" s="2">
        <f>SUBTOTAL(9,O2573:O2573)</f>
        <v>137544.95999999999</v>
      </c>
      <c r="P2574" s="2">
        <f>+O2574/N2574</f>
        <v>68772.479999999996</v>
      </c>
    </row>
    <row r="2575" spans="1:16" outlineLevel="2" x14ac:dyDescent="0.2">
      <c r="A2575" s="5">
        <v>46125</v>
      </c>
      <c r="B2575" s="2">
        <v>158572</v>
      </c>
      <c r="C2575" s="2">
        <v>5</v>
      </c>
      <c r="D2575" s="2" t="s">
        <v>128</v>
      </c>
      <c r="E2575" s="2" t="s">
        <v>23</v>
      </c>
      <c r="F2575" s="2" t="s">
        <v>47</v>
      </c>
      <c r="G2575" s="2" t="s">
        <v>22</v>
      </c>
      <c r="H2575" s="2" t="s">
        <v>23</v>
      </c>
      <c r="I2575" s="2" t="s">
        <v>23</v>
      </c>
      <c r="J2575" s="2">
        <v>1</v>
      </c>
      <c r="K2575" s="2" t="s">
        <v>24</v>
      </c>
      <c r="L2575" s="2">
        <v>25213</v>
      </c>
      <c r="M2575" s="2" t="s">
        <v>130</v>
      </c>
      <c r="N2575" s="2">
        <v>5</v>
      </c>
      <c r="O2575" s="2">
        <v>433783.69</v>
      </c>
      <c r="P2575" s="2">
        <v>86756.74</v>
      </c>
    </row>
    <row r="2576" spans="1:16" outlineLevel="1" x14ac:dyDescent="0.2">
      <c r="A2576" s="5"/>
      <c r="D2576" s="3" t="s">
        <v>732</v>
      </c>
      <c r="N2576" s="2">
        <f>SUBTOTAL(9,N2575:N2575)</f>
        <v>5</v>
      </c>
      <c r="O2576" s="2">
        <f>SUBTOTAL(9,O2575:O2575)</f>
        <v>433783.69</v>
      </c>
      <c r="P2576" s="2">
        <f>+O2576/N2576</f>
        <v>86756.737999999998</v>
      </c>
    </row>
    <row r="2577" spans="1:16" outlineLevel="2" x14ac:dyDescent="0.2">
      <c r="A2577" s="5">
        <v>46148</v>
      </c>
      <c r="B2577" s="2">
        <v>158575</v>
      </c>
      <c r="C2577" s="2">
        <v>1</v>
      </c>
      <c r="D2577" s="2" t="s">
        <v>38</v>
      </c>
      <c r="E2577" s="2" t="s">
        <v>39</v>
      </c>
      <c r="F2577" s="2" t="s">
        <v>144</v>
      </c>
      <c r="G2577" s="2" t="s">
        <v>22</v>
      </c>
      <c r="H2577" s="2" t="s">
        <v>23</v>
      </c>
      <c r="I2577" s="2" t="s">
        <v>23</v>
      </c>
      <c r="J2577" s="2">
        <v>1</v>
      </c>
      <c r="K2577" s="2" t="s">
        <v>24</v>
      </c>
      <c r="L2577" s="2">
        <v>25101</v>
      </c>
      <c r="M2577" s="2" t="s">
        <v>473</v>
      </c>
      <c r="N2577" s="2">
        <v>4</v>
      </c>
      <c r="O2577" s="2">
        <v>92135.92</v>
      </c>
      <c r="P2577" s="2">
        <v>23033.98</v>
      </c>
    </row>
    <row r="2578" spans="1:16" outlineLevel="1" x14ac:dyDescent="0.2">
      <c r="A2578" s="5"/>
      <c r="D2578" s="3" t="s">
        <v>721</v>
      </c>
      <c r="N2578" s="2">
        <f>SUBTOTAL(9,N2577:N2577)</f>
        <v>4</v>
      </c>
      <c r="O2578" s="2">
        <f>SUBTOTAL(9,O2577:O2577)</f>
        <v>92135.92</v>
      </c>
      <c r="P2578" s="2">
        <f>+O2578/N2578</f>
        <v>23033.98</v>
      </c>
    </row>
    <row r="2579" spans="1:16" outlineLevel="2" x14ac:dyDescent="0.2">
      <c r="A2579" s="5">
        <v>46125</v>
      </c>
      <c r="B2579" s="2">
        <v>158576</v>
      </c>
      <c r="C2579" s="2">
        <v>1</v>
      </c>
      <c r="D2579" s="2" t="s">
        <v>119</v>
      </c>
      <c r="E2579" s="2" t="s">
        <v>120</v>
      </c>
      <c r="F2579" s="2" t="s">
        <v>47</v>
      </c>
      <c r="G2579" s="2" t="s">
        <v>22</v>
      </c>
      <c r="H2579" s="2" t="s">
        <v>23</v>
      </c>
      <c r="I2579" s="2" t="s">
        <v>23</v>
      </c>
      <c r="J2579" s="2">
        <v>97</v>
      </c>
      <c r="K2579" s="2" t="s">
        <v>441</v>
      </c>
      <c r="L2579" s="2">
        <v>25218</v>
      </c>
      <c r="M2579" s="2" t="s">
        <v>468</v>
      </c>
      <c r="N2579" s="2">
        <v>1</v>
      </c>
      <c r="O2579" s="2">
        <v>18366.77</v>
      </c>
      <c r="P2579" s="2">
        <v>18366.77</v>
      </c>
    </row>
    <row r="2580" spans="1:16" outlineLevel="2" x14ac:dyDescent="0.2">
      <c r="A2580" s="5">
        <v>46125</v>
      </c>
      <c r="B2580" s="2">
        <v>158576</v>
      </c>
      <c r="C2580" s="2">
        <v>2</v>
      </c>
      <c r="D2580" s="2" t="s">
        <v>119</v>
      </c>
      <c r="E2580" s="2" t="s">
        <v>120</v>
      </c>
      <c r="F2580" s="2" t="s">
        <v>47</v>
      </c>
      <c r="G2580" s="2" t="s">
        <v>22</v>
      </c>
      <c r="H2580" s="2" t="s">
        <v>23</v>
      </c>
      <c r="I2580" s="2" t="s">
        <v>23</v>
      </c>
      <c r="J2580" s="2">
        <v>97</v>
      </c>
      <c r="K2580" s="2" t="s">
        <v>441</v>
      </c>
      <c r="L2580" s="2">
        <v>25218</v>
      </c>
      <c r="M2580" s="2" t="s">
        <v>468</v>
      </c>
      <c r="N2580" s="2">
        <v>2</v>
      </c>
      <c r="O2580" s="2">
        <v>32066.35</v>
      </c>
      <c r="P2580" s="2">
        <v>16033.18</v>
      </c>
    </row>
    <row r="2581" spans="1:16" outlineLevel="2" x14ac:dyDescent="0.2">
      <c r="A2581" s="5">
        <v>46125</v>
      </c>
      <c r="B2581" s="2">
        <v>158576</v>
      </c>
      <c r="C2581" s="2">
        <v>200</v>
      </c>
      <c r="D2581" s="2" t="s">
        <v>119</v>
      </c>
      <c r="E2581" s="2" t="s">
        <v>120</v>
      </c>
      <c r="F2581" s="2" t="s">
        <v>47</v>
      </c>
      <c r="G2581" s="2" t="s">
        <v>22</v>
      </c>
      <c r="H2581" s="2" t="s">
        <v>23</v>
      </c>
      <c r="I2581" s="2" t="s">
        <v>23</v>
      </c>
      <c r="J2581" s="2">
        <v>1</v>
      </c>
      <c r="K2581" s="2" t="s">
        <v>24</v>
      </c>
      <c r="L2581" s="2">
        <v>25218</v>
      </c>
      <c r="M2581" s="2" t="s">
        <v>468</v>
      </c>
      <c r="N2581" s="2">
        <v>1</v>
      </c>
      <c r="O2581" s="2">
        <v>22100.54</v>
      </c>
      <c r="P2581" s="2">
        <v>22100.54</v>
      </c>
    </row>
    <row r="2582" spans="1:16" outlineLevel="2" x14ac:dyDescent="0.2">
      <c r="A2582" s="5">
        <v>46125</v>
      </c>
      <c r="B2582" s="2">
        <v>158580</v>
      </c>
      <c r="C2582" s="2">
        <v>1</v>
      </c>
      <c r="D2582" s="2" t="s">
        <v>119</v>
      </c>
      <c r="E2582" s="2" t="s">
        <v>23</v>
      </c>
      <c r="F2582" s="2" t="s">
        <v>23</v>
      </c>
      <c r="G2582" s="2" t="s">
        <v>22</v>
      </c>
      <c r="H2582" s="2" t="s">
        <v>23</v>
      </c>
      <c r="I2582" s="2" t="s">
        <v>23</v>
      </c>
      <c r="J2582" s="2">
        <v>1</v>
      </c>
      <c r="K2582" s="2" t="s">
        <v>24</v>
      </c>
      <c r="L2582" s="2">
        <v>2089</v>
      </c>
      <c r="M2582" s="2" t="s">
        <v>87</v>
      </c>
      <c r="N2582" s="2">
        <v>1</v>
      </c>
      <c r="O2582" s="2">
        <v>44503.07</v>
      </c>
      <c r="P2582" s="2">
        <v>44503.07</v>
      </c>
    </row>
    <row r="2583" spans="1:16" outlineLevel="1" x14ac:dyDescent="0.2">
      <c r="A2583" s="5"/>
      <c r="D2583" s="3" t="s">
        <v>708</v>
      </c>
      <c r="N2583" s="2">
        <f>SUBTOTAL(9,N2579:N2582)</f>
        <v>5</v>
      </c>
      <c r="O2583" s="2">
        <f>SUBTOTAL(9,O2579:O2582)</f>
        <v>117036.73000000001</v>
      </c>
      <c r="P2583" s="2">
        <f>+O2583/N2583</f>
        <v>23407.346000000001</v>
      </c>
    </row>
    <row r="2584" spans="1:16" outlineLevel="2" x14ac:dyDescent="0.2">
      <c r="A2584" s="5">
        <v>46127</v>
      </c>
      <c r="B2584" s="2">
        <v>158594</v>
      </c>
      <c r="C2584" s="2">
        <v>2</v>
      </c>
      <c r="D2584" s="2" t="s">
        <v>140</v>
      </c>
      <c r="E2584" s="2" t="s">
        <v>141</v>
      </c>
      <c r="F2584" s="2" t="s">
        <v>108</v>
      </c>
      <c r="G2584" s="2" t="s">
        <v>22</v>
      </c>
      <c r="H2584" s="2" t="s">
        <v>23</v>
      </c>
      <c r="I2584" s="2" t="s">
        <v>23</v>
      </c>
      <c r="J2584" s="2">
        <v>1</v>
      </c>
      <c r="K2584" s="2" t="s">
        <v>24</v>
      </c>
      <c r="L2584" s="2">
        <v>1833</v>
      </c>
      <c r="M2584" s="2" t="s">
        <v>142</v>
      </c>
      <c r="N2584" s="2">
        <v>20</v>
      </c>
      <c r="O2584" s="2">
        <v>562424.37</v>
      </c>
      <c r="P2584" s="2">
        <v>28121.22</v>
      </c>
    </row>
    <row r="2585" spans="1:16" outlineLevel="1" x14ac:dyDescent="0.2">
      <c r="A2585" s="5"/>
      <c r="D2585" s="3" t="s">
        <v>696</v>
      </c>
      <c r="N2585" s="2">
        <f>SUBTOTAL(9,N2584:N2584)</f>
        <v>20</v>
      </c>
      <c r="O2585" s="2">
        <f>SUBTOTAL(9,O2584:O2584)</f>
        <v>562424.37</v>
      </c>
      <c r="P2585" s="2">
        <f>+O2585/N2585</f>
        <v>28121.218499999999</v>
      </c>
    </row>
    <row r="2586" spans="1:16" outlineLevel="2" x14ac:dyDescent="0.2">
      <c r="A2586" s="5">
        <v>46127</v>
      </c>
      <c r="B2586" s="2">
        <v>158595</v>
      </c>
      <c r="C2586" s="2">
        <v>1</v>
      </c>
      <c r="D2586" s="2" t="s">
        <v>83</v>
      </c>
      <c r="E2586" s="2" t="s">
        <v>84</v>
      </c>
      <c r="F2586" s="2" t="s">
        <v>31</v>
      </c>
      <c r="G2586" s="2" t="s">
        <v>22</v>
      </c>
      <c r="H2586" s="2" t="s">
        <v>23</v>
      </c>
      <c r="I2586" s="2" t="s">
        <v>23</v>
      </c>
      <c r="J2586" s="2">
        <v>1</v>
      </c>
      <c r="K2586" s="2" t="s">
        <v>24</v>
      </c>
      <c r="L2586" s="2">
        <v>226</v>
      </c>
      <c r="M2586" s="2" t="s">
        <v>59</v>
      </c>
      <c r="N2586" s="2">
        <v>89</v>
      </c>
      <c r="O2586" s="2">
        <v>3114125.24</v>
      </c>
      <c r="P2586" s="2">
        <v>34990.17</v>
      </c>
    </row>
    <row r="2587" spans="1:16" outlineLevel="1" x14ac:dyDescent="0.2">
      <c r="A2587" s="5"/>
      <c r="D2587" s="3" t="s">
        <v>701</v>
      </c>
      <c r="N2587" s="2">
        <f>SUBTOTAL(9,N2586:N2586)</f>
        <v>89</v>
      </c>
      <c r="O2587" s="2">
        <f>SUBTOTAL(9,O2586:O2586)</f>
        <v>3114125.24</v>
      </c>
      <c r="P2587" s="2">
        <f>+O2587/N2587</f>
        <v>34990.171235955058</v>
      </c>
    </row>
    <row r="2588" spans="1:16" outlineLevel="2" x14ac:dyDescent="0.2">
      <c r="A2588" s="5">
        <v>46127</v>
      </c>
      <c r="B2588" s="2">
        <v>158595</v>
      </c>
      <c r="C2588" s="2">
        <v>2</v>
      </c>
      <c r="D2588" s="2" t="s">
        <v>60</v>
      </c>
      <c r="E2588" s="2" t="s">
        <v>346</v>
      </c>
      <c r="F2588" s="2" t="s">
        <v>31</v>
      </c>
      <c r="G2588" s="2" t="s">
        <v>22</v>
      </c>
      <c r="H2588" s="2" t="s">
        <v>23</v>
      </c>
      <c r="I2588" s="2" t="s">
        <v>23</v>
      </c>
      <c r="J2588" s="2">
        <v>78</v>
      </c>
      <c r="K2588" s="2" t="s">
        <v>212</v>
      </c>
      <c r="L2588" s="2">
        <v>226</v>
      </c>
      <c r="M2588" s="2" t="s">
        <v>59</v>
      </c>
      <c r="N2588" s="2">
        <v>91</v>
      </c>
      <c r="O2588" s="2">
        <v>2003681.62</v>
      </c>
      <c r="P2588" s="2">
        <v>22018.48</v>
      </c>
    </row>
    <row r="2589" spans="1:16" outlineLevel="1" x14ac:dyDescent="0.2">
      <c r="A2589" s="5"/>
      <c r="D2589" s="3" t="s">
        <v>728</v>
      </c>
      <c r="N2589" s="2">
        <f>SUBTOTAL(9,N2588:N2588)</f>
        <v>91</v>
      </c>
      <c r="O2589" s="2">
        <f>SUBTOTAL(9,O2588:O2588)</f>
        <v>2003681.62</v>
      </c>
      <c r="P2589" s="2">
        <f>+O2589/N2589</f>
        <v>22018.479340659342</v>
      </c>
    </row>
    <row r="2590" spans="1:16" outlineLevel="2" x14ac:dyDescent="0.2">
      <c r="A2590" s="5">
        <v>46127</v>
      </c>
      <c r="B2590" s="2">
        <v>158595</v>
      </c>
      <c r="C2590" s="2">
        <v>3</v>
      </c>
      <c r="D2590" s="2" t="s">
        <v>434</v>
      </c>
      <c r="E2590" s="2" t="s">
        <v>435</v>
      </c>
      <c r="F2590" s="2" t="s">
        <v>31</v>
      </c>
      <c r="G2590" s="2" t="s">
        <v>22</v>
      </c>
      <c r="H2590" s="2" t="s">
        <v>23</v>
      </c>
      <c r="I2590" s="2" t="s">
        <v>23</v>
      </c>
      <c r="J2590" s="2">
        <v>11</v>
      </c>
      <c r="K2590" s="2" t="s">
        <v>257</v>
      </c>
      <c r="L2590" s="2">
        <v>226</v>
      </c>
      <c r="M2590" s="2" t="s">
        <v>59</v>
      </c>
      <c r="N2590" s="2">
        <v>42</v>
      </c>
      <c r="O2590" s="2">
        <v>1265495.94</v>
      </c>
      <c r="P2590" s="2">
        <v>30130.86</v>
      </c>
    </row>
    <row r="2591" spans="1:16" outlineLevel="1" x14ac:dyDescent="0.2">
      <c r="A2591" s="5"/>
      <c r="D2591" s="3" t="s">
        <v>773</v>
      </c>
      <c r="N2591" s="2">
        <f>SUBTOTAL(9,N2590:N2590)</f>
        <v>42</v>
      </c>
      <c r="O2591" s="2">
        <f>SUBTOTAL(9,O2590:O2590)</f>
        <v>1265495.94</v>
      </c>
      <c r="P2591" s="2">
        <f>+O2591/N2591</f>
        <v>30130.855714285713</v>
      </c>
    </row>
    <row r="2592" spans="1:16" outlineLevel="2" x14ac:dyDescent="0.2">
      <c r="A2592" s="5">
        <v>46127</v>
      </c>
      <c r="B2592" s="2">
        <v>158596</v>
      </c>
      <c r="C2592" s="2">
        <v>1</v>
      </c>
      <c r="D2592" s="2" t="s">
        <v>45</v>
      </c>
      <c r="E2592" s="2" t="s">
        <v>228</v>
      </c>
      <c r="F2592" s="2" t="s">
        <v>47</v>
      </c>
      <c r="G2592" s="2" t="s">
        <v>22</v>
      </c>
      <c r="H2592" s="2" t="s">
        <v>23</v>
      </c>
      <c r="I2592" s="2" t="s">
        <v>23</v>
      </c>
      <c r="J2592" s="2">
        <v>41</v>
      </c>
      <c r="K2592" s="2" t="s">
        <v>129</v>
      </c>
      <c r="L2592" s="2">
        <v>1964</v>
      </c>
      <c r="M2592" s="2" t="s">
        <v>49</v>
      </c>
      <c r="N2592" s="2">
        <v>24</v>
      </c>
      <c r="O2592" s="2">
        <v>438935.75</v>
      </c>
      <c r="P2592" s="2">
        <v>18288.990000000002</v>
      </c>
    </row>
    <row r="2593" spans="1:16" outlineLevel="2" x14ac:dyDescent="0.2">
      <c r="A2593" s="5">
        <v>46127</v>
      </c>
      <c r="B2593" s="2">
        <v>158596</v>
      </c>
      <c r="C2593" s="2">
        <v>2</v>
      </c>
      <c r="D2593" s="2" t="s">
        <v>45</v>
      </c>
      <c r="E2593" s="2" t="s">
        <v>227</v>
      </c>
      <c r="F2593" s="2" t="s">
        <v>47</v>
      </c>
      <c r="G2593" s="2" t="s">
        <v>22</v>
      </c>
      <c r="H2593" s="2" t="s">
        <v>23</v>
      </c>
      <c r="I2593" s="2" t="s">
        <v>23</v>
      </c>
      <c r="J2593" s="2">
        <v>41</v>
      </c>
      <c r="K2593" s="2" t="s">
        <v>129</v>
      </c>
      <c r="L2593" s="2">
        <v>1964</v>
      </c>
      <c r="M2593" s="2" t="s">
        <v>49</v>
      </c>
      <c r="N2593" s="2">
        <v>66</v>
      </c>
      <c r="O2593" s="2">
        <v>1137531.94</v>
      </c>
      <c r="P2593" s="2">
        <v>17235.330000000002</v>
      </c>
    </row>
    <row r="2594" spans="1:16" outlineLevel="1" x14ac:dyDescent="0.2">
      <c r="A2594" s="5"/>
      <c r="D2594" s="3" t="s">
        <v>733</v>
      </c>
      <c r="N2594" s="2">
        <f>SUBTOTAL(9,N2592:N2593)</f>
        <v>90</v>
      </c>
      <c r="O2594" s="2">
        <f>SUBTOTAL(9,O2592:O2593)</f>
        <v>1576467.69</v>
      </c>
      <c r="P2594" s="2">
        <f>+O2594/N2594</f>
        <v>17516.307666666668</v>
      </c>
    </row>
    <row r="2595" spans="1:16" outlineLevel="2" x14ac:dyDescent="0.2">
      <c r="A2595" s="5">
        <v>46127</v>
      </c>
      <c r="B2595" s="2">
        <v>158596</v>
      </c>
      <c r="C2595" s="2">
        <v>3</v>
      </c>
      <c r="D2595" s="2" t="s">
        <v>226</v>
      </c>
      <c r="E2595" s="2" t="s">
        <v>227</v>
      </c>
      <c r="F2595" s="2" t="s">
        <v>47</v>
      </c>
      <c r="G2595" s="2" t="s">
        <v>22</v>
      </c>
      <c r="H2595" s="2" t="s">
        <v>23</v>
      </c>
      <c r="I2595" s="2" t="s">
        <v>23</v>
      </c>
      <c r="J2595" s="2">
        <v>41</v>
      </c>
      <c r="K2595" s="2" t="s">
        <v>129</v>
      </c>
      <c r="L2595" s="2">
        <v>1964</v>
      </c>
      <c r="M2595" s="2" t="s">
        <v>49</v>
      </c>
      <c r="N2595" s="2">
        <v>50</v>
      </c>
      <c r="O2595" s="2">
        <v>1145110.03</v>
      </c>
      <c r="P2595" s="2">
        <v>22902.2</v>
      </c>
    </row>
    <row r="2596" spans="1:16" outlineLevel="1" x14ac:dyDescent="0.2">
      <c r="A2596" s="5"/>
      <c r="D2596" s="3" t="s">
        <v>736</v>
      </c>
      <c r="N2596" s="2">
        <f>SUBTOTAL(9,N2595:N2595)</f>
        <v>50</v>
      </c>
      <c r="O2596" s="2">
        <f>SUBTOTAL(9,O2595:O2595)</f>
        <v>1145110.03</v>
      </c>
      <c r="P2596" s="2">
        <f>+O2596/N2596</f>
        <v>22902.2006</v>
      </c>
    </row>
    <row r="2597" spans="1:16" outlineLevel="2" x14ac:dyDescent="0.2">
      <c r="A2597" s="5">
        <v>46127</v>
      </c>
      <c r="B2597" s="2">
        <v>158597</v>
      </c>
      <c r="C2597" s="2">
        <v>1</v>
      </c>
      <c r="D2597" s="2" t="s">
        <v>474</v>
      </c>
      <c r="E2597" s="2" t="s">
        <v>475</v>
      </c>
      <c r="F2597" s="2" t="s">
        <v>47</v>
      </c>
      <c r="G2597" s="2" t="s">
        <v>22</v>
      </c>
      <c r="H2597" s="2" t="s">
        <v>23</v>
      </c>
      <c r="I2597" s="2" t="s">
        <v>23</v>
      </c>
      <c r="J2597" s="2">
        <v>41</v>
      </c>
      <c r="K2597" s="2" t="s">
        <v>129</v>
      </c>
      <c r="L2597" s="2">
        <v>2338</v>
      </c>
      <c r="M2597" s="2" t="s">
        <v>417</v>
      </c>
      <c r="N2597" s="2">
        <v>160</v>
      </c>
      <c r="O2597" s="2">
        <v>327296.21999999997</v>
      </c>
      <c r="P2597" s="2">
        <v>2045.6</v>
      </c>
    </row>
    <row r="2598" spans="1:16" outlineLevel="1" x14ac:dyDescent="0.2">
      <c r="A2598" s="5"/>
      <c r="D2598" s="3" t="s">
        <v>780</v>
      </c>
      <c r="N2598" s="2">
        <f>SUBTOTAL(9,N2597:N2597)</f>
        <v>160</v>
      </c>
      <c r="O2598" s="2">
        <f>SUBTOTAL(9,O2597:O2597)</f>
        <v>327296.21999999997</v>
      </c>
      <c r="P2598" s="2">
        <f>+O2598/N2598</f>
        <v>2045.6013749999997</v>
      </c>
    </row>
    <row r="2599" spans="1:16" outlineLevel="2" x14ac:dyDescent="0.2">
      <c r="A2599" s="5">
        <v>46127</v>
      </c>
      <c r="B2599" s="2">
        <v>158597</v>
      </c>
      <c r="C2599" s="2">
        <v>2</v>
      </c>
      <c r="D2599" s="2" t="s">
        <v>300</v>
      </c>
      <c r="E2599" s="2" t="s">
        <v>23</v>
      </c>
      <c r="F2599" s="2" t="s">
        <v>47</v>
      </c>
      <c r="G2599" s="2" t="s">
        <v>22</v>
      </c>
      <c r="H2599" s="2" t="s">
        <v>23</v>
      </c>
      <c r="I2599" s="2" t="s">
        <v>23</v>
      </c>
      <c r="J2599" s="2">
        <v>86</v>
      </c>
      <c r="K2599" s="2" t="s">
        <v>73</v>
      </c>
      <c r="L2599" s="2">
        <v>2338</v>
      </c>
      <c r="M2599" s="2" t="s">
        <v>417</v>
      </c>
      <c r="N2599" s="2">
        <v>7</v>
      </c>
      <c r="O2599" s="2">
        <v>165905.01</v>
      </c>
      <c r="P2599" s="2">
        <v>23700.720000000001</v>
      </c>
    </row>
    <row r="2600" spans="1:16" outlineLevel="1" x14ac:dyDescent="0.2">
      <c r="A2600" s="5"/>
      <c r="D2600" s="3" t="s">
        <v>743</v>
      </c>
      <c r="N2600" s="2">
        <f>SUBTOTAL(9,N2599:N2599)</f>
        <v>7</v>
      </c>
      <c r="O2600" s="2">
        <f>SUBTOTAL(9,O2599:O2599)</f>
        <v>165905.01</v>
      </c>
      <c r="P2600" s="2">
        <f>+O2600/N2600</f>
        <v>23700.715714285714</v>
      </c>
    </row>
    <row r="2601" spans="1:16" outlineLevel="2" x14ac:dyDescent="0.2">
      <c r="A2601" s="5">
        <v>46127</v>
      </c>
      <c r="B2601" s="2">
        <v>158598</v>
      </c>
      <c r="C2601" s="2">
        <v>1</v>
      </c>
      <c r="D2601" s="2" t="s">
        <v>57</v>
      </c>
      <c r="E2601" s="2" t="s">
        <v>58</v>
      </c>
      <c r="F2601" s="2" t="s">
        <v>31</v>
      </c>
      <c r="G2601" s="2" t="s">
        <v>22</v>
      </c>
      <c r="H2601" s="2" t="s">
        <v>23</v>
      </c>
      <c r="I2601" s="2" t="s">
        <v>23</v>
      </c>
      <c r="J2601" s="2">
        <v>1</v>
      </c>
      <c r="K2601" s="2" t="s">
        <v>24</v>
      </c>
      <c r="L2601" s="2">
        <v>226</v>
      </c>
      <c r="M2601" s="2" t="s">
        <v>59</v>
      </c>
      <c r="N2601" s="2">
        <v>84</v>
      </c>
      <c r="O2601" s="2">
        <v>3537915.62</v>
      </c>
      <c r="P2601" s="2">
        <v>42118.04</v>
      </c>
    </row>
    <row r="2602" spans="1:16" outlineLevel="1" x14ac:dyDescent="0.2">
      <c r="A2602" s="5"/>
      <c r="D2602" s="3" t="s">
        <v>716</v>
      </c>
      <c r="N2602" s="2">
        <f>SUBTOTAL(9,N2601:N2601)</f>
        <v>84</v>
      </c>
      <c r="O2602" s="2">
        <f>SUBTOTAL(9,O2601:O2601)</f>
        <v>3537915.62</v>
      </c>
      <c r="P2602" s="2">
        <f>+O2602/N2602</f>
        <v>42118.043095238099</v>
      </c>
    </row>
    <row r="2603" spans="1:16" outlineLevel="2" x14ac:dyDescent="0.2">
      <c r="A2603" s="5">
        <v>46127</v>
      </c>
      <c r="B2603" s="2">
        <v>158599</v>
      </c>
      <c r="C2603" s="2">
        <v>1</v>
      </c>
      <c r="D2603" s="2" t="s">
        <v>476</v>
      </c>
      <c r="E2603" s="2" t="s">
        <v>19</v>
      </c>
      <c r="F2603" s="2" t="s">
        <v>35</v>
      </c>
      <c r="G2603" s="2" t="s">
        <v>22</v>
      </c>
      <c r="H2603" s="2" t="s">
        <v>23</v>
      </c>
      <c r="I2603" s="2" t="s">
        <v>23</v>
      </c>
      <c r="J2603" s="2">
        <v>130</v>
      </c>
      <c r="K2603" s="2" t="s">
        <v>427</v>
      </c>
      <c r="L2603" s="2">
        <v>1829</v>
      </c>
      <c r="M2603" s="2" t="s">
        <v>25</v>
      </c>
      <c r="N2603" s="2">
        <v>432</v>
      </c>
      <c r="O2603" s="2">
        <v>2066680.64</v>
      </c>
      <c r="P2603" s="2">
        <v>4783.9799999999996</v>
      </c>
    </row>
    <row r="2604" spans="1:16" outlineLevel="1" x14ac:dyDescent="0.2">
      <c r="A2604" s="5"/>
      <c r="D2604" s="3" t="s">
        <v>781</v>
      </c>
      <c r="N2604" s="2">
        <f>SUBTOTAL(9,N2603:N2603)</f>
        <v>432</v>
      </c>
      <c r="O2604" s="2">
        <f>SUBTOTAL(9,O2603:O2603)</f>
        <v>2066680.64</v>
      </c>
      <c r="P2604" s="2">
        <f>+O2604/N2604</f>
        <v>4783.982962962963</v>
      </c>
    </row>
    <row r="2605" spans="1:16" outlineLevel="2" x14ac:dyDescent="0.2">
      <c r="A2605" s="5">
        <v>46127</v>
      </c>
      <c r="B2605" s="2">
        <v>158600</v>
      </c>
      <c r="C2605" s="2">
        <v>1</v>
      </c>
      <c r="D2605" s="2" t="s">
        <v>477</v>
      </c>
      <c r="E2605" s="2" t="s">
        <v>19</v>
      </c>
      <c r="F2605" s="2" t="s">
        <v>35</v>
      </c>
      <c r="G2605" s="2" t="s">
        <v>22</v>
      </c>
      <c r="H2605" s="2" t="s">
        <v>23</v>
      </c>
      <c r="I2605" s="2" t="s">
        <v>23</v>
      </c>
      <c r="J2605" s="2">
        <v>130</v>
      </c>
      <c r="K2605" s="2" t="s">
        <v>427</v>
      </c>
      <c r="L2605" s="2">
        <v>1829</v>
      </c>
      <c r="M2605" s="2" t="s">
        <v>25</v>
      </c>
      <c r="N2605" s="2">
        <v>311</v>
      </c>
      <c r="O2605" s="2">
        <v>2786204.45</v>
      </c>
      <c r="P2605" s="2">
        <v>8958.86</v>
      </c>
    </row>
    <row r="2606" spans="1:16" outlineLevel="1" x14ac:dyDescent="0.2">
      <c r="A2606" s="5"/>
      <c r="D2606" s="3" t="s">
        <v>782</v>
      </c>
      <c r="N2606" s="2">
        <f>SUBTOTAL(9,N2605:N2605)</f>
        <v>311</v>
      </c>
      <c r="O2606" s="2">
        <f>SUBTOTAL(9,O2605:O2605)</f>
        <v>2786204.45</v>
      </c>
      <c r="P2606" s="2">
        <f>+O2606/N2606</f>
        <v>8958.856752411577</v>
      </c>
    </row>
    <row r="2607" spans="1:16" outlineLevel="2" x14ac:dyDescent="0.2">
      <c r="A2607" s="5">
        <v>46127</v>
      </c>
      <c r="B2607" s="2">
        <v>158603</v>
      </c>
      <c r="C2607" s="2">
        <v>1</v>
      </c>
      <c r="D2607" s="2" t="s">
        <v>404</v>
      </c>
      <c r="E2607" s="2" t="s">
        <v>23</v>
      </c>
      <c r="F2607" s="2" t="s">
        <v>289</v>
      </c>
      <c r="G2607" s="2" t="s">
        <v>22</v>
      </c>
      <c r="H2607" s="2" t="s">
        <v>23</v>
      </c>
      <c r="I2607" s="2" t="s">
        <v>23</v>
      </c>
      <c r="J2607" s="2">
        <v>1</v>
      </c>
      <c r="K2607" s="2" t="s">
        <v>24</v>
      </c>
      <c r="L2607" s="2">
        <v>25072</v>
      </c>
      <c r="M2607" s="2" t="s">
        <v>449</v>
      </c>
      <c r="N2607" s="2">
        <v>24</v>
      </c>
      <c r="O2607" s="2">
        <v>1048471.43</v>
      </c>
      <c r="P2607" s="2">
        <v>43686.31</v>
      </c>
    </row>
    <row r="2608" spans="1:16" outlineLevel="1" x14ac:dyDescent="0.2">
      <c r="A2608" s="5"/>
      <c r="D2608" s="3" t="s">
        <v>769</v>
      </c>
      <c r="N2608" s="2">
        <f>SUBTOTAL(9,N2607:N2607)</f>
        <v>24</v>
      </c>
      <c r="O2608" s="2">
        <f>SUBTOTAL(9,O2607:O2607)</f>
        <v>1048471.43</v>
      </c>
      <c r="P2608" s="2">
        <f>+O2608/N2608</f>
        <v>43686.309583333335</v>
      </c>
    </row>
    <row r="2609" spans="1:16" outlineLevel="2" x14ac:dyDescent="0.2">
      <c r="A2609" s="5">
        <v>46125</v>
      </c>
      <c r="B2609" s="2">
        <v>158621</v>
      </c>
      <c r="C2609" s="2">
        <v>1</v>
      </c>
      <c r="D2609" s="2" t="s">
        <v>197</v>
      </c>
      <c r="E2609" s="2" t="s">
        <v>20</v>
      </c>
      <c r="F2609" s="2" t="s">
        <v>63</v>
      </c>
      <c r="G2609" s="2" t="s">
        <v>22</v>
      </c>
      <c r="H2609" s="2" t="s">
        <v>23</v>
      </c>
      <c r="I2609" s="2" t="s">
        <v>23</v>
      </c>
      <c r="J2609" s="2">
        <v>40</v>
      </c>
      <c r="K2609" s="2" t="s">
        <v>43</v>
      </c>
      <c r="L2609" s="2">
        <v>2014</v>
      </c>
      <c r="M2609" s="2" t="s">
        <v>437</v>
      </c>
      <c r="N2609" s="2">
        <v>228</v>
      </c>
      <c r="O2609" s="2">
        <v>12942913.960000001</v>
      </c>
      <c r="P2609" s="2">
        <v>56767.17</v>
      </c>
    </row>
    <row r="2610" spans="1:16" outlineLevel="2" x14ac:dyDescent="0.2">
      <c r="A2610" s="5">
        <v>46127</v>
      </c>
      <c r="B2610" s="2">
        <v>158621</v>
      </c>
      <c r="C2610" s="2">
        <v>2</v>
      </c>
      <c r="D2610" s="2" t="s">
        <v>197</v>
      </c>
      <c r="E2610" s="2" t="s">
        <v>465</v>
      </c>
      <c r="F2610" s="2" t="s">
        <v>63</v>
      </c>
      <c r="G2610" s="2" t="s">
        <v>22</v>
      </c>
      <c r="H2610" s="2" t="s">
        <v>23</v>
      </c>
      <c r="I2610" s="2" t="s">
        <v>23</v>
      </c>
      <c r="J2610" s="2">
        <v>78</v>
      </c>
      <c r="K2610" s="2" t="s">
        <v>212</v>
      </c>
      <c r="L2610" s="2">
        <v>2014</v>
      </c>
      <c r="M2610" s="2" t="s">
        <v>437</v>
      </c>
      <c r="N2610" s="2">
        <v>1190</v>
      </c>
      <c r="O2610" s="2">
        <v>40653319.200000003</v>
      </c>
      <c r="P2610" s="2">
        <v>34162.449999999997</v>
      </c>
    </row>
    <row r="2611" spans="1:16" outlineLevel="1" x14ac:dyDescent="0.2">
      <c r="A2611" s="5"/>
      <c r="D2611" s="3" t="s">
        <v>734</v>
      </c>
      <c r="N2611" s="2">
        <f>SUBTOTAL(9,N2609:N2610)</f>
        <v>1418</v>
      </c>
      <c r="O2611" s="2">
        <f>SUBTOTAL(9,O2609:O2610)</f>
        <v>53596233.160000004</v>
      </c>
      <c r="P2611" s="2">
        <f>+O2611/N2611</f>
        <v>37797.061466854728</v>
      </c>
    </row>
    <row r="2612" spans="1:16" outlineLevel="2" x14ac:dyDescent="0.2">
      <c r="A2612" s="5">
        <v>46127</v>
      </c>
      <c r="B2612" s="2">
        <v>158625</v>
      </c>
      <c r="C2612" s="2">
        <v>303</v>
      </c>
      <c r="D2612" s="2" t="s">
        <v>54</v>
      </c>
      <c r="E2612" s="2" t="s">
        <v>30</v>
      </c>
      <c r="F2612" s="2" t="s">
        <v>55</v>
      </c>
      <c r="G2612" s="2" t="s">
        <v>23</v>
      </c>
      <c r="H2612" s="2" t="s">
        <v>23</v>
      </c>
      <c r="I2612" s="2" t="s">
        <v>23</v>
      </c>
      <c r="J2612" s="2">
        <v>2</v>
      </c>
      <c r="K2612" s="2" t="s">
        <v>48</v>
      </c>
      <c r="L2612" s="2">
        <v>1964</v>
      </c>
      <c r="M2612" s="2" t="s">
        <v>49</v>
      </c>
      <c r="N2612" s="2">
        <v>5</v>
      </c>
      <c r="O2612" s="2">
        <v>17158.75</v>
      </c>
      <c r="P2612" s="2">
        <v>3431.75</v>
      </c>
    </row>
    <row r="2613" spans="1:16" outlineLevel="2" x14ac:dyDescent="0.2">
      <c r="A2613" s="5">
        <v>46127</v>
      </c>
      <c r="B2613" s="2">
        <v>158627</v>
      </c>
      <c r="C2613" s="2">
        <v>306</v>
      </c>
      <c r="D2613" s="2" t="s">
        <v>54</v>
      </c>
      <c r="E2613" s="2" t="s">
        <v>20</v>
      </c>
      <c r="F2613" s="2" t="s">
        <v>55</v>
      </c>
      <c r="G2613" s="2" t="s">
        <v>23</v>
      </c>
      <c r="H2613" s="2" t="s">
        <v>23</v>
      </c>
      <c r="I2613" s="2" t="s">
        <v>23</v>
      </c>
      <c r="J2613" s="2">
        <v>2</v>
      </c>
      <c r="K2613" s="2" t="s">
        <v>48</v>
      </c>
      <c r="L2613" s="2">
        <v>25095</v>
      </c>
      <c r="M2613" s="2" t="s">
        <v>216</v>
      </c>
      <c r="N2613" s="2">
        <v>24</v>
      </c>
      <c r="O2613" s="2">
        <v>51558.69</v>
      </c>
      <c r="P2613" s="2">
        <v>2148.2800000000002</v>
      </c>
    </row>
    <row r="2614" spans="1:16" outlineLevel="2" x14ac:dyDescent="0.2">
      <c r="A2614" s="5">
        <v>46125</v>
      </c>
      <c r="B2614" s="2">
        <v>158627</v>
      </c>
      <c r="C2614" s="2">
        <v>315</v>
      </c>
      <c r="D2614" s="2" t="s">
        <v>54</v>
      </c>
      <c r="E2614" s="2" t="s">
        <v>20</v>
      </c>
      <c r="F2614" s="2" t="s">
        <v>55</v>
      </c>
      <c r="G2614" s="2" t="s">
        <v>23</v>
      </c>
      <c r="H2614" s="2" t="s">
        <v>23</v>
      </c>
      <c r="I2614" s="2" t="s">
        <v>23</v>
      </c>
      <c r="J2614" s="2">
        <v>1</v>
      </c>
      <c r="K2614" s="2" t="s">
        <v>24</v>
      </c>
      <c r="L2614" s="2">
        <v>25095</v>
      </c>
      <c r="M2614" s="2" t="s">
        <v>216</v>
      </c>
      <c r="N2614" s="2">
        <v>6</v>
      </c>
      <c r="O2614" s="2">
        <v>20590.5</v>
      </c>
      <c r="P2614" s="2">
        <v>3431.75</v>
      </c>
    </row>
    <row r="2615" spans="1:16" outlineLevel="1" x14ac:dyDescent="0.2">
      <c r="A2615" s="5"/>
      <c r="D2615" s="3" t="s">
        <v>719</v>
      </c>
      <c r="N2615" s="2">
        <f>SUBTOTAL(9,N2612:N2614)</f>
        <v>35</v>
      </c>
      <c r="O2615" s="2">
        <f>SUBTOTAL(9,O2612:O2614)</f>
        <v>89307.94</v>
      </c>
      <c r="P2615" s="2">
        <f>+O2615/N2615</f>
        <v>2551.6554285714287</v>
      </c>
    </row>
    <row r="2616" spans="1:16" outlineLevel="2" x14ac:dyDescent="0.2">
      <c r="A2616" s="5">
        <v>46129</v>
      </c>
      <c r="B2616" s="2">
        <v>158633</v>
      </c>
      <c r="C2616" s="2">
        <v>1</v>
      </c>
      <c r="D2616" s="2" t="s">
        <v>197</v>
      </c>
      <c r="E2616" s="2" t="s">
        <v>20</v>
      </c>
      <c r="F2616" s="2" t="s">
        <v>63</v>
      </c>
      <c r="G2616" s="2" t="s">
        <v>22</v>
      </c>
      <c r="H2616" s="2" t="s">
        <v>23</v>
      </c>
      <c r="I2616" s="2" t="s">
        <v>23</v>
      </c>
      <c r="J2616" s="2">
        <v>40</v>
      </c>
      <c r="K2616" s="2" t="s">
        <v>43</v>
      </c>
      <c r="L2616" s="2">
        <v>2014</v>
      </c>
      <c r="M2616" s="2" t="s">
        <v>437</v>
      </c>
      <c r="N2616" s="2">
        <v>114</v>
      </c>
      <c r="O2616" s="2">
        <v>6791810.7999999998</v>
      </c>
      <c r="P2616" s="2">
        <v>59577.29</v>
      </c>
    </row>
    <row r="2617" spans="1:16" outlineLevel="2" x14ac:dyDescent="0.2">
      <c r="A2617" s="5">
        <v>46160</v>
      </c>
      <c r="B2617" s="2">
        <v>158639</v>
      </c>
      <c r="C2617" s="2">
        <v>315</v>
      </c>
      <c r="D2617" s="2" t="s">
        <v>197</v>
      </c>
      <c r="E2617" s="2" t="s">
        <v>284</v>
      </c>
      <c r="F2617" s="2" t="s">
        <v>245</v>
      </c>
      <c r="G2617" s="2" t="s">
        <v>22</v>
      </c>
      <c r="H2617" s="2" t="s">
        <v>23</v>
      </c>
      <c r="I2617" s="2" t="s">
        <v>23</v>
      </c>
      <c r="J2617" s="2">
        <v>79</v>
      </c>
      <c r="K2617" s="2" t="s">
        <v>478</v>
      </c>
      <c r="L2617" s="2">
        <v>182</v>
      </c>
      <c r="M2617" s="2" t="s">
        <v>263</v>
      </c>
      <c r="N2617" s="2">
        <v>25</v>
      </c>
      <c r="O2617" s="2">
        <v>204340.57</v>
      </c>
      <c r="P2617" s="2">
        <v>8173.62</v>
      </c>
    </row>
    <row r="2618" spans="1:16" outlineLevel="2" x14ac:dyDescent="0.2">
      <c r="A2618" s="5">
        <v>46127</v>
      </c>
      <c r="B2618" s="2">
        <v>158640</v>
      </c>
      <c r="C2618" s="2">
        <v>1</v>
      </c>
      <c r="D2618" s="2" t="s">
        <v>197</v>
      </c>
      <c r="E2618" s="2" t="s">
        <v>284</v>
      </c>
      <c r="F2618" s="2" t="s">
        <v>40</v>
      </c>
      <c r="G2618" s="2" t="s">
        <v>22</v>
      </c>
      <c r="H2618" s="2" t="s">
        <v>23</v>
      </c>
      <c r="I2618" s="2" t="s">
        <v>23</v>
      </c>
      <c r="J2618" s="2">
        <v>2</v>
      </c>
      <c r="K2618" s="2" t="s">
        <v>48</v>
      </c>
      <c r="L2618" s="2">
        <v>183</v>
      </c>
      <c r="M2618" s="2" t="s">
        <v>381</v>
      </c>
      <c r="N2618" s="2">
        <v>102</v>
      </c>
      <c r="O2618" s="2">
        <v>2435342.14</v>
      </c>
      <c r="P2618" s="2">
        <v>23875.9</v>
      </c>
    </row>
    <row r="2619" spans="1:16" outlineLevel="2" x14ac:dyDescent="0.2">
      <c r="A2619" s="5">
        <v>46129</v>
      </c>
      <c r="B2619" s="2">
        <v>158642</v>
      </c>
      <c r="C2619" s="2">
        <v>1</v>
      </c>
      <c r="D2619" s="2" t="s">
        <v>197</v>
      </c>
      <c r="E2619" s="2" t="s">
        <v>284</v>
      </c>
      <c r="F2619" s="2" t="s">
        <v>199</v>
      </c>
      <c r="G2619" s="2" t="s">
        <v>22</v>
      </c>
      <c r="H2619" s="2" t="s">
        <v>23</v>
      </c>
      <c r="I2619" s="2" t="s">
        <v>23</v>
      </c>
      <c r="J2619" s="2">
        <v>2</v>
      </c>
      <c r="K2619" s="2" t="s">
        <v>48</v>
      </c>
      <c r="L2619" s="2">
        <v>183</v>
      </c>
      <c r="M2619" s="2" t="s">
        <v>381</v>
      </c>
      <c r="N2619" s="2">
        <v>102</v>
      </c>
      <c r="O2619" s="2">
        <v>2622029.5299999998</v>
      </c>
      <c r="P2619" s="2">
        <v>25706.17</v>
      </c>
    </row>
    <row r="2620" spans="1:16" outlineLevel="1" x14ac:dyDescent="0.2">
      <c r="A2620" s="5"/>
      <c r="D2620" s="3" t="s">
        <v>734</v>
      </c>
      <c r="N2620" s="2">
        <f>SUBTOTAL(9,N2616:N2619)</f>
        <v>343</v>
      </c>
      <c r="O2620" s="2">
        <f>SUBTOTAL(9,O2616:O2619)</f>
        <v>12053523.039999999</v>
      </c>
      <c r="P2620" s="2">
        <f>+O2620/N2620</f>
        <v>35141.466588921277</v>
      </c>
    </row>
    <row r="2621" spans="1:16" outlineLevel="2" x14ac:dyDescent="0.2">
      <c r="A2621" s="5">
        <v>46127</v>
      </c>
      <c r="B2621" s="2">
        <v>158656</v>
      </c>
      <c r="C2621" s="2">
        <v>301</v>
      </c>
      <c r="D2621" s="2" t="s">
        <v>215</v>
      </c>
      <c r="E2621" s="2" t="s">
        <v>23</v>
      </c>
      <c r="F2621" s="2" t="s">
        <v>55</v>
      </c>
      <c r="G2621" s="2" t="s">
        <v>23</v>
      </c>
      <c r="H2621" s="2" t="s">
        <v>23</v>
      </c>
      <c r="I2621" s="2" t="s">
        <v>23</v>
      </c>
      <c r="J2621" s="2">
        <v>1</v>
      </c>
      <c r="K2621" s="2" t="s">
        <v>24</v>
      </c>
      <c r="L2621" s="2">
        <v>25095</v>
      </c>
      <c r="M2621" s="2" t="s">
        <v>216</v>
      </c>
      <c r="N2621" s="2">
        <v>1</v>
      </c>
      <c r="O2621" s="2">
        <v>3431.75</v>
      </c>
      <c r="P2621" s="2">
        <v>3431.75</v>
      </c>
    </row>
    <row r="2622" spans="1:16" outlineLevel="1" x14ac:dyDescent="0.2">
      <c r="A2622" s="5"/>
      <c r="D2622" s="3" t="s">
        <v>727</v>
      </c>
      <c r="N2622" s="2">
        <f>SUBTOTAL(9,N2621:N2621)</f>
        <v>1</v>
      </c>
      <c r="O2622" s="2">
        <f>SUBTOTAL(9,O2621:O2621)</f>
        <v>3431.75</v>
      </c>
      <c r="P2622" s="2">
        <f>+O2622/N2622</f>
        <v>3431.75</v>
      </c>
    </row>
    <row r="2623" spans="1:16" outlineLevel="2" x14ac:dyDescent="0.2">
      <c r="A2623" s="5">
        <v>46129</v>
      </c>
      <c r="B2623" s="2">
        <v>158656</v>
      </c>
      <c r="C2623" s="2">
        <v>306</v>
      </c>
      <c r="D2623" s="2" t="s">
        <v>54</v>
      </c>
      <c r="E2623" s="2" t="s">
        <v>20</v>
      </c>
      <c r="F2623" s="2" t="s">
        <v>55</v>
      </c>
      <c r="G2623" s="2" t="s">
        <v>23</v>
      </c>
      <c r="H2623" s="2" t="s">
        <v>23</v>
      </c>
      <c r="I2623" s="2" t="s">
        <v>23</v>
      </c>
      <c r="J2623" s="2">
        <v>1</v>
      </c>
      <c r="K2623" s="2" t="s">
        <v>24</v>
      </c>
      <c r="L2623" s="2">
        <v>25095</v>
      </c>
      <c r="M2623" s="2" t="s">
        <v>216</v>
      </c>
      <c r="N2623" s="2">
        <v>7</v>
      </c>
      <c r="O2623" s="2">
        <v>10954.16</v>
      </c>
      <c r="P2623" s="2">
        <v>1564.88</v>
      </c>
    </row>
    <row r="2624" spans="1:16" outlineLevel="1" x14ac:dyDescent="0.2">
      <c r="A2624" s="5"/>
      <c r="D2624" s="3" t="s">
        <v>719</v>
      </c>
      <c r="N2624" s="2">
        <f>SUBTOTAL(9,N2623:N2623)</f>
        <v>7</v>
      </c>
      <c r="O2624" s="2">
        <f>SUBTOTAL(9,O2623:O2623)</f>
        <v>10954.16</v>
      </c>
      <c r="P2624" s="2">
        <f>+O2624/N2624</f>
        <v>1564.8799999999999</v>
      </c>
    </row>
    <row r="2625" spans="1:16" outlineLevel="2" x14ac:dyDescent="0.2">
      <c r="A2625" s="5">
        <v>46148</v>
      </c>
      <c r="B2625" s="2">
        <v>158656</v>
      </c>
      <c r="C2625" s="2">
        <v>315</v>
      </c>
      <c r="D2625" s="2" t="s">
        <v>215</v>
      </c>
      <c r="E2625" s="2" t="s">
        <v>23</v>
      </c>
      <c r="F2625" s="2" t="s">
        <v>55</v>
      </c>
      <c r="G2625" s="2" t="s">
        <v>23</v>
      </c>
      <c r="H2625" s="2" t="s">
        <v>23</v>
      </c>
      <c r="I2625" s="2" t="s">
        <v>23</v>
      </c>
      <c r="J2625" s="2">
        <v>2</v>
      </c>
      <c r="K2625" s="2" t="s">
        <v>48</v>
      </c>
      <c r="L2625" s="2">
        <v>25095</v>
      </c>
      <c r="M2625" s="2" t="s">
        <v>216</v>
      </c>
      <c r="N2625" s="2">
        <v>2</v>
      </c>
      <c r="O2625" s="2">
        <v>5930.07</v>
      </c>
      <c r="P2625" s="2">
        <v>2965.04</v>
      </c>
    </row>
    <row r="2626" spans="1:16" outlineLevel="1" x14ac:dyDescent="0.2">
      <c r="A2626" s="5"/>
      <c r="D2626" s="3" t="s">
        <v>727</v>
      </c>
      <c r="N2626" s="2">
        <f>SUBTOTAL(9,N2625:N2625)</f>
        <v>2</v>
      </c>
      <c r="O2626" s="2">
        <f>SUBTOTAL(9,O2625:O2625)</f>
        <v>5930.07</v>
      </c>
      <c r="P2626" s="2">
        <f>+O2626/N2626</f>
        <v>2965.0349999999999</v>
      </c>
    </row>
    <row r="2627" spans="1:16" outlineLevel="2" x14ac:dyDescent="0.2">
      <c r="A2627" s="5">
        <v>46127</v>
      </c>
      <c r="B2627" s="2">
        <v>158656</v>
      </c>
      <c r="C2627" s="2">
        <v>316</v>
      </c>
      <c r="D2627" s="2" t="s">
        <v>54</v>
      </c>
      <c r="E2627" s="2" t="s">
        <v>20</v>
      </c>
      <c r="F2627" s="2" t="s">
        <v>55</v>
      </c>
      <c r="G2627" s="2" t="s">
        <v>23</v>
      </c>
      <c r="H2627" s="2" t="s">
        <v>23</v>
      </c>
      <c r="I2627" s="2" t="s">
        <v>23</v>
      </c>
      <c r="J2627" s="2">
        <v>2</v>
      </c>
      <c r="K2627" s="2" t="s">
        <v>48</v>
      </c>
      <c r="L2627" s="2">
        <v>25095</v>
      </c>
      <c r="M2627" s="2" t="s">
        <v>216</v>
      </c>
      <c r="N2627" s="2">
        <v>12</v>
      </c>
      <c r="O2627" s="2">
        <v>49581.96</v>
      </c>
      <c r="P2627" s="2">
        <v>4131.83</v>
      </c>
    </row>
    <row r="2628" spans="1:16" outlineLevel="1" x14ac:dyDescent="0.2">
      <c r="A2628" s="5"/>
      <c r="D2628" s="3" t="s">
        <v>719</v>
      </c>
      <c r="N2628" s="2">
        <f>SUBTOTAL(9,N2627:N2627)</f>
        <v>12</v>
      </c>
      <c r="O2628" s="2">
        <f>SUBTOTAL(9,O2627:O2627)</f>
        <v>49581.96</v>
      </c>
      <c r="P2628" s="2">
        <f>+O2628/N2628</f>
        <v>4131.83</v>
      </c>
    </row>
    <row r="2629" spans="1:16" outlineLevel="2" x14ac:dyDescent="0.2">
      <c r="A2629" s="5">
        <v>46127</v>
      </c>
      <c r="B2629" s="2">
        <v>158658</v>
      </c>
      <c r="C2629" s="2">
        <v>1</v>
      </c>
      <c r="D2629" s="2" t="s">
        <v>19</v>
      </c>
      <c r="E2629" s="2" t="s">
        <v>20</v>
      </c>
      <c r="F2629" s="2" t="s">
        <v>21</v>
      </c>
      <c r="G2629" s="2" t="s">
        <v>22</v>
      </c>
      <c r="H2629" s="2" t="s">
        <v>23</v>
      </c>
      <c r="I2629" s="2" t="s">
        <v>23</v>
      </c>
      <c r="J2629" s="2">
        <v>1</v>
      </c>
      <c r="K2629" s="2" t="s">
        <v>24</v>
      </c>
      <c r="L2629" s="2">
        <v>25205</v>
      </c>
      <c r="M2629" s="2" t="s">
        <v>171</v>
      </c>
      <c r="N2629" s="2">
        <v>284</v>
      </c>
      <c r="O2629" s="2">
        <v>18343341.190000001</v>
      </c>
      <c r="P2629" s="2">
        <v>64589.23</v>
      </c>
    </row>
    <row r="2630" spans="1:16" outlineLevel="1" x14ac:dyDescent="0.2">
      <c r="A2630" s="5"/>
      <c r="D2630" s="3" t="s">
        <v>704</v>
      </c>
      <c r="N2630" s="2">
        <f>SUBTOTAL(9,N2629:N2629)</f>
        <v>284</v>
      </c>
      <c r="O2630" s="2">
        <f>SUBTOTAL(9,O2629:O2629)</f>
        <v>18343341.190000001</v>
      </c>
      <c r="P2630" s="2">
        <f>+O2630/N2630</f>
        <v>64589.229542253524</v>
      </c>
    </row>
    <row r="2631" spans="1:16" outlineLevel="2" x14ac:dyDescent="0.2">
      <c r="A2631" s="5">
        <v>46127</v>
      </c>
      <c r="B2631" s="2">
        <v>158659</v>
      </c>
      <c r="C2631" s="2">
        <v>1</v>
      </c>
      <c r="D2631" s="2" t="s">
        <v>38</v>
      </c>
      <c r="E2631" s="2" t="s">
        <v>39</v>
      </c>
      <c r="F2631" s="2" t="s">
        <v>63</v>
      </c>
      <c r="G2631" s="2" t="s">
        <v>22</v>
      </c>
      <c r="H2631" s="2" t="s">
        <v>23</v>
      </c>
      <c r="I2631" s="2" t="s">
        <v>243</v>
      </c>
      <c r="J2631" s="2">
        <v>1</v>
      </c>
      <c r="K2631" s="2" t="s">
        <v>24</v>
      </c>
      <c r="L2631" s="2">
        <v>1846</v>
      </c>
      <c r="M2631" s="2" t="s">
        <v>134</v>
      </c>
      <c r="N2631" s="2">
        <v>176</v>
      </c>
      <c r="O2631" s="2">
        <v>13745875.83</v>
      </c>
      <c r="P2631" s="2">
        <v>78101.570000000007</v>
      </c>
    </row>
    <row r="2632" spans="1:16" outlineLevel="2" x14ac:dyDescent="0.2">
      <c r="A2632" s="5">
        <v>46127</v>
      </c>
      <c r="B2632" s="2">
        <v>158659</v>
      </c>
      <c r="C2632" s="2">
        <v>2</v>
      </c>
      <c r="D2632" s="2" t="s">
        <v>38</v>
      </c>
      <c r="E2632" s="2" t="s">
        <v>39</v>
      </c>
      <c r="F2632" s="2" t="s">
        <v>63</v>
      </c>
      <c r="G2632" s="2" t="s">
        <v>22</v>
      </c>
      <c r="H2632" s="2" t="s">
        <v>23</v>
      </c>
      <c r="I2632" s="2" t="s">
        <v>116</v>
      </c>
      <c r="J2632" s="2">
        <v>1</v>
      </c>
      <c r="K2632" s="2" t="s">
        <v>24</v>
      </c>
      <c r="L2632" s="2">
        <v>1846</v>
      </c>
      <c r="M2632" s="2" t="s">
        <v>134</v>
      </c>
      <c r="N2632" s="2">
        <v>543</v>
      </c>
      <c r="O2632" s="2">
        <v>43428297.090000004</v>
      </c>
      <c r="P2632" s="2">
        <v>79978.45</v>
      </c>
    </row>
    <row r="2633" spans="1:16" outlineLevel="2" x14ac:dyDescent="0.2">
      <c r="A2633" s="5">
        <v>46127</v>
      </c>
      <c r="B2633" s="2">
        <v>158659</v>
      </c>
      <c r="C2633" s="2">
        <v>3</v>
      </c>
      <c r="D2633" s="2" t="s">
        <v>38</v>
      </c>
      <c r="E2633" s="2" t="s">
        <v>39</v>
      </c>
      <c r="F2633" s="2" t="s">
        <v>63</v>
      </c>
      <c r="G2633" s="2" t="s">
        <v>22</v>
      </c>
      <c r="H2633" s="2" t="s">
        <v>23</v>
      </c>
      <c r="I2633" s="2" t="s">
        <v>135</v>
      </c>
      <c r="J2633" s="2">
        <v>1</v>
      </c>
      <c r="K2633" s="2" t="s">
        <v>24</v>
      </c>
      <c r="L2633" s="2">
        <v>1846</v>
      </c>
      <c r="M2633" s="2" t="s">
        <v>134</v>
      </c>
      <c r="N2633" s="2">
        <v>292</v>
      </c>
      <c r="O2633" s="2">
        <v>23555603.789999999</v>
      </c>
      <c r="P2633" s="2">
        <v>80669.88</v>
      </c>
    </row>
    <row r="2634" spans="1:16" outlineLevel="1" x14ac:dyDescent="0.2">
      <c r="A2634" s="5"/>
      <c r="D2634" s="3" t="s">
        <v>721</v>
      </c>
      <c r="N2634" s="2">
        <f>SUBTOTAL(9,N2631:N2633)</f>
        <v>1011</v>
      </c>
      <c r="O2634" s="2">
        <f>SUBTOTAL(9,O2631:O2633)</f>
        <v>80729776.710000008</v>
      </c>
      <c r="P2634" s="2">
        <f>+O2634/N2634</f>
        <v>79851.411186943631</v>
      </c>
    </row>
    <row r="2635" spans="1:16" outlineLevel="2" x14ac:dyDescent="0.2">
      <c r="A2635" s="5">
        <v>46160</v>
      </c>
      <c r="B2635" s="2">
        <v>158664</v>
      </c>
      <c r="C2635" s="2">
        <v>302</v>
      </c>
      <c r="D2635" s="2" t="s">
        <v>26</v>
      </c>
      <c r="E2635" s="2" t="s">
        <v>51</v>
      </c>
      <c r="F2635" s="2" t="s">
        <v>201</v>
      </c>
      <c r="G2635" s="2" t="s">
        <v>22</v>
      </c>
      <c r="H2635" s="2" t="s">
        <v>23</v>
      </c>
      <c r="I2635" s="2" t="s">
        <v>23</v>
      </c>
      <c r="J2635" s="2">
        <v>6</v>
      </c>
      <c r="K2635" s="2" t="s">
        <v>479</v>
      </c>
      <c r="L2635" s="2">
        <v>600</v>
      </c>
      <c r="M2635" s="2" t="s">
        <v>112</v>
      </c>
      <c r="N2635" s="2">
        <v>40</v>
      </c>
      <c r="O2635" s="2">
        <v>161539.48000000001</v>
      </c>
      <c r="P2635" s="2">
        <v>4038.49</v>
      </c>
    </row>
    <row r="2636" spans="1:16" outlineLevel="1" x14ac:dyDescent="0.2">
      <c r="A2636" s="5"/>
      <c r="D2636" s="3" t="s">
        <v>711</v>
      </c>
      <c r="N2636" s="2">
        <f>SUBTOTAL(9,N2635:N2635)</f>
        <v>40</v>
      </c>
      <c r="O2636" s="2">
        <f>SUBTOTAL(9,O2635:O2635)</f>
        <v>161539.48000000001</v>
      </c>
      <c r="P2636" s="2">
        <f>+O2636/N2636</f>
        <v>4038.4870000000001</v>
      </c>
    </row>
    <row r="2637" spans="1:16" outlineLevel="2" x14ac:dyDescent="0.2">
      <c r="A2637" s="5">
        <v>46132</v>
      </c>
      <c r="B2637" s="2">
        <v>158668</v>
      </c>
      <c r="C2637" s="2">
        <v>3</v>
      </c>
      <c r="D2637" s="2" t="s">
        <v>229</v>
      </c>
      <c r="E2637" s="2" t="s">
        <v>439</v>
      </c>
      <c r="F2637" s="2" t="s">
        <v>40</v>
      </c>
      <c r="G2637" s="2" t="s">
        <v>22</v>
      </c>
      <c r="H2637" s="2" t="s">
        <v>23</v>
      </c>
      <c r="I2637" s="2" t="s">
        <v>154</v>
      </c>
      <c r="J2637" s="2">
        <v>1</v>
      </c>
      <c r="K2637" s="2" t="s">
        <v>24</v>
      </c>
      <c r="L2637" s="2">
        <v>331</v>
      </c>
      <c r="M2637" s="2" t="s">
        <v>356</v>
      </c>
      <c r="N2637" s="2">
        <v>21</v>
      </c>
      <c r="O2637" s="2">
        <v>228884.46</v>
      </c>
      <c r="P2637" s="2">
        <v>10899.26</v>
      </c>
    </row>
    <row r="2638" spans="1:16" outlineLevel="2" x14ac:dyDescent="0.2">
      <c r="A2638" s="5">
        <v>46132</v>
      </c>
      <c r="B2638" s="2">
        <v>158668</v>
      </c>
      <c r="C2638" s="2">
        <v>4</v>
      </c>
      <c r="D2638" s="2" t="s">
        <v>229</v>
      </c>
      <c r="E2638" s="2" t="s">
        <v>439</v>
      </c>
      <c r="F2638" s="2" t="s">
        <v>40</v>
      </c>
      <c r="G2638" s="2" t="s">
        <v>22</v>
      </c>
      <c r="H2638" s="2" t="s">
        <v>23</v>
      </c>
      <c r="I2638" s="2" t="s">
        <v>79</v>
      </c>
      <c r="J2638" s="2">
        <v>1</v>
      </c>
      <c r="K2638" s="2" t="s">
        <v>24</v>
      </c>
      <c r="L2638" s="2">
        <v>331</v>
      </c>
      <c r="M2638" s="2" t="s">
        <v>356</v>
      </c>
      <c r="N2638" s="2">
        <v>648</v>
      </c>
      <c r="O2638" s="2">
        <v>6592500.1900000004</v>
      </c>
      <c r="P2638" s="2">
        <v>10173.61</v>
      </c>
    </row>
    <row r="2639" spans="1:16" outlineLevel="1" x14ac:dyDescent="0.2">
      <c r="A2639" s="5"/>
      <c r="D2639" s="3" t="s">
        <v>737</v>
      </c>
      <c r="N2639" s="2">
        <f>SUBTOTAL(9,N2637:N2638)</f>
        <v>669</v>
      </c>
      <c r="O2639" s="2">
        <f>SUBTOTAL(9,O2637:O2638)</f>
        <v>6821384.6500000004</v>
      </c>
      <c r="P2639" s="2">
        <f>+O2639/N2639</f>
        <v>10196.38961136024</v>
      </c>
    </row>
    <row r="2640" spans="1:16" outlineLevel="2" x14ac:dyDescent="0.2">
      <c r="A2640" s="5">
        <v>46128</v>
      </c>
      <c r="B2640" s="2">
        <v>158669</v>
      </c>
      <c r="C2640" s="2">
        <v>1</v>
      </c>
      <c r="D2640" s="2" t="s">
        <v>175</v>
      </c>
      <c r="E2640" s="2" t="s">
        <v>469</v>
      </c>
      <c r="F2640" s="2" t="s">
        <v>40</v>
      </c>
      <c r="G2640" s="2" t="s">
        <v>22</v>
      </c>
      <c r="H2640" s="2" t="s">
        <v>23</v>
      </c>
      <c r="I2640" s="2" t="s">
        <v>23</v>
      </c>
      <c r="J2640" s="2">
        <v>5</v>
      </c>
      <c r="K2640" s="2" t="s">
        <v>27</v>
      </c>
      <c r="L2640" s="2">
        <v>2521</v>
      </c>
      <c r="M2640" s="2" t="s">
        <v>82</v>
      </c>
      <c r="N2640" s="2">
        <v>88</v>
      </c>
      <c r="O2640" s="2">
        <v>2192483.0299999998</v>
      </c>
      <c r="P2640" s="2">
        <v>24914.58</v>
      </c>
    </row>
    <row r="2641" spans="1:16" outlineLevel="1" x14ac:dyDescent="0.2">
      <c r="A2641" s="5"/>
      <c r="D2641" s="3" t="s">
        <v>725</v>
      </c>
      <c r="N2641" s="2">
        <f>SUBTOTAL(9,N2640:N2640)</f>
        <v>88</v>
      </c>
      <c r="O2641" s="2">
        <f>SUBTOTAL(9,O2640:O2640)</f>
        <v>2192483.0299999998</v>
      </c>
      <c r="P2641" s="2">
        <f>+O2641/N2641</f>
        <v>24914.579886363634</v>
      </c>
    </row>
    <row r="2642" spans="1:16" outlineLevel="2" x14ac:dyDescent="0.2">
      <c r="A2642" s="5">
        <v>46128</v>
      </c>
      <c r="B2642" s="2">
        <v>158669</v>
      </c>
      <c r="C2642" s="2">
        <v>2</v>
      </c>
      <c r="D2642" s="2" t="s">
        <v>271</v>
      </c>
      <c r="E2642" s="2" t="s">
        <v>469</v>
      </c>
      <c r="F2642" s="2" t="s">
        <v>40</v>
      </c>
      <c r="G2642" s="2" t="s">
        <v>22</v>
      </c>
      <c r="H2642" s="2" t="s">
        <v>23</v>
      </c>
      <c r="I2642" s="2" t="s">
        <v>23</v>
      </c>
      <c r="J2642" s="2">
        <v>5</v>
      </c>
      <c r="K2642" s="2" t="s">
        <v>27</v>
      </c>
      <c r="L2642" s="2">
        <v>2521</v>
      </c>
      <c r="M2642" s="2" t="s">
        <v>82</v>
      </c>
      <c r="N2642" s="2">
        <v>20</v>
      </c>
      <c r="O2642" s="2">
        <v>518525.25</v>
      </c>
      <c r="P2642" s="2">
        <v>25926.26</v>
      </c>
    </row>
    <row r="2643" spans="1:16" outlineLevel="1" x14ac:dyDescent="0.2">
      <c r="A2643" s="5"/>
      <c r="D2643" s="3" t="s">
        <v>738</v>
      </c>
      <c r="N2643" s="2">
        <f>SUBTOTAL(9,N2642:N2642)</f>
        <v>20</v>
      </c>
      <c r="O2643" s="2">
        <f>SUBTOTAL(9,O2642:O2642)</f>
        <v>518525.25</v>
      </c>
      <c r="P2643" s="2">
        <f>+O2643/N2643</f>
        <v>25926.262500000001</v>
      </c>
    </row>
    <row r="2644" spans="1:16" outlineLevel="2" x14ac:dyDescent="0.2">
      <c r="A2644" s="5">
        <v>46139</v>
      </c>
      <c r="B2644" s="2">
        <v>158670</v>
      </c>
      <c r="C2644" s="2">
        <v>1</v>
      </c>
      <c r="D2644" s="2" t="s">
        <v>160</v>
      </c>
      <c r="E2644" s="2" t="s">
        <v>222</v>
      </c>
      <c r="F2644" s="2" t="s">
        <v>40</v>
      </c>
      <c r="G2644" s="2" t="s">
        <v>22</v>
      </c>
      <c r="H2644" s="2" t="s">
        <v>23</v>
      </c>
      <c r="I2644" s="2" t="s">
        <v>23</v>
      </c>
      <c r="J2644" s="2">
        <v>1</v>
      </c>
      <c r="K2644" s="2" t="s">
        <v>24</v>
      </c>
      <c r="L2644" s="2">
        <v>2521</v>
      </c>
      <c r="M2644" s="2" t="s">
        <v>82</v>
      </c>
      <c r="N2644" s="2">
        <v>8</v>
      </c>
      <c r="O2644" s="2">
        <v>146934.16</v>
      </c>
      <c r="P2644" s="2">
        <v>18366.77</v>
      </c>
    </row>
    <row r="2645" spans="1:16" outlineLevel="2" x14ac:dyDescent="0.2">
      <c r="A2645" s="5">
        <v>46129</v>
      </c>
      <c r="B2645" s="2">
        <v>158670</v>
      </c>
      <c r="C2645" s="2">
        <v>2</v>
      </c>
      <c r="D2645" s="2" t="s">
        <v>160</v>
      </c>
      <c r="E2645" s="2" t="s">
        <v>222</v>
      </c>
      <c r="F2645" s="2" t="s">
        <v>40</v>
      </c>
      <c r="G2645" s="2" t="s">
        <v>22</v>
      </c>
      <c r="H2645" s="2" t="s">
        <v>23</v>
      </c>
      <c r="I2645" s="2" t="s">
        <v>23</v>
      </c>
      <c r="J2645" s="2">
        <v>1</v>
      </c>
      <c r="K2645" s="2" t="s">
        <v>24</v>
      </c>
      <c r="L2645" s="2">
        <v>2521</v>
      </c>
      <c r="M2645" s="2" t="s">
        <v>82</v>
      </c>
      <c r="N2645" s="2">
        <v>180</v>
      </c>
      <c r="O2645" s="2">
        <v>3209765.05</v>
      </c>
      <c r="P2645" s="2">
        <v>17832.03</v>
      </c>
    </row>
    <row r="2646" spans="1:16" outlineLevel="1" x14ac:dyDescent="0.2">
      <c r="A2646" s="5"/>
      <c r="D2646" s="3" t="s">
        <v>709</v>
      </c>
      <c r="N2646" s="2">
        <f>SUBTOTAL(9,N2644:N2645)</f>
        <v>188</v>
      </c>
      <c r="O2646" s="2">
        <f>SUBTOTAL(9,O2644:O2645)</f>
        <v>3356699.21</v>
      </c>
      <c r="P2646" s="2">
        <f>+O2646/N2646</f>
        <v>17854.783031914892</v>
      </c>
    </row>
    <row r="2647" spans="1:16" outlineLevel="2" x14ac:dyDescent="0.2">
      <c r="A2647" s="5">
        <v>46129</v>
      </c>
      <c r="B2647" s="2">
        <v>158670</v>
      </c>
      <c r="C2647" s="2">
        <v>3</v>
      </c>
      <c r="D2647" s="2" t="s">
        <v>131</v>
      </c>
      <c r="E2647" s="2" t="s">
        <v>132</v>
      </c>
      <c r="F2647" s="2" t="s">
        <v>40</v>
      </c>
      <c r="G2647" s="2" t="s">
        <v>22</v>
      </c>
      <c r="H2647" s="2" t="s">
        <v>23</v>
      </c>
      <c r="I2647" s="2" t="s">
        <v>23</v>
      </c>
      <c r="J2647" s="2">
        <v>1</v>
      </c>
      <c r="K2647" s="2" t="s">
        <v>24</v>
      </c>
      <c r="L2647" s="2">
        <v>2521</v>
      </c>
      <c r="M2647" s="2" t="s">
        <v>82</v>
      </c>
      <c r="N2647" s="2">
        <v>218</v>
      </c>
      <c r="O2647" s="2">
        <v>4408706.6500000004</v>
      </c>
      <c r="P2647" s="2">
        <v>20223.43</v>
      </c>
    </row>
    <row r="2648" spans="1:16" outlineLevel="1" x14ac:dyDescent="0.2">
      <c r="A2648" s="5"/>
      <c r="D2648" s="3" t="s">
        <v>713</v>
      </c>
      <c r="N2648" s="2">
        <f>SUBTOTAL(9,N2647:N2647)</f>
        <v>218</v>
      </c>
      <c r="O2648" s="2">
        <f>SUBTOTAL(9,O2647:O2647)</f>
        <v>4408706.6500000004</v>
      </c>
      <c r="P2648" s="2">
        <f>+O2648/N2648</f>
        <v>20223.425000000003</v>
      </c>
    </row>
    <row r="2649" spans="1:16" outlineLevel="2" x14ac:dyDescent="0.2">
      <c r="A2649" s="5">
        <v>46128</v>
      </c>
      <c r="B2649" s="2">
        <v>158681</v>
      </c>
      <c r="C2649" s="2">
        <v>502</v>
      </c>
      <c r="D2649" s="2" t="s">
        <v>54</v>
      </c>
      <c r="E2649" s="2" t="s">
        <v>30</v>
      </c>
      <c r="F2649" s="2" t="s">
        <v>23</v>
      </c>
      <c r="G2649" s="2" t="s">
        <v>22</v>
      </c>
      <c r="H2649" s="2" t="s">
        <v>23</v>
      </c>
      <c r="I2649" s="2" t="s">
        <v>23</v>
      </c>
      <c r="J2649" s="2">
        <v>2</v>
      </c>
      <c r="K2649" s="2" t="s">
        <v>48</v>
      </c>
      <c r="L2649" s="2">
        <v>626</v>
      </c>
      <c r="M2649" s="2" t="s">
        <v>49</v>
      </c>
      <c r="N2649" s="2">
        <v>3</v>
      </c>
      <c r="O2649" s="2">
        <v>9361.83</v>
      </c>
      <c r="P2649" s="2">
        <v>3120.61</v>
      </c>
    </row>
    <row r="2650" spans="1:16" outlineLevel="1" x14ac:dyDescent="0.2">
      <c r="A2650" s="5"/>
      <c r="D2650" s="3" t="s">
        <v>719</v>
      </c>
      <c r="N2650" s="2">
        <f>SUBTOTAL(9,N2649:N2649)</f>
        <v>3</v>
      </c>
      <c r="O2650" s="2">
        <f>SUBTOTAL(9,O2649:O2649)</f>
        <v>9361.83</v>
      </c>
      <c r="P2650" s="2">
        <f>+O2650/N2650</f>
        <v>3120.61</v>
      </c>
    </row>
    <row r="2651" spans="1:16" outlineLevel="2" x14ac:dyDescent="0.2">
      <c r="A2651" s="5">
        <v>46129</v>
      </c>
      <c r="B2651" s="2">
        <v>158690</v>
      </c>
      <c r="C2651" s="2">
        <v>1</v>
      </c>
      <c r="D2651" s="2" t="s">
        <v>140</v>
      </c>
      <c r="E2651" s="2" t="s">
        <v>141</v>
      </c>
      <c r="F2651" s="2" t="s">
        <v>108</v>
      </c>
      <c r="G2651" s="2" t="s">
        <v>22</v>
      </c>
      <c r="H2651" s="2" t="s">
        <v>23</v>
      </c>
      <c r="I2651" s="2" t="s">
        <v>23</v>
      </c>
      <c r="J2651" s="2">
        <v>1</v>
      </c>
      <c r="K2651" s="2" t="s">
        <v>24</v>
      </c>
      <c r="L2651" s="2">
        <v>1833</v>
      </c>
      <c r="M2651" s="2" t="s">
        <v>142</v>
      </c>
      <c r="N2651" s="2">
        <v>18</v>
      </c>
      <c r="O2651" s="2">
        <v>483686.07</v>
      </c>
      <c r="P2651" s="2">
        <v>26871.45</v>
      </c>
    </row>
    <row r="2652" spans="1:16" outlineLevel="1" x14ac:dyDescent="0.2">
      <c r="A2652" s="5"/>
      <c r="D2652" s="3" t="s">
        <v>696</v>
      </c>
      <c r="N2652" s="2">
        <f>SUBTOTAL(9,N2651:N2651)</f>
        <v>18</v>
      </c>
      <c r="O2652" s="2">
        <f>SUBTOTAL(9,O2651:O2651)</f>
        <v>483686.07</v>
      </c>
      <c r="P2652" s="2">
        <f>+O2652/N2652</f>
        <v>26871.448333333334</v>
      </c>
    </row>
    <row r="2653" spans="1:16" outlineLevel="2" x14ac:dyDescent="0.2">
      <c r="A2653" s="5">
        <v>46129</v>
      </c>
      <c r="B2653" s="2">
        <v>158691</v>
      </c>
      <c r="C2653" s="2">
        <v>1</v>
      </c>
      <c r="D2653" s="2" t="s">
        <v>416</v>
      </c>
      <c r="E2653" s="2" t="s">
        <v>23</v>
      </c>
      <c r="F2653" s="2" t="s">
        <v>47</v>
      </c>
      <c r="G2653" s="2" t="s">
        <v>22</v>
      </c>
      <c r="H2653" s="2" t="s">
        <v>23</v>
      </c>
      <c r="I2653" s="2" t="s">
        <v>23</v>
      </c>
      <c r="J2653" s="2">
        <v>86</v>
      </c>
      <c r="K2653" s="2" t="s">
        <v>73</v>
      </c>
      <c r="L2653" s="2">
        <v>2338</v>
      </c>
      <c r="M2653" s="2" t="s">
        <v>417</v>
      </c>
      <c r="N2653" s="2">
        <v>15</v>
      </c>
      <c r="O2653" s="2">
        <v>340842.47</v>
      </c>
      <c r="P2653" s="2">
        <v>22722.83</v>
      </c>
    </row>
    <row r="2654" spans="1:16" outlineLevel="1" x14ac:dyDescent="0.2">
      <c r="A2654" s="5"/>
      <c r="D2654" s="3" t="s">
        <v>772</v>
      </c>
      <c r="N2654" s="2">
        <f>SUBTOTAL(9,N2653:N2653)</f>
        <v>15</v>
      </c>
      <c r="O2654" s="2">
        <f>SUBTOTAL(9,O2653:O2653)</f>
        <v>340842.47</v>
      </c>
      <c r="P2654" s="2">
        <f>+O2654/N2654</f>
        <v>22722.831333333332</v>
      </c>
    </row>
    <row r="2655" spans="1:16" outlineLevel="2" x14ac:dyDescent="0.2">
      <c r="A2655" s="5">
        <v>46129</v>
      </c>
      <c r="B2655" s="2">
        <v>158691</v>
      </c>
      <c r="C2655" s="2">
        <v>2</v>
      </c>
      <c r="D2655" s="2" t="s">
        <v>474</v>
      </c>
      <c r="E2655" s="2" t="s">
        <v>475</v>
      </c>
      <c r="F2655" s="2" t="s">
        <v>47</v>
      </c>
      <c r="G2655" s="2" t="s">
        <v>22</v>
      </c>
      <c r="H2655" s="2" t="s">
        <v>23</v>
      </c>
      <c r="I2655" s="2" t="s">
        <v>23</v>
      </c>
      <c r="J2655" s="2">
        <v>41</v>
      </c>
      <c r="K2655" s="2" t="s">
        <v>129</v>
      </c>
      <c r="L2655" s="2">
        <v>2338</v>
      </c>
      <c r="M2655" s="2" t="s">
        <v>417</v>
      </c>
      <c r="N2655" s="2">
        <v>128</v>
      </c>
      <c r="O2655" s="2">
        <v>255284.26</v>
      </c>
      <c r="P2655" s="2">
        <v>1994.41</v>
      </c>
    </row>
    <row r="2656" spans="1:16" outlineLevel="1" x14ac:dyDescent="0.2">
      <c r="A2656" s="5"/>
      <c r="D2656" s="3" t="s">
        <v>780</v>
      </c>
      <c r="N2656" s="2">
        <f>SUBTOTAL(9,N2655:N2655)</f>
        <v>128</v>
      </c>
      <c r="O2656" s="2">
        <f>SUBTOTAL(9,O2655:O2655)</f>
        <v>255284.26</v>
      </c>
      <c r="P2656" s="2">
        <f>+O2656/N2656</f>
        <v>1994.4082812500001</v>
      </c>
    </row>
    <row r="2657" spans="1:16" outlineLevel="2" x14ac:dyDescent="0.2">
      <c r="A2657" s="5">
        <v>46129</v>
      </c>
      <c r="B2657" s="2">
        <v>158692</v>
      </c>
      <c r="C2657" s="2">
        <v>1</v>
      </c>
      <c r="D2657" s="2" t="s">
        <v>207</v>
      </c>
      <c r="E2657" s="2" t="s">
        <v>23</v>
      </c>
      <c r="F2657" s="2" t="s">
        <v>47</v>
      </c>
      <c r="G2657" s="2" t="s">
        <v>22</v>
      </c>
      <c r="H2657" s="2" t="s">
        <v>23</v>
      </c>
      <c r="I2657" s="2" t="s">
        <v>23</v>
      </c>
      <c r="J2657" s="2">
        <v>1</v>
      </c>
      <c r="K2657" s="2" t="s">
        <v>24</v>
      </c>
      <c r="L2657" s="2">
        <v>25213</v>
      </c>
      <c r="M2657" s="2" t="s">
        <v>130</v>
      </c>
      <c r="N2657" s="2">
        <v>4</v>
      </c>
      <c r="O2657" s="2">
        <v>312427.48</v>
      </c>
      <c r="P2657" s="2">
        <v>78106.87</v>
      </c>
    </row>
    <row r="2658" spans="1:16" outlineLevel="1" x14ac:dyDescent="0.2">
      <c r="A2658" s="5"/>
      <c r="D2658" s="3" t="s">
        <v>699</v>
      </c>
      <c r="N2658" s="2">
        <f>SUBTOTAL(9,N2657:N2657)</f>
        <v>4</v>
      </c>
      <c r="O2658" s="2">
        <f>SUBTOTAL(9,O2657:O2657)</f>
        <v>312427.48</v>
      </c>
      <c r="P2658" s="2">
        <f>+O2658/N2658</f>
        <v>78106.87</v>
      </c>
    </row>
    <row r="2659" spans="1:16" outlineLevel="2" x14ac:dyDescent="0.2">
      <c r="A2659" s="5">
        <v>46129</v>
      </c>
      <c r="B2659" s="2">
        <v>158692</v>
      </c>
      <c r="C2659" s="2">
        <v>2</v>
      </c>
      <c r="D2659" s="2" t="s">
        <v>128</v>
      </c>
      <c r="E2659" s="2" t="s">
        <v>23</v>
      </c>
      <c r="F2659" s="2" t="s">
        <v>47</v>
      </c>
      <c r="G2659" s="2" t="s">
        <v>22</v>
      </c>
      <c r="H2659" s="2" t="s">
        <v>23</v>
      </c>
      <c r="I2659" s="2" t="s">
        <v>23</v>
      </c>
      <c r="J2659" s="2">
        <v>41</v>
      </c>
      <c r="K2659" s="2" t="s">
        <v>129</v>
      </c>
      <c r="L2659" s="2">
        <v>25213</v>
      </c>
      <c r="M2659" s="2" t="s">
        <v>130</v>
      </c>
      <c r="N2659" s="2">
        <v>50</v>
      </c>
      <c r="O2659" s="2">
        <v>181668.85</v>
      </c>
      <c r="P2659" s="2">
        <v>3633.38</v>
      </c>
    </row>
    <row r="2660" spans="1:16" outlineLevel="1" x14ac:dyDescent="0.2">
      <c r="A2660" s="5"/>
      <c r="D2660" s="3" t="s">
        <v>732</v>
      </c>
      <c r="N2660" s="2">
        <f>SUBTOTAL(9,N2659:N2659)</f>
        <v>50</v>
      </c>
      <c r="O2660" s="2">
        <f>SUBTOTAL(9,O2659:O2659)</f>
        <v>181668.85</v>
      </c>
      <c r="P2660" s="2">
        <f>+O2660/N2660</f>
        <v>3633.377</v>
      </c>
    </row>
    <row r="2661" spans="1:16" outlineLevel="2" x14ac:dyDescent="0.2">
      <c r="A2661" s="5">
        <v>46129</v>
      </c>
      <c r="B2661" s="2">
        <v>158692</v>
      </c>
      <c r="C2661" s="2">
        <v>3</v>
      </c>
      <c r="D2661" s="2" t="s">
        <v>207</v>
      </c>
      <c r="E2661" s="2" t="s">
        <v>23</v>
      </c>
      <c r="F2661" s="2" t="s">
        <v>47</v>
      </c>
      <c r="G2661" s="2" t="s">
        <v>22</v>
      </c>
      <c r="H2661" s="2" t="s">
        <v>208</v>
      </c>
      <c r="I2661" s="2" t="s">
        <v>23</v>
      </c>
      <c r="J2661" s="2">
        <v>41</v>
      </c>
      <c r="K2661" s="2" t="s">
        <v>129</v>
      </c>
      <c r="L2661" s="2">
        <v>25213</v>
      </c>
      <c r="M2661" s="2" t="s">
        <v>130</v>
      </c>
      <c r="N2661" s="2">
        <v>25</v>
      </c>
      <c r="O2661" s="2">
        <v>88780.81</v>
      </c>
      <c r="P2661" s="2">
        <v>3551.23</v>
      </c>
    </row>
    <row r="2662" spans="1:16" outlineLevel="2" x14ac:dyDescent="0.2">
      <c r="A2662" s="5">
        <v>46129</v>
      </c>
      <c r="B2662" s="2">
        <v>158692</v>
      </c>
      <c r="C2662" s="2">
        <v>4</v>
      </c>
      <c r="D2662" s="2" t="s">
        <v>207</v>
      </c>
      <c r="E2662" s="2" t="s">
        <v>23</v>
      </c>
      <c r="F2662" s="2" t="s">
        <v>47</v>
      </c>
      <c r="G2662" s="2" t="s">
        <v>22</v>
      </c>
      <c r="H2662" s="2" t="s">
        <v>209</v>
      </c>
      <c r="I2662" s="2" t="s">
        <v>23</v>
      </c>
      <c r="J2662" s="2">
        <v>41</v>
      </c>
      <c r="K2662" s="2" t="s">
        <v>129</v>
      </c>
      <c r="L2662" s="2">
        <v>25213</v>
      </c>
      <c r="M2662" s="2" t="s">
        <v>130</v>
      </c>
      <c r="N2662" s="2">
        <v>25</v>
      </c>
      <c r="O2662" s="2">
        <v>84673.67</v>
      </c>
      <c r="P2662" s="2">
        <v>3386.95</v>
      </c>
    </row>
    <row r="2663" spans="1:16" outlineLevel="1" x14ac:dyDescent="0.2">
      <c r="A2663" s="5"/>
      <c r="D2663" s="3" t="s">
        <v>699</v>
      </c>
      <c r="N2663" s="2">
        <f>SUBTOTAL(9,N2661:N2662)</f>
        <v>50</v>
      </c>
      <c r="O2663" s="2">
        <f>SUBTOTAL(9,O2661:O2662)</f>
        <v>173454.47999999998</v>
      </c>
      <c r="P2663" s="2">
        <f>+O2663/N2663</f>
        <v>3469.0895999999998</v>
      </c>
    </row>
    <row r="2664" spans="1:16" outlineLevel="2" x14ac:dyDescent="0.2">
      <c r="A2664" s="5">
        <v>46129</v>
      </c>
      <c r="B2664" s="2">
        <v>158693</v>
      </c>
      <c r="C2664" s="2">
        <v>1</v>
      </c>
      <c r="D2664" s="2" t="s">
        <v>143</v>
      </c>
      <c r="E2664" s="2" t="s">
        <v>23</v>
      </c>
      <c r="F2664" s="2" t="s">
        <v>144</v>
      </c>
      <c r="G2664" s="2" t="s">
        <v>22</v>
      </c>
      <c r="H2664" s="2" t="s">
        <v>23</v>
      </c>
      <c r="I2664" s="2" t="s">
        <v>23</v>
      </c>
      <c r="J2664" s="2">
        <v>1</v>
      </c>
      <c r="K2664" s="2" t="s">
        <v>24</v>
      </c>
      <c r="L2664" s="2">
        <v>2101</v>
      </c>
      <c r="M2664" s="2" t="s">
        <v>145</v>
      </c>
      <c r="N2664" s="2">
        <v>175</v>
      </c>
      <c r="O2664" s="2">
        <v>736521.5</v>
      </c>
      <c r="P2664" s="2">
        <v>4208.6899999999996</v>
      </c>
    </row>
    <row r="2665" spans="1:16" outlineLevel="1" x14ac:dyDescent="0.2">
      <c r="A2665" s="5"/>
      <c r="D2665" s="3" t="s">
        <v>706</v>
      </c>
      <c r="N2665" s="2">
        <f>SUBTOTAL(9,N2664:N2664)</f>
        <v>175</v>
      </c>
      <c r="O2665" s="2">
        <f>SUBTOTAL(9,O2664:O2664)</f>
        <v>736521.5</v>
      </c>
      <c r="P2665" s="2">
        <f>+O2665/N2665</f>
        <v>4208.6942857142858</v>
      </c>
    </row>
    <row r="2666" spans="1:16" outlineLevel="2" x14ac:dyDescent="0.2">
      <c r="A2666" s="5">
        <v>46129</v>
      </c>
      <c r="B2666" s="2">
        <v>158698</v>
      </c>
      <c r="C2666" s="2">
        <v>1</v>
      </c>
      <c r="D2666" s="2" t="s">
        <v>404</v>
      </c>
      <c r="E2666" s="2" t="s">
        <v>23</v>
      </c>
      <c r="F2666" s="2" t="s">
        <v>289</v>
      </c>
      <c r="G2666" s="2" t="s">
        <v>22</v>
      </c>
      <c r="H2666" s="2" t="s">
        <v>23</v>
      </c>
      <c r="I2666" s="2" t="s">
        <v>23</v>
      </c>
      <c r="J2666" s="2">
        <v>1</v>
      </c>
      <c r="K2666" s="2" t="s">
        <v>24</v>
      </c>
      <c r="L2666" s="2">
        <v>25072</v>
      </c>
      <c r="M2666" s="2" t="s">
        <v>449</v>
      </c>
      <c r="N2666" s="2">
        <v>29</v>
      </c>
      <c r="O2666" s="2">
        <v>940954.04</v>
      </c>
      <c r="P2666" s="2">
        <v>32446.69</v>
      </c>
    </row>
    <row r="2667" spans="1:16" outlineLevel="1" x14ac:dyDescent="0.2">
      <c r="A2667" s="5"/>
      <c r="D2667" s="3" t="s">
        <v>769</v>
      </c>
      <c r="N2667" s="2">
        <f>SUBTOTAL(9,N2666:N2666)</f>
        <v>29</v>
      </c>
      <c r="O2667" s="2">
        <f>SUBTOTAL(9,O2666:O2666)</f>
        <v>940954.04</v>
      </c>
      <c r="P2667" s="2">
        <f>+O2667/N2667</f>
        <v>32446.691034482759</v>
      </c>
    </row>
    <row r="2668" spans="1:16" outlineLevel="2" x14ac:dyDescent="0.2">
      <c r="A2668" s="5">
        <v>46141</v>
      </c>
      <c r="B2668" s="2">
        <v>158699</v>
      </c>
      <c r="C2668" s="2">
        <v>1</v>
      </c>
      <c r="D2668" s="2" t="s">
        <v>54</v>
      </c>
      <c r="E2668" s="2" t="s">
        <v>30</v>
      </c>
      <c r="F2668" s="2" t="s">
        <v>55</v>
      </c>
      <c r="G2668" s="2" t="s">
        <v>23</v>
      </c>
      <c r="H2668" s="2" t="s">
        <v>23</v>
      </c>
      <c r="I2668" s="2" t="s">
        <v>23</v>
      </c>
      <c r="J2668" s="2">
        <v>2</v>
      </c>
      <c r="K2668" s="2" t="s">
        <v>48</v>
      </c>
      <c r="L2668" s="2">
        <v>626</v>
      </c>
      <c r="M2668" s="2" t="s">
        <v>49</v>
      </c>
      <c r="N2668" s="2">
        <v>4</v>
      </c>
      <c r="O2668" s="2">
        <v>24928.28</v>
      </c>
      <c r="P2668" s="2">
        <v>6232.07</v>
      </c>
    </row>
    <row r="2669" spans="1:16" outlineLevel="1" x14ac:dyDescent="0.2">
      <c r="A2669" s="5"/>
      <c r="D2669" s="3" t="s">
        <v>719</v>
      </c>
      <c r="N2669" s="2">
        <f>SUBTOTAL(9,N2668:N2668)</f>
        <v>4</v>
      </c>
      <c r="O2669" s="2">
        <f>SUBTOTAL(9,O2668:O2668)</f>
        <v>24928.28</v>
      </c>
      <c r="P2669" s="2">
        <f>+O2669/N2669</f>
        <v>6232.07</v>
      </c>
    </row>
    <row r="2670" spans="1:16" outlineLevel="2" x14ac:dyDescent="0.2">
      <c r="A2670" s="5">
        <v>46146</v>
      </c>
      <c r="B2670" s="2">
        <v>158703</v>
      </c>
      <c r="C2670" s="2">
        <v>2</v>
      </c>
      <c r="D2670" s="2" t="s">
        <v>203</v>
      </c>
      <c r="E2670" s="2" t="s">
        <v>238</v>
      </c>
      <c r="F2670" s="2" t="s">
        <v>55</v>
      </c>
      <c r="G2670" s="2" t="s">
        <v>23</v>
      </c>
      <c r="H2670" s="2" t="s">
        <v>23</v>
      </c>
      <c r="I2670" s="2" t="s">
        <v>23</v>
      </c>
      <c r="J2670" s="2">
        <v>2</v>
      </c>
      <c r="K2670" s="2" t="s">
        <v>48</v>
      </c>
      <c r="L2670" s="2">
        <v>2316</v>
      </c>
      <c r="M2670" s="2" t="s">
        <v>206</v>
      </c>
      <c r="N2670" s="2">
        <v>1</v>
      </c>
      <c r="O2670" s="2">
        <v>4365.1899999999996</v>
      </c>
      <c r="P2670" s="2">
        <v>4365.1899999999996</v>
      </c>
    </row>
    <row r="2671" spans="1:16" outlineLevel="1" x14ac:dyDescent="0.2">
      <c r="A2671" s="5"/>
      <c r="D2671" s="3" t="s">
        <v>735</v>
      </c>
      <c r="N2671" s="2">
        <f>SUBTOTAL(9,N2670:N2670)</f>
        <v>1</v>
      </c>
      <c r="O2671" s="2">
        <f>SUBTOTAL(9,O2670:O2670)</f>
        <v>4365.1899999999996</v>
      </c>
      <c r="P2671" s="2">
        <f>+O2671/N2671</f>
        <v>4365.1899999999996</v>
      </c>
    </row>
    <row r="2672" spans="1:16" outlineLevel="2" x14ac:dyDescent="0.2">
      <c r="A2672" s="5">
        <v>46146</v>
      </c>
      <c r="B2672" s="2">
        <v>158710</v>
      </c>
      <c r="C2672" s="2">
        <v>305</v>
      </c>
      <c r="D2672" s="2" t="s">
        <v>54</v>
      </c>
      <c r="E2672" s="2" t="s">
        <v>30</v>
      </c>
      <c r="F2672" s="2" t="s">
        <v>55</v>
      </c>
      <c r="G2672" s="2" t="s">
        <v>23</v>
      </c>
      <c r="H2672" s="2" t="s">
        <v>23</v>
      </c>
      <c r="I2672" s="2" t="s">
        <v>23</v>
      </c>
      <c r="J2672" s="2">
        <v>2</v>
      </c>
      <c r="K2672" s="2" t="s">
        <v>48</v>
      </c>
      <c r="L2672" s="2">
        <v>25095</v>
      </c>
      <c r="M2672" s="2" t="s">
        <v>216</v>
      </c>
      <c r="N2672" s="2">
        <v>4</v>
      </c>
      <c r="O2672" s="2">
        <v>21194.52</v>
      </c>
      <c r="P2672" s="2">
        <v>5298.63</v>
      </c>
    </row>
    <row r="2673" spans="1:16" outlineLevel="2" x14ac:dyDescent="0.2">
      <c r="A2673" s="5">
        <v>46141</v>
      </c>
      <c r="B2673" s="2">
        <v>158710</v>
      </c>
      <c r="C2673" s="2">
        <v>306</v>
      </c>
      <c r="D2673" s="2" t="s">
        <v>54</v>
      </c>
      <c r="E2673" s="2" t="s">
        <v>20</v>
      </c>
      <c r="F2673" s="2" t="s">
        <v>55</v>
      </c>
      <c r="G2673" s="2" t="s">
        <v>23</v>
      </c>
      <c r="H2673" s="2" t="s">
        <v>23</v>
      </c>
      <c r="I2673" s="2" t="s">
        <v>23</v>
      </c>
      <c r="J2673" s="2">
        <v>2</v>
      </c>
      <c r="K2673" s="2" t="s">
        <v>48</v>
      </c>
      <c r="L2673" s="2">
        <v>25095</v>
      </c>
      <c r="M2673" s="2" t="s">
        <v>216</v>
      </c>
      <c r="N2673" s="2">
        <v>2</v>
      </c>
      <c r="O2673" s="2">
        <v>12464.14</v>
      </c>
      <c r="P2673" s="2">
        <v>6232.07</v>
      </c>
    </row>
    <row r="2674" spans="1:16" outlineLevel="2" x14ac:dyDescent="0.2">
      <c r="A2674" s="5">
        <v>46129</v>
      </c>
      <c r="B2674" s="2">
        <v>158710</v>
      </c>
      <c r="C2674" s="2">
        <v>315</v>
      </c>
      <c r="D2674" s="2" t="s">
        <v>54</v>
      </c>
      <c r="E2674" s="2" t="s">
        <v>20</v>
      </c>
      <c r="F2674" s="2" t="s">
        <v>55</v>
      </c>
      <c r="G2674" s="2" t="s">
        <v>23</v>
      </c>
      <c r="H2674" s="2" t="s">
        <v>23</v>
      </c>
      <c r="I2674" s="2" t="s">
        <v>23</v>
      </c>
      <c r="J2674" s="2">
        <v>1</v>
      </c>
      <c r="K2674" s="2" t="s">
        <v>24</v>
      </c>
      <c r="L2674" s="2">
        <v>25095</v>
      </c>
      <c r="M2674" s="2" t="s">
        <v>216</v>
      </c>
      <c r="N2674" s="2">
        <v>12</v>
      </c>
      <c r="O2674" s="2">
        <v>18778.560000000001</v>
      </c>
      <c r="P2674" s="2">
        <v>1564.88</v>
      </c>
    </row>
    <row r="2675" spans="1:16" outlineLevel="1" x14ac:dyDescent="0.2">
      <c r="A2675" s="5"/>
      <c r="D2675" s="3" t="s">
        <v>719</v>
      </c>
      <c r="N2675" s="2">
        <f>SUBTOTAL(9,N2672:N2674)</f>
        <v>18</v>
      </c>
      <c r="O2675" s="2">
        <f>SUBTOTAL(9,O2672:O2674)</f>
        <v>52437.22</v>
      </c>
      <c r="P2675" s="2">
        <f>+O2675/N2675</f>
        <v>2913.1788888888891</v>
      </c>
    </row>
    <row r="2676" spans="1:16" outlineLevel="2" x14ac:dyDescent="0.2">
      <c r="A2676" s="5">
        <v>46132</v>
      </c>
      <c r="B2676" s="2">
        <v>158712</v>
      </c>
      <c r="C2676" s="2">
        <v>2</v>
      </c>
      <c r="D2676" s="2" t="s">
        <v>480</v>
      </c>
      <c r="E2676" s="2" t="s">
        <v>377</v>
      </c>
      <c r="F2676" s="2" t="s">
        <v>187</v>
      </c>
      <c r="G2676" s="2" t="s">
        <v>22</v>
      </c>
      <c r="H2676" s="2" t="s">
        <v>23</v>
      </c>
      <c r="I2676" s="2" t="s">
        <v>408</v>
      </c>
      <c r="J2676" s="2">
        <v>1</v>
      </c>
      <c r="K2676" s="2" t="s">
        <v>24</v>
      </c>
      <c r="L2676" s="2">
        <v>2804</v>
      </c>
      <c r="M2676" s="2" t="s">
        <v>481</v>
      </c>
      <c r="N2676" s="2">
        <v>91</v>
      </c>
      <c r="O2676" s="2">
        <v>3912846.35</v>
      </c>
      <c r="P2676" s="2">
        <v>42998.31</v>
      </c>
    </row>
    <row r="2677" spans="1:16" outlineLevel="1" x14ac:dyDescent="0.2">
      <c r="A2677" s="5"/>
      <c r="D2677" s="3" t="s">
        <v>783</v>
      </c>
      <c r="N2677" s="2">
        <f>SUBTOTAL(9,N2676:N2676)</f>
        <v>91</v>
      </c>
      <c r="O2677" s="2">
        <f>SUBTOTAL(9,O2676:O2676)</f>
        <v>3912846.35</v>
      </c>
      <c r="P2677" s="2">
        <f>+O2677/N2677</f>
        <v>42998.311538461538</v>
      </c>
    </row>
    <row r="2678" spans="1:16" outlineLevel="2" x14ac:dyDescent="0.2">
      <c r="A2678" s="5">
        <v>46132</v>
      </c>
      <c r="B2678" s="2">
        <v>158715</v>
      </c>
      <c r="C2678" s="2">
        <v>1</v>
      </c>
      <c r="D2678" s="2" t="s">
        <v>75</v>
      </c>
      <c r="E2678" s="2" t="s">
        <v>412</v>
      </c>
      <c r="F2678" s="2" t="s">
        <v>108</v>
      </c>
      <c r="G2678" s="2" t="s">
        <v>22</v>
      </c>
      <c r="H2678" s="2" t="s">
        <v>23</v>
      </c>
      <c r="I2678" s="2" t="s">
        <v>100</v>
      </c>
      <c r="J2678" s="2">
        <v>1</v>
      </c>
      <c r="K2678" s="2" t="s">
        <v>24</v>
      </c>
      <c r="L2678" s="2">
        <v>2024</v>
      </c>
      <c r="M2678" s="2" t="s">
        <v>76</v>
      </c>
      <c r="N2678" s="2">
        <v>160</v>
      </c>
      <c r="O2678" s="2">
        <v>4601963.5199999996</v>
      </c>
      <c r="P2678" s="2">
        <v>28762.27</v>
      </c>
    </row>
    <row r="2679" spans="1:16" outlineLevel="2" x14ac:dyDescent="0.2">
      <c r="A2679" s="5">
        <v>46132</v>
      </c>
      <c r="B2679" s="2">
        <v>158715</v>
      </c>
      <c r="C2679" s="2">
        <v>2</v>
      </c>
      <c r="D2679" s="2" t="s">
        <v>75</v>
      </c>
      <c r="E2679" s="2" t="s">
        <v>412</v>
      </c>
      <c r="F2679" s="2" t="s">
        <v>108</v>
      </c>
      <c r="G2679" s="2" t="s">
        <v>22</v>
      </c>
      <c r="H2679" s="2" t="s">
        <v>23</v>
      </c>
      <c r="I2679" s="2" t="s">
        <v>109</v>
      </c>
      <c r="J2679" s="2">
        <v>1</v>
      </c>
      <c r="K2679" s="2" t="s">
        <v>24</v>
      </c>
      <c r="L2679" s="2">
        <v>2024</v>
      </c>
      <c r="M2679" s="2" t="s">
        <v>76</v>
      </c>
      <c r="N2679" s="2">
        <v>480</v>
      </c>
      <c r="O2679" s="2">
        <v>14105909.15</v>
      </c>
      <c r="P2679" s="2">
        <v>29387.31</v>
      </c>
    </row>
    <row r="2680" spans="1:16" outlineLevel="2" x14ac:dyDescent="0.2">
      <c r="A2680" s="5">
        <v>46139</v>
      </c>
      <c r="B2680" s="2">
        <v>158715</v>
      </c>
      <c r="C2680" s="2">
        <v>3</v>
      </c>
      <c r="D2680" s="2" t="s">
        <v>75</v>
      </c>
      <c r="E2680" s="2" t="s">
        <v>412</v>
      </c>
      <c r="F2680" s="2" t="s">
        <v>108</v>
      </c>
      <c r="G2680" s="2" t="s">
        <v>22</v>
      </c>
      <c r="H2680" s="2" t="s">
        <v>23</v>
      </c>
      <c r="I2680" s="2" t="s">
        <v>101</v>
      </c>
      <c r="J2680" s="2">
        <v>1</v>
      </c>
      <c r="K2680" s="2" t="s">
        <v>24</v>
      </c>
      <c r="L2680" s="2">
        <v>2024</v>
      </c>
      <c r="M2680" s="2" t="s">
        <v>76</v>
      </c>
      <c r="N2680" s="2">
        <v>23</v>
      </c>
      <c r="O2680" s="2">
        <v>666942.11</v>
      </c>
      <c r="P2680" s="2">
        <v>28997.48</v>
      </c>
    </row>
    <row r="2681" spans="1:16" outlineLevel="2" x14ac:dyDescent="0.2">
      <c r="A2681" s="5">
        <v>46139</v>
      </c>
      <c r="B2681" s="2">
        <v>158715</v>
      </c>
      <c r="C2681" s="2">
        <v>4</v>
      </c>
      <c r="D2681" s="2" t="s">
        <v>75</v>
      </c>
      <c r="E2681" s="2" t="s">
        <v>412</v>
      </c>
      <c r="F2681" s="2" t="s">
        <v>108</v>
      </c>
      <c r="G2681" s="2" t="s">
        <v>22</v>
      </c>
      <c r="H2681" s="2" t="s">
        <v>23</v>
      </c>
      <c r="I2681" s="2" t="s">
        <v>482</v>
      </c>
      <c r="J2681" s="2">
        <v>1</v>
      </c>
      <c r="K2681" s="2" t="s">
        <v>24</v>
      </c>
      <c r="L2681" s="2">
        <v>2024</v>
      </c>
      <c r="M2681" s="2" t="s">
        <v>76</v>
      </c>
      <c r="N2681" s="2">
        <v>130</v>
      </c>
      <c r="O2681" s="2">
        <v>3475961.68</v>
      </c>
      <c r="P2681" s="2">
        <v>26738.17</v>
      </c>
    </row>
    <row r="2682" spans="1:16" outlineLevel="1" x14ac:dyDescent="0.2">
      <c r="A2682" s="5"/>
      <c r="D2682" s="3" t="s">
        <v>729</v>
      </c>
      <c r="N2682" s="2">
        <f>SUBTOTAL(9,N2678:N2681)</f>
        <v>793</v>
      </c>
      <c r="O2682" s="2">
        <f>SUBTOTAL(9,O2678:O2681)</f>
        <v>22850776.460000001</v>
      </c>
      <c r="P2682" s="2">
        <f>+O2682/N2682</f>
        <v>28815.607137452713</v>
      </c>
    </row>
    <row r="2683" spans="1:16" outlineLevel="2" x14ac:dyDescent="0.2">
      <c r="A2683" s="5">
        <v>46134</v>
      </c>
      <c r="B2683" s="2">
        <v>158763</v>
      </c>
      <c r="C2683" s="2">
        <v>1</v>
      </c>
      <c r="D2683" s="2" t="s">
        <v>197</v>
      </c>
      <c r="E2683" s="2" t="s">
        <v>284</v>
      </c>
      <c r="F2683" s="2" t="s">
        <v>199</v>
      </c>
      <c r="G2683" s="2" t="s">
        <v>22</v>
      </c>
      <c r="H2683" s="2" t="s">
        <v>23</v>
      </c>
      <c r="I2683" s="2" t="s">
        <v>23</v>
      </c>
      <c r="J2683" s="2">
        <v>2</v>
      </c>
      <c r="K2683" s="2" t="s">
        <v>48</v>
      </c>
      <c r="L2683" s="2">
        <v>183</v>
      </c>
      <c r="M2683" s="2" t="s">
        <v>381</v>
      </c>
      <c r="N2683" s="2">
        <v>99</v>
      </c>
      <c r="O2683" s="2">
        <v>2441848.5699999998</v>
      </c>
      <c r="P2683" s="2">
        <v>24665.14</v>
      </c>
    </row>
    <row r="2684" spans="1:16" outlineLevel="2" x14ac:dyDescent="0.2">
      <c r="A2684" s="5">
        <v>46129</v>
      </c>
      <c r="B2684" s="2">
        <v>158766</v>
      </c>
      <c r="C2684" s="2">
        <v>1</v>
      </c>
      <c r="D2684" s="2" t="s">
        <v>197</v>
      </c>
      <c r="E2684" s="2" t="s">
        <v>483</v>
      </c>
      <c r="F2684" s="2" t="s">
        <v>199</v>
      </c>
      <c r="G2684" s="2" t="s">
        <v>22</v>
      </c>
      <c r="H2684" s="2" t="s">
        <v>23</v>
      </c>
      <c r="I2684" s="2" t="s">
        <v>23</v>
      </c>
      <c r="J2684" s="2">
        <v>2</v>
      </c>
      <c r="K2684" s="2" t="s">
        <v>48</v>
      </c>
      <c r="L2684" s="2">
        <v>2804</v>
      </c>
      <c r="M2684" s="2" t="s">
        <v>481</v>
      </c>
      <c r="N2684" s="2">
        <v>204</v>
      </c>
      <c r="O2684" s="2">
        <v>3908986.43</v>
      </c>
      <c r="P2684" s="2">
        <v>19161.7</v>
      </c>
    </row>
    <row r="2685" spans="1:16" outlineLevel="2" x14ac:dyDescent="0.2">
      <c r="A2685" s="5">
        <v>46132</v>
      </c>
      <c r="B2685" s="2">
        <v>158768</v>
      </c>
      <c r="C2685" s="2">
        <v>1</v>
      </c>
      <c r="D2685" s="2" t="s">
        <v>197</v>
      </c>
      <c r="E2685" s="2" t="s">
        <v>20</v>
      </c>
      <c r="F2685" s="2" t="s">
        <v>63</v>
      </c>
      <c r="G2685" s="2" t="s">
        <v>22</v>
      </c>
      <c r="H2685" s="2" t="s">
        <v>23</v>
      </c>
      <c r="I2685" s="2" t="s">
        <v>23</v>
      </c>
      <c r="J2685" s="2">
        <v>40</v>
      </c>
      <c r="K2685" s="2" t="s">
        <v>43</v>
      </c>
      <c r="L2685" s="2">
        <v>2014</v>
      </c>
      <c r="M2685" s="2" t="s">
        <v>437</v>
      </c>
      <c r="N2685" s="2">
        <v>684</v>
      </c>
      <c r="O2685" s="2">
        <v>42842208.409999996</v>
      </c>
      <c r="P2685" s="2">
        <v>62634.81</v>
      </c>
    </row>
    <row r="2686" spans="1:16" outlineLevel="1" x14ac:dyDescent="0.2">
      <c r="A2686" s="5"/>
      <c r="D2686" s="3" t="s">
        <v>734</v>
      </c>
      <c r="N2686" s="2">
        <f>SUBTOTAL(9,N2683:N2685)</f>
        <v>987</v>
      </c>
      <c r="O2686" s="2">
        <f>SUBTOTAL(9,O2683:O2685)</f>
        <v>49193043.409999996</v>
      </c>
      <c r="P2686" s="2">
        <f>+O2686/N2686</f>
        <v>49840.976099290776</v>
      </c>
    </row>
    <row r="2687" spans="1:16" outlineLevel="2" x14ac:dyDescent="0.2">
      <c r="A2687" s="5">
        <v>46164</v>
      </c>
      <c r="B2687" s="2">
        <v>158779</v>
      </c>
      <c r="C2687" s="2">
        <v>1</v>
      </c>
      <c r="D2687" s="2" t="s">
        <v>362</v>
      </c>
      <c r="E2687" s="2" t="s">
        <v>23</v>
      </c>
      <c r="F2687" s="2" t="s">
        <v>47</v>
      </c>
      <c r="G2687" s="2" t="s">
        <v>22</v>
      </c>
      <c r="H2687" s="2" t="s">
        <v>23</v>
      </c>
      <c r="I2687" s="2" t="s">
        <v>23</v>
      </c>
      <c r="J2687" s="2">
        <v>1</v>
      </c>
      <c r="K2687" s="2" t="s">
        <v>24</v>
      </c>
      <c r="L2687" s="2">
        <v>1833</v>
      </c>
      <c r="M2687" s="2" t="s">
        <v>142</v>
      </c>
      <c r="N2687" s="2">
        <v>4</v>
      </c>
      <c r="O2687" s="2">
        <v>36129.550000000003</v>
      </c>
      <c r="P2687" s="2">
        <v>9032.39</v>
      </c>
    </row>
    <row r="2688" spans="1:16" outlineLevel="1" x14ac:dyDescent="0.2">
      <c r="A2688" s="5"/>
      <c r="D2688" s="3" t="s">
        <v>762</v>
      </c>
      <c r="N2688" s="2">
        <f>SUBTOTAL(9,N2687:N2687)</f>
        <v>4</v>
      </c>
      <c r="O2688" s="2">
        <f>SUBTOTAL(9,O2687:O2687)</f>
        <v>36129.550000000003</v>
      </c>
      <c r="P2688" s="2">
        <f>+O2688/N2688</f>
        <v>9032.3875000000007</v>
      </c>
    </row>
    <row r="2689" spans="1:16" outlineLevel="2" x14ac:dyDescent="0.2">
      <c r="A2689" s="5">
        <v>46132</v>
      </c>
      <c r="B2689" s="2">
        <v>158780</v>
      </c>
      <c r="C2689" s="2">
        <v>1</v>
      </c>
      <c r="D2689" s="2" t="s">
        <v>143</v>
      </c>
      <c r="E2689" s="2" t="s">
        <v>276</v>
      </c>
      <c r="F2689" s="2" t="s">
        <v>144</v>
      </c>
      <c r="G2689" s="2" t="s">
        <v>22</v>
      </c>
      <c r="H2689" s="2" t="s">
        <v>23</v>
      </c>
      <c r="I2689" s="2" t="s">
        <v>23</v>
      </c>
      <c r="J2689" s="2">
        <v>1</v>
      </c>
      <c r="K2689" s="2" t="s">
        <v>24</v>
      </c>
      <c r="L2689" s="2">
        <v>2101</v>
      </c>
      <c r="M2689" s="2" t="s">
        <v>145</v>
      </c>
      <c r="N2689" s="2">
        <v>133</v>
      </c>
      <c r="O2689" s="2">
        <v>895936</v>
      </c>
      <c r="P2689" s="2">
        <v>6736.36</v>
      </c>
    </row>
    <row r="2690" spans="1:16" outlineLevel="1" x14ac:dyDescent="0.2">
      <c r="A2690" s="5"/>
      <c r="D2690" s="3" t="s">
        <v>706</v>
      </c>
      <c r="N2690" s="2">
        <f>SUBTOTAL(9,N2689:N2689)</f>
        <v>133</v>
      </c>
      <c r="O2690" s="2">
        <f>SUBTOTAL(9,O2689:O2689)</f>
        <v>895936</v>
      </c>
      <c r="P2690" s="2">
        <f>+O2690/N2690</f>
        <v>6736.3609022556393</v>
      </c>
    </row>
    <row r="2691" spans="1:16" outlineLevel="2" x14ac:dyDescent="0.2">
      <c r="A2691" s="5">
        <v>46132</v>
      </c>
      <c r="B2691" s="2">
        <v>158781</v>
      </c>
      <c r="C2691" s="2">
        <v>1</v>
      </c>
      <c r="D2691" s="2" t="s">
        <v>60</v>
      </c>
      <c r="E2691" s="2" t="s">
        <v>346</v>
      </c>
      <c r="F2691" s="2" t="s">
        <v>31</v>
      </c>
      <c r="G2691" s="2" t="s">
        <v>22</v>
      </c>
      <c r="H2691" s="2" t="s">
        <v>433</v>
      </c>
      <c r="I2691" s="2" t="s">
        <v>23</v>
      </c>
      <c r="J2691" s="2">
        <v>78</v>
      </c>
      <c r="K2691" s="2" t="s">
        <v>212</v>
      </c>
      <c r="L2691" s="2">
        <v>226</v>
      </c>
      <c r="M2691" s="2" t="s">
        <v>59</v>
      </c>
      <c r="N2691" s="2">
        <v>89</v>
      </c>
      <c r="O2691" s="2">
        <v>1268323.3</v>
      </c>
      <c r="P2691" s="2">
        <v>14250.82</v>
      </c>
    </row>
    <row r="2692" spans="1:16" outlineLevel="1" x14ac:dyDescent="0.2">
      <c r="A2692" s="5"/>
      <c r="D2692" s="3" t="s">
        <v>728</v>
      </c>
      <c r="N2692" s="2">
        <f>SUBTOTAL(9,N2691:N2691)</f>
        <v>89</v>
      </c>
      <c r="O2692" s="2">
        <f>SUBTOTAL(9,O2691:O2691)</f>
        <v>1268323.3</v>
      </c>
      <c r="P2692" s="2">
        <f>+O2692/N2692</f>
        <v>14250.823595505619</v>
      </c>
    </row>
    <row r="2693" spans="1:16" outlineLevel="2" x14ac:dyDescent="0.2">
      <c r="A2693" s="5">
        <v>46132</v>
      </c>
      <c r="B2693" s="2">
        <v>158781</v>
      </c>
      <c r="C2693" s="2">
        <v>2</v>
      </c>
      <c r="D2693" s="2" t="s">
        <v>83</v>
      </c>
      <c r="E2693" s="2" t="s">
        <v>84</v>
      </c>
      <c r="F2693" s="2" t="s">
        <v>31</v>
      </c>
      <c r="G2693" s="2" t="s">
        <v>22</v>
      </c>
      <c r="H2693" s="2" t="s">
        <v>23</v>
      </c>
      <c r="I2693" s="2" t="s">
        <v>23</v>
      </c>
      <c r="J2693" s="2">
        <v>88</v>
      </c>
      <c r="K2693" s="2" t="s">
        <v>255</v>
      </c>
      <c r="L2693" s="2">
        <v>226</v>
      </c>
      <c r="M2693" s="2" t="s">
        <v>59</v>
      </c>
      <c r="N2693" s="2">
        <v>88</v>
      </c>
      <c r="O2693" s="2">
        <v>3046250.08</v>
      </c>
      <c r="P2693" s="2">
        <v>34616.480000000003</v>
      </c>
    </row>
    <row r="2694" spans="1:16" outlineLevel="1" x14ac:dyDescent="0.2">
      <c r="A2694" s="5"/>
      <c r="D2694" s="3" t="s">
        <v>701</v>
      </c>
      <c r="N2694" s="2">
        <f>SUBTOTAL(9,N2693:N2693)</f>
        <v>88</v>
      </c>
      <c r="O2694" s="2">
        <f>SUBTOTAL(9,O2693:O2693)</f>
        <v>3046250.08</v>
      </c>
      <c r="P2694" s="2">
        <f>+O2694/N2694</f>
        <v>34616.47818181818</v>
      </c>
    </row>
    <row r="2695" spans="1:16" outlineLevel="2" x14ac:dyDescent="0.2">
      <c r="A2695" s="5">
        <v>46132</v>
      </c>
      <c r="B2695" s="2">
        <v>158781</v>
      </c>
      <c r="C2695" s="2">
        <v>3</v>
      </c>
      <c r="D2695" s="2" t="s">
        <v>60</v>
      </c>
      <c r="E2695" s="2" t="s">
        <v>364</v>
      </c>
      <c r="F2695" s="2" t="s">
        <v>31</v>
      </c>
      <c r="G2695" s="2" t="s">
        <v>22</v>
      </c>
      <c r="H2695" s="2" t="s">
        <v>23</v>
      </c>
      <c r="I2695" s="2" t="s">
        <v>23</v>
      </c>
      <c r="J2695" s="2">
        <v>1</v>
      </c>
      <c r="K2695" s="2" t="s">
        <v>24</v>
      </c>
      <c r="L2695" s="2">
        <v>226</v>
      </c>
      <c r="M2695" s="2" t="s">
        <v>59</v>
      </c>
      <c r="N2695" s="2">
        <v>56</v>
      </c>
      <c r="O2695" s="2">
        <v>2346555.2799999998</v>
      </c>
      <c r="P2695" s="2">
        <v>41902.769999999997</v>
      </c>
    </row>
    <row r="2696" spans="1:16" outlineLevel="1" x14ac:dyDescent="0.2">
      <c r="A2696" s="5"/>
      <c r="D2696" s="3" t="s">
        <v>728</v>
      </c>
      <c r="N2696" s="2">
        <f>SUBTOTAL(9,N2695:N2695)</f>
        <v>56</v>
      </c>
      <c r="O2696" s="2">
        <f>SUBTOTAL(9,O2695:O2695)</f>
        <v>2346555.2799999998</v>
      </c>
      <c r="P2696" s="2">
        <f>+O2696/N2696</f>
        <v>41902.772857142852</v>
      </c>
    </row>
    <row r="2697" spans="1:16" outlineLevel="2" x14ac:dyDescent="0.2">
      <c r="A2697" s="5">
        <v>46132</v>
      </c>
      <c r="B2697" s="2">
        <v>158782</v>
      </c>
      <c r="C2697" s="2">
        <v>1</v>
      </c>
      <c r="D2697" s="2" t="s">
        <v>128</v>
      </c>
      <c r="E2697" s="2" t="s">
        <v>23</v>
      </c>
      <c r="F2697" s="2" t="s">
        <v>47</v>
      </c>
      <c r="G2697" s="2" t="s">
        <v>22</v>
      </c>
      <c r="H2697" s="2" t="s">
        <v>23</v>
      </c>
      <c r="I2697" s="2" t="s">
        <v>23</v>
      </c>
      <c r="J2697" s="2">
        <v>1</v>
      </c>
      <c r="K2697" s="2" t="s">
        <v>24</v>
      </c>
      <c r="L2697" s="2">
        <v>25213</v>
      </c>
      <c r="M2697" s="2" t="s">
        <v>130</v>
      </c>
      <c r="N2697" s="2">
        <v>4</v>
      </c>
      <c r="O2697" s="2">
        <v>352565.36</v>
      </c>
      <c r="P2697" s="2">
        <v>88141.34</v>
      </c>
    </row>
    <row r="2698" spans="1:16" outlineLevel="1" x14ac:dyDescent="0.2">
      <c r="A2698" s="5"/>
      <c r="D2698" s="3" t="s">
        <v>732</v>
      </c>
      <c r="N2698" s="2">
        <f>SUBTOTAL(9,N2697:N2697)</f>
        <v>4</v>
      </c>
      <c r="O2698" s="2">
        <f>SUBTOTAL(9,O2697:O2697)</f>
        <v>352565.36</v>
      </c>
      <c r="P2698" s="2">
        <f>+O2698/N2698</f>
        <v>88141.34</v>
      </c>
    </row>
    <row r="2699" spans="1:16" outlineLevel="2" x14ac:dyDescent="0.2">
      <c r="A2699" s="5">
        <v>46132</v>
      </c>
      <c r="B2699" s="2">
        <v>158782</v>
      </c>
      <c r="C2699" s="2">
        <v>2</v>
      </c>
      <c r="D2699" s="2" t="s">
        <v>207</v>
      </c>
      <c r="E2699" s="2" t="s">
        <v>23</v>
      </c>
      <c r="F2699" s="2" t="s">
        <v>47</v>
      </c>
      <c r="G2699" s="2" t="s">
        <v>210</v>
      </c>
      <c r="H2699" s="2" t="s">
        <v>23</v>
      </c>
      <c r="I2699" s="2" t="s">
        <v>23</v>
      </c>
      <c r="J2699" s="2">
        <v>1</v>
      </c>
      <c r="K2699" s="2" t="s">
        <v>24</v>
      </c>
      <c r="L2699" s="2">
        <v>25213</v>
      </c>
      <c r="M2699" s="2" t="s">
        <v>130</v>
      </c>
      <c r="N2699" s="2">
        <v>2</v>
      </c>
      <c r="O2699" s="2">
        <v>133811.22</v>
      </c>
      <c r="P2699" s="2">
        <v>66905.61</v>
      </c>
    </row>
    <row r="2700" spans="1:16" outlineLevel="2" x14ac:dyDescent="0.2">
      <c r="A2700" s="5">
        <v>46132</v>
      </c>
      <c r="B2700" s="2">
        <v>158782</v>
      </c>
      <c r="C2700" s="2">
        <v>3</v>
      </c>
      <c r="D2700" s="2" t="s">
        <v>207</v>
      </c>
      <c r="E2700" s="2" t="s">
        <v>23</v>
      </c>
      <c r="F2700" s="2" t="s">
        <v>47</v>
      </c>
      <c r="G2700" s="2" t="s">
        <v>22</v>
      </c>
      <c r="H2700" s="2" t="s">
        <v>209</v>
      </c>
      <c r="I2700" s="2" t="s">
        <v>23</v>
      </c>
      <c r="J2700" s="2">
        <v>41</v>
      </c>
      <c r="K2700" s="2" t="s">
        <v>129</v>
      </c>
      <c r="L2700" s="2">
        <v>25213</v>
      </c>
      <c r="M2700" s="2" t="s">
        <v>130</v>
      </c>
      <c r="N2700" s="2">
        <v>25</v>
      </c>
      <c r="O2700" s="2">
        <v>72918.03</v>
      </c>
      <c r="P2700" s="2">
        <v>2916.72</v>
      </c>
    </row>
    <row r="2701" spans="1:16" outlineLevel="2" x14ac:dyDescent="0.2">
      <c r="A2701" s="5">
        <v>46132</v>
      </c>
      <c r="B2701" s="2">
        <v>158782</v>
      </c>
      <c r="C2701" s="2">
        <v>4</v>
      </c>
      <c r="D2701" s="2" t="s">
        <v>207</v>
      </c>
      <c r="E2701" s="2" t="s">
        <v>23</v>
      </c>
      <c r="F2701" s="2" t="s">
        <v>47</v>
      </c>
      <c r="G2701" s="2" t="s">
        <v>22</v>
      </c>
      <c r="H2701" s="2" t="s">
        <v>208</v>
      </c>
      <c r="I2701" s="2" t="s">
        <v>23</v>
      </c>
      <c r="J2701" s="2">
        <v>41</v>
      </c>
      <c r="K2701" s="2" t="s">
        <v>129</v>
      </c>
      <c r="L2701" s="2">
        <v>25213</v>
      </c>
      <c r="M2701" s="2" t="s">
        <v>130</v>
      </c>
      <c r="N2701" s="2">
        <v>25</v>
      </c>
      <c r="O2701" s="2">
        <v>81659.259999999995</v>
      </c>
      <c r="P2701" s="2">
        <v>3266.37</v>
      </c>
    </row>
    <row r="2702" spans="1:16" outlineLevel="1" x14ac:dyDescent="0.2">
      <c r="A2702" s="5"/>
      <c r="D2702" s="3" t="s">
        <v>699</v>
      </c>
      <c r="N2702" s="2">
        <f>SUBTOTAL(9,N2699:N2701)</f>
        <v>52</v>
      </c>
      <c r="O2702" s="2">
        <f>SUBTOTAL(9,O2699:O2701)</f>
        <v>288388.51</v>
      </c>
      <c r="P2702" s="2">
        <f>+O2702/N2702</f>
        <v>5545.9328846153849</v>
      </c>
    </row>
    <row r="2703" spans="1:16" outlineLevel="2" x14ac:dyDescent="0.2">
      <c r="A2703" s="5">
        <v>46132</v>
      </c>
      <c r="B2703" s="2">
        <v>158784</v>
      </c>
      <c r="C2703" s="2">
        <v>1</v>
      </c>
      <c r="D2703" s="2" t="s">
        <v>45</v>
      </c>
      <c r="E2703" s="2" t="s">
        <v>228</v>
      </c>
      <c r="F2703" s="2" t="s">
        <v>47</v>
      </c>
      <c r="G2703" s="2" t="s">
        <v>22</v>
      </c>
      <c r="H2703" s="2" t="s">
        <v>23</v>
      </c>
      <c r="I2703" s="2" t="s">
        <v>23</v>
      </c>
      <c r="J2703" s="2">
        <v>41</v>
      </c>
      <c r="K2703" s="2" t="s">
        <v>129</v>
      </c>
      <c r="L2703" s="2">
        <v>1964</v>
      </c>
      <c r="M2703" s="2" t="s">
        <v>49</v>
      </c>
      <c r="N2703" s="2">
        <v>23</v>
      </c>
      <c r="O2703" s="2">
        <v>435504.01</v>
      </c>
      <c r="P2703" s="2">
        <v>18934.96</v>
      </c>
    </row>
    <row r="2704" spans="1:16" outlineLevel="2" x14ac:dyDescent="0.2">
      <c r="A2704" s="5">
        <v>46132</v>
      </c>
      <c r="B2704" s="2">
        <v>158784</v>
      </c>
      <c r="C2704" s="2">
        <v>2</v>
      </c>
      <c r="D2704" s="2" t="s">
        <v>45</v>
      </c>
      <c r="E2704" s="2" t="s">
        <v>227</v>
      </c>
      <c r="F2704" s="2" t="s">
        <v>47</v>
      </c>
      <c r="G2704" s="2" t="s">
        <v>22</v>
      </c>
      <c r="H2704" s="2" t="s">
        <v>23</v>
      </c>
      <c r="I2704" s="2" t="s">
        <v>23</v>
      </c>
      <c r="J2704" s="2">
        <v>41</v>
      </c>
      <c r="K2704" s="2" t="s">
        <v>129</v>
      </c>
      <c r="L2704" s="2">
        <v>1964</v>
      </c>
      <c r="M2704" s="2" t="s">
        <v>49</v>
      </c>
      <c r="N2704" s="2">
        <v>48</v>
      </c>
      <c r="O2704" s="2">
        <v>688053.96</v>
      </c>
      <c r="P2704" s="2">
        <v>14334.46</v>
      </c>
    </row>
    <row r="2705" spans="1:16" outlineLevel="1" x14ac:dyDescent="0.2">
      <c r="A2705" s="5"/>
      <c r="D2705" s="3" t="s">
        <v>733</v>
      </c>
      <c r="N2705" s="2">
        <f>SUBTOTAL(9,N2703:N2704)</f>
        <v>71</v>
      </c>
      <c r="O2705" s="2">
        <f>SUBTOTAL(9,O2703:O2704)</f>
        <v>1123557.97</v>
      </c>
      <c r="P2705" s="2">
        <f>+O2705/N2705</f>
        <v>15824.76014084507</v>
      </c>
    </row>
    <row r="2706" spans="1:16" outlineLevel="2" x14ac:dyDescent="0.2">
      <c r="A2706" s="5">
        <v>46132</v>
      </c>
      <c r="B2706" s="2">
        <v>158784</v>
      </c>
      <c r="C2706" s="2">
        <v>3</v>
      </c>
      <c r="D2706" s="2" t="s">
        <v>226</v>
      </c>
      <c r="E2706" s="2" t="s">
        <v>227</v>
      </c>
      <c r="F2706" s="2" t="s">
        <v>47</v>
      </c>
      <c r="G2706" s="2" t="s">
        <v>22</v>
      </c>
      <c r="H2706" s="2" t="s">
        <v>23</v>
      </c>
      <c r="I2706" s="2" t="s">
        <v>23</v>
      </c>
      <c r="J2706" s="2">
        <v>41</v>
      </c>
      <c r="K2706" s="2" t="s">
        <v>129</v>
      </c>
      <c r="L2706" s="2">
        <v>1964</v>
      </c>
      <c r="M2706" s="2" t="s">
        <v>49</v>
      </c>
      <c r="N2706" s="2">
        <v>77</v>
      </c>
      <c r="O2706" s="2">
        <v>1693917.17</v>
      </c>
      <c r="P2706" s="2">
        <v>21998.92</v>
      </c>
    </row>
    <row r="2707" spans="1:16" outlineLevel="1" x14ac:dyDescent="0.2">
      <c r="A2707" s="5"/>
      <c r="D2707" s="3" t="s">
        <v>736</v>
      </c>
      <c r="N2707" s="2">
        <f>SUBTOTAL(9,N2706:N2706)</f>
        <v>77</v>
      </c>
      <c r="O2707" s="2">
        <f>SUBTOTAL(9,O2706:O2706)</f>
        <v>1693917.17</v>
      </c>
      <c r="P2707" s="2">
        <f>+O2707/N2707</f>
        <v>21998.924285714285</v>
      </c>
    </row>
    <row r="2708" spans="1:16" outlineLevel="2" x14ac:dyDescent="0.2">
      <c r="A2708" s="5">
        <v>46132</v>
      </c>
      <c r="B2708" s="2">
        <v>158784</v>
      </c>
      <c r="C2708" s="2">
        <v>200</v>
      </c>
      <c r="D2708" s="2" t="s">
        <v>45</v>
      </c>
      <c r="E2708" s="2" t="s">
        <v>227</v>
      </c>
      <c r="F2708" s="2" t="s">
        <v>23</v>
      </c>
      <c r="G2708" s="2" t="s">
        <v>22</v>
      </c>
      <c r="H2708" s="2" t="s">
        <v>23</v>
      </c>
      <c r="I2708" s="2" t="s">
        <v>23</v>
      </c>
      <c r="J2708" s="2">
        <v>2</v>
      </c>
      <c r="K2708" s="2" t="s">
        <v>48</v>
      </c>
      <c r="L2708" s="2">
        <v>1964</v>
      </c>
      <c r="M2708" s="2" t="s">
        <v>49</v>
      </c>
      <c r="N2708" s="2">
        <v>2</v>
      </c>
      <c r="O2708" s="2">
        <v>16499.900000000001</v>
      </c>
      <c r="P2708" s="2">
        <v>8249.9500000000007</v>
      </c>
    </row>
    <row r="2709" spans="1:16" outlineLevel="1" x14ac:dyDescent="0.2">
      <c r="A2709" s="5"/>
      <c r="D2709" s="3" t="s">
        <v>733</v>
      </c>
      <c r="N2709" s="2">
        <f>SUBTOTAL(9,N2708:N2708)</f>
        <v>2</v>
      </c>
      <c r="O2709" s="2">
        <f>SUBTOTAL(9,O2708:O2708)</f>
        <v>16499.900000000001</v>
      </c>
      <c r="P2709" s="2">
        <f>+O2709/N2709</f>
        <v>8249.9500000000007</v>
      </c>
    </row>
    <row r="2710" spans="1:16" outlineLevel="2" x14ac:dyDescent="0.2">
      <c r="A2710" s="5">
        <v>46150</v>
      </c>
      <c r="B2710" s="2">
        <v>158785</v>
      </c>
      <c r="C2710" s="2">
        <v>1</v>
      </c>
      <c r="D2710" s="2" t="s">
        <v>160</v>
      </c>
      <c r="E2710" s="2" t="s">
        <v>222</v>
      </c>
      <c r="F2710" s="2" t="s">
        <v>40</v>
      </c>
      <c r="G2710" s="2" t="s">
        <v>22</v>
      </c>
      <c r="H2710" s="2" t="s">
        <v>23</v>
      </c>
      <c r="I2710" s="2" t="s">
        <v>23</v>
      </c>
      <c r="J2710" s="2">
        <v>1</v>
      </c>
      <c r="K2710" s="2" t="s">
        <v>24</v>
      </c>
      <c r="L2710" s="2">
        <v>600</v>
      </c>
      <c r="M2710" s="2" t="s">
        <v>112</v>
      </c>
      <c r="N2710" s="2">
        <v>3</v>
      </c>
      <c r="O2710" s="2">
        <v>19629.650000000001</v>
      </c>
      <c r="P2710" s="2">
        <v>6543.22</v>
      </c>
    </row>
    <row r="2711" spans="1:16" outlineLevel="1" x14ac:dyDescent="0.2">
      <c r="A2711" s="5"/>
      <c r="D2711" s="3" t="s">
        <v>709</v>
      </c>
      <c r="N2711" s="2">
        <f>SUBTOTAL(9,N2710:N2710)</f>
        <v>3</v>
      </c>
      <c r="O2711" s="2">
        <f>SUBTOTAL(9,O2710:O2710)</f>
        <v>19629.650000000001</v>
      </c>
      <c r="P2711" s="2">
        <f>+O2711/N2711</f>
        <v>6543.2166666666672</v>
      </c>
    </row>
    <row r="2712" spans="1:16" outlineLevel="2" x14ac:dyDescent="0.2">
      <c r="A2712" s="5">
        <v>46150</v>
      </c>
      <c r="B2712" s="2">
        <v>158785</v>
      </c>
      <c r="C2712" s="2">
        <v>200</v>
      </c>
      <c r="D2712" s="2" t="s">
        <v>26</v>
      </c>
      <c r="E2712" s="2" t="s">
        <v>160</v>
      </c>
      <c r="F2712" s="2" t="s">
        <v>23</v>
      </c>
      <c r="G2712" s="2" t="s">
        <v>22</v>
      </c>
      <c r="H2712" s="2" t="s">
        <v>23</v>
      </c>
      <c r="I2712" s="2" t="s">
        <v>23</v>
      </c>
      <c r="J2712" s="2">
        <v>5</v>
      </c>
      <c r="K2712" s="2" t="s">
        <v>27</v>
      </c>
      <c r="L2712" s="2">
        <v>600</v>
      </c>
      <c r="M2712" s="2" t="s">
        <v>112</v>
      </c>
      <c r="N2712" s="2">
        <v>12</v>
      </c>
      <c r="O2712" s="2">
        <v>62753.78</v>
      </c>
      <c r="P2712" s="2">
        <v>5229.4799999999996</v>
      </c>
    </row>
    <row r="2713" spans="1:16" outlineLevel="1" x14ac:dyDescent="0.2">
      <c r="A2713" s="5"/>
      <c r="D2713" s="3" t="s">
        <v>711</v>
      </c>
      <c r="N2713" s="2">
        <f>SUBTOTAL(9,N2712:N2712)</f>
        <v>12</v>
      </c>
      <c r="O2713" s="2">
        <f>SUBTOTAL(9,O2712:O2712)</f>
        <v>62753.78</v>
      </c>
      <c r="P2713" s="2">
        <f>+O2713/N2713</f>
        <v>5229.4816666666666</v>
      </c>
    </row>
    <row r="2714" spans="1:16" outlineLevel="2" x14ac:dyDescent="0.2">
      <c r="A2714" s="5">
        <v>46132</v>
      </c>
      <c r="B2714" s="2">
        <v>158789</v>
      </c>
      <c r="C2714" s="2">
        <v>1</v>
      </c>
      <c r="D2714" s="2" t="s">
        <v>470</v>
      </c>
      <c r="E2714" s="2" t="s">
        <v>23</v>
      </c>
      <c r="F2714" s="2" t="s">
        <v>47</v>
      </c>
      <c r="G2714" s="2" t="s">
        <v>22</v>
      </c>
      <c r="H2714" s="2" t="s">
        <v>23</v>
      </c>
      <c r="I2714" s="2" t="s">
        <v>23</v>
      </c>
      <c r="J2714" s="2">
        <v>86</v>
      </c>
      <c r="K2714" s="2" t="s">
        <v>73</v>
      </c>
      <c r="L2714" s="2">
        <v>2338</v>
      </c>
      <c r="M2714" s="2" t="s">
        <v>417</v>
      </c>
      <c r="N2714" s="2">
        <v>9</v>
      </c>
      <c r="O2714" s="2">
        <v>182102.87</v>
      </c>
      <c r="P2714" s="2">
        <v>20233.650000000001</v>
      </c>
    </row>
    <row r="2715" spans="1:16" outlineLevel="1" x14ac:dyDescent="0.2">
      <c r="A2715" s="5"/>
      <c r="D2715" s="3" t="s">
        <v>779</v>
      </c>
      <c r="N2715" s="2">
        <f>SUBTOTAL(9,N2714:N2714)</f>
        <v>9</v>
      </c>
      <c r="O2715" s="2">
        <f>SUBTOTAL(9,O2714:O2714)</f>
        <v>182102.87</v>
      </c>
      <c r="P2715" s="2">
        <f>+O2715/N2715</f>
        <v>20233.652222222223</v>
      </c>
    </row>
    <row r="2716" spans="1:16" outlineLevel="2" x14ac:dyDescent="0.2">
      <c r="A2716" s="5">
        <v>46132</v>
      </c>
      <c r="B2716" s="2">
        <v>158789</v>
      </c>
      <c r="C2716" s="2">
        <v>2</v>
      </c>
      <c r="D2716" s="2" t="s">
        <v>474</v>
      </c>
      <c r="E2716" s="2" t="s">
        <v>475</v>
      </c>
      <c r="F2716" s="2" t="s">
        <v>47</v>
      </c>
      <c r="G2716" s="2" t="s">
        <v>22</v>
      </c>
      <c r="H2716" s="2" t="s">
        <v>23</v>
      </c>
      <c r="I2716" s="2" t="s">
        <v>23</v>
      </c>
      <c r="J2716" s="2">
        <v>41</v>
      </c>
      <c r="K2716" s="2" t="s">
        <v>129</v>
      </c>
      <c r="L2716" s="2">
        <v>2338</v>
      </c>
      <c r="M2716" s="2" t="s">
        <v>417</v>
      </c>
      <c r="N2716" s="2">
        <v>287</v>
      </c>
      <c r="O2716" s="2">
        <v>456868.01</v>
      </c>
      <c r="P2716" s="2">
        <v>1591.87</v>
      </c>
    </row>
    <row r="2717" spans="1:16" outlineLevel="1" x14ac:dyDescent="0.2">
      <c r="A2717" s="5"/>
      <c r="D2717" s="3" t="s">
        <v>780</v>
      </c>
      <c r="N2717" s="2">
        <f>SUBTOTAL(9,N2716:N2716)</f>
        <v>287</v>
      </c>
      <c r="O2717" s="2">
        <f>SUBTOTAL(9,O2716:O2716)</f>
        <v>456868.01</v>
      </c>
      <c r="P2717" s="2">
        <f>+O2717/N2717</f>
        <v>1591.8745993031359</v>
      </c>
    </row>
    <row r="2718" spans="1:16" outlineLevel="2" x14ac:dyDescent="0.2">
      <c r="A2718" s="5">
        <v>46132</v>
      </c>
      <c r="B2718" s="2">
        <v>158790</v>
      </c>
      <c r="C2718" s="2">
        <v>501</v>
      </c>
      <c r="D2718" s="2" t="s">
        <v>54</v>
      </c>
      <c r="E2718" s="2" t="s">
        <v>30</v>
      </c>
      <c r="F2718" s="2" t="s">
        <v>23</v>
      </c>
      <c r="G2718" s="2" t="s">
        <v>22</v>
      </c>
      <c r="H2718" s="2" t="s">
        <v>23</v>
      </c>
      <c r="I2718" s="2" t="s">
        <v>23</v>
      </c>
      <c r="J2718" s="2">
        <v>2</v>
      </c>
      <c r="K2718" s="2" t="s">
        <v>48</v>
      </c>
      <c r="L2718" s="2">
        <v>626</v>
      </c>
      <c r="M2718" s="2" t="s">
        <v>49</v>
      </c>
      <c r="N2718" s="2">
        <v>2</v>
      </c>
      <c r="O2718" s="2">
        <v>8730.3799999999992</v>
      </c>
      <c r="P2718" s="2">
        <v>4365.1899999999996</v>
      </c>
    </row>
    <row r="2719" spans="1:16" outlineLevel="2" x14ac:dyDescent="0.2">
      <c r="A2719" s="5">
        <v>46146</v>
      </c>
      <c r="B2719" s="2">
        <v>158801</v>
      </c>
      <c r="C2719" s="2">
        <v>304</v>
      </c>
      <c r="D2719" s="2" t="s">
        <v>54</v>
      </c>
      <c r="E2719" s="2" t="s">
        <v>30</v>
      </c>
      <c r="F2719" s="2" t="s">
        <v>55</v>
      </c>
      <c r="G2719" s="2" t="s">
        <v>23</v>
      </c>
      <c r="H2719" s="2" t="s">
        <v>23</v>
      </c>
      <c r="I2719" s="2" t="s">
        <v>23</v>
      </c>
      <c r="J2719" s="2">
        <v>2</v>
      </c>
      <c r="K2719" s="2" t="s">
        <v>48</v>
      </c>
      <c r="L2719" s="2">
        <v>25095</v>
      </c>
      <c r="M2719" s="2" t="s">
        <v>216</v>
      </c>
      <c r="N2719" s="2">
        <v>3</v>
      </c>
      <c r="O2719" s="2">
        <v>21496.53</v>
      </c>
      <c r="P2719" s="2">
        <v>7165.51</v>
      </c>
    </row>
    <row r="2720" spans="1:16" outlineLevel="1" x14ac:dyDescent="0.2">
      <c r="A2720" s="5"/>
      <c r="D2720" s="3" t="s">
        <v>719</v>
      </c>
      <c r="N2720" s="2">
        <f>SUBTOTAL(9,N2718:N2719)</f>
        <v>5</v>
      </c>
      <c r="O2720" s="2">
        <f>SUBTOTAL(9,O2718:O2719)</f>
        <v>30226.909999999996</v>
      </c>
      <c r="P2720" s="2">
        <f>+O2720/N2720</f>
        <v>6045.3819999999996</v>
      </c>
    </row>
    <row r="2721" spans="1:16" outlineLevel="2" x14ac:dyDescent="0.2">
      <c r="A2721" s="5">
        <v>46139</v>
      </c>
      <c r="B2721" s="2">
        <v>158806</v>
      </c>
      <c r="C2721" s="2">
        <v>1</v>
      </c>
      <c r="D2721" s="2" t="s">
        <v>57</v>
      </c>
      <c r="E2721" s="2" t="s">
        <v>58</v>
      </c>
      <c r="F2721" s="2" t="s">
        <v>63</v>
      </c>
      <c r="G2721" s="2" t="s">
        <v>22</v>
      </c>
      <c r="H2721" s="2" t="s">
        <v>23</v>
      </c>
      <c r="I2721" s="2" t="s">
        <v>484</v>
      </c>
      <c r="J2721" s="2">
        <v>1</v>
      </c>
      <c r="K2721" s="2" t="s">
        <v>24</v>
      </c>
      <c r="L2721" s="2">
        <v>2540</v>
      </c>
      <c r="M2721" s="2" t="s">
        <v>485</v>
      </c>
      <c r="N2721" s="2">
        <v>51</v>
      </c>
      <c r="O2721" s="2">
        <v>2630338.4500000002</v>
      </c>
      <c r="P2721" s="2">
        <v>51575.26</v>
      </c>
    </row>
    <row r="2722" spans="1:16" outlineLevel="1" x14ac:dyDescent="0.2">
      <c r="A2722" s="5"/>
      <c r="D2722" s="3" t="s">
        <v>716</v>
      </c>
      <c r="N2722" s="2">
        <f>SUBTOTAL(9,N2721:N2721)</f>
        <v>51</v>
      </c>
      <c r="O2722" s="2">
        <f>SUBTOTAL(9,O2721:O2721)</f>
        <v>2630338.4500000002</v>
      </c>
      <c r="P2722" s="2">
        <f>+O2722/N2722</f>
        <v>51575.2637254902</v>
      </c>
    </row>
    <row r="2723" spans="1:16" outlineLevel="2" x14ac:dyDescent="0.2">
      <c r="A2723" s="5">
        <v>46132</v>
      </c>
      <c r="B2723" s="2">
        <v>158807</v>
      </c>
      <c r="C2723" s="2">
        <v>1</v>
      </c>
      <c r="D2723" s="2" t="s">
        <v>38</v>
      </c>
      <c r="E2723" s="2" t="s">
        <v>39</v>
      </c>
      <c r="F2723" s="2" t="s">
        <v>63</v>
      </c>
      <c r="G2723" s="2" t="s">
        <v>22</v>
      </c>
      <c r="H2723" s="2" t="s">
        <v>23</v>
      </c>
      <c r="I2723" s="2" t="s">
        <v>243</v>
      </c>
      <c r="J2723" s="2">
        <v>1</v>
      </c>
      <c r="K2723" s="2" t="s">
        <v>24</v>
      </c>
      <c r="L2723" s="2">
        <v>1846</v>
      </c>
      <c r="M2723" s="2" t="s">
        <v>134</v>
      </c>
      <c r="N2723" s="2">
        <v>439</v>
      </c>
      <c r="O2723" s="2">
        <v>34465747.960000001</v>
      </c>
      <c r="P2723" s="2">
        <v>78509.679999999993</v>
      </c>
    </row>
    <row r="2724" spans="1:16" outlineLevel="2" x14ac:dyDescent="0.2">
      <c r="A2724" s="5">
        <v>46136</v>
      </c>
      <c r="B2724" s="2">
        <v>158807</v>
      </c>
      <c r="C2724" s="2">
        <v>2</v>
      </c>
      <c r="D2724" s="2" t="s">
        <v>38</v>
      </c>
      <c r="E2724" s="2" t="s">
        <v>39</v>
      </c>
      <c r="F2724" s="2" t="s">
        <v>63</v>
      </c>
      <c r="G2724" s="2" t="s">
        <v>22</v>
      </c>
      <c r="H2724" s="2" t="s">
        <v>23</v>
      </c>
      <c r="I2724" s="2" t="s">
        <v>116</v>
      </c>
      <c r="J2724" s="2">
        <v>1</v>
      </c>
      <c r="K2724" s="2" t="s">
        <v>24</v>
      </c>
      <c r="L2724" s="2">
        <v>1846</v>
      </c>
      <c r="M2724" s="2" t="s">
        <v>134</v>
      </c>
      <c r="N2724" s="2">
        <v>96</v>
      </c>
      <c r="O2724" s="2">
        <v>7920008.9100000001</v>
      </c>
      <c r="P2724" s="2">
        <v>82500.09</v>
      </c>
    </row>
    <row r="2725" spans="1:16" outlineLevel="2" x14ac:dyDescent="0.2">
      <c r="A2725" s="5">
        <v>46132</v>
      </c>
      <c r="B2725" s="2">
        <v>158807</v>
      </c>
      <c r="C2725" s="2">
        <v>3</v>
      </c>
      <c r="D2725" s="2" t="s">
        <v>38</v>
      </c>
      <c r="E2725" s="2" t="s">
        <v>39</v>
      </c>
      <c r="F2725" s="2" t="s">
        <v>63</v>
      </c>
      <c r="G2725" s="2" t="s">
        <v>22</v>
      </c>
      <c r="H2725" s="2" t="s">
        <v>23</v>
      </c>
      <c r="I2725" s="2" t="s">
        <v>135</v>
      </c>
      <c r="J2725" s="2">
        <v>1</v>
      </c>
      <c r="K2725" s="2" t="s">
        <v>24</v>
      </c>
      <c r="L2725" s="2">
        <v>1846</v>
      </c>
      <c r="M2725" s="2" t="s">
        <v>134</v>
      </c>
      <c r="N2725" s="2">
        <v>396</v>
      </c>
      <c r="O2725" s="2">
        <v>32384205.609999999</v>
      </c>
      <c r="P2725" s="2">
        <v>81778.3</v>
      </c>
    </row>
    <row r="2726" spans="1:16" outlineLevel="1" x14ac:dyDescent="0.2">
      <c r="A2726" s="5"/>
      <c r="D2726" s="3" t="s">
        <v>721</v>
      </c>
      <c r="N2726" s="2">
        <f>SUBTOTAL(9,N2723:N2725)</f>
        <v>931</v>
      </c>
      <c r="O2726" s="2">
        <f>SUBTOTAL(9,O2723:O2725)</f>
        <v>74769962.480000004</v>
      </c>
      <c r="P2726" s="2">
        <f>+O2726/N2726</f>
        <v>80311.452717508058</v>
      </c>
    </row>
    <row r="2727" spans="1:16" outlineLevel="2" x14ac:dyDescent="0.2">
      <c r="A2727" s="5">
        <v>46162</v>
      </c>
      <c r="B2727" s="2">
        <v>158810</v>
      </c>
      <c r="C2727" s="2">
        <v>3</v>
      </c>
      <c r="D2727" s="2" t="s">
        <v>57</v>
      </c>
      <c r="E2727" s="2" t="s">
        <v>302</v>
      </c>
      <c r="F2727" s="2" t="s">
        <v>47</v>
      </c>
      <c r="G2727" s="2" t="s">
        <v>22</v>
      </c>
      <c r="H2727" s="2" t="s">
        <v>23</v>
      </c>
      <c r="I2727" s="2" t="s">
        <v>23</v>
      </c>
      <c r="J2727" s="2">
        <v>1</v>
      </c>
      <c r="K2727" s="2" t="s">
        <v>24</v>
      </c>
      <c r="L2727" s="2">
        <v>564</v>
      </c>
      <c r="M2727" s="2" t="s">
        <v>204</v>
      </c>
      <c r="N2727" s="2">
        <v>42</v>
      </c>
      <c r="O2727" s="2">
        <v>1678075.97</v>
      </c>
      <c r="P2727" s="2">
        <v>39954.19</v>
      </c>
    </row>
    <row r="2728" spans="1:16" outlineLevel="1" x14ac:dyDescent="0.2">
      <c r="A2728" s="5"/>
      <c r="D2728" s="3" t="s">
        <v>716</v>
      </c>
      <c r="N2728" s="2">
        <f>SUBTOTAL(9,N2727:N2727)</f>
        <v>42</v>
      </c>
      <c r="O2728" s="2">
        <f>SUBTOTAL(9,O2727:O2727)</f>
        <v>1678075.97</v>
      </c>
      <c r="P2728" s="2">
        <f>+O2728/N2728</f>
        <v>39954.18976190476</v>
      </c>
    </row>
    <row r="2729" spans="1:16" outlineLevel="2" x14ac:dyDescent="0.2">
      <c r="A2729" s="5">
        <v>46150</v>
      </c>
      <c r="B2729" s="2">
        <v>158811</v>
      </c>
      <c r="C2729" s="2">
        <v>315</v>
      </c>
      <c r="D2729" s="2" t="s">
        <v>26</v>
      </c>
      <c r="E2729" s="2" t="s">
        <v>55</v>
      </c>
      <c r="F2729" s="2" t="s">
        <v>23</v>
      </c>
      <c r="G2729" s="2" t="s">
        <v>23</v>
      </c>
      <c r="H2729" s="2" t="s">
        <v>23</v>
      </c>
      <c r="I2729" s="2" t="s">
        <v>23</v>
      </c>
      <c r="J2729" s="2">
        <v>5</v>
      </c>
      <c r="K2729" s="2" t="s">
        <v>27</v>
      </c>
      <c r="L2729" s="2">
        <v>25050</v>
      </c>
      <c r="M2729" s="2" t="s">
        <v>419</v>
      </c>
      <c r="N2729" s="2">
        <v>86</v>
      </c>
      <c r="O2729" s="2">
        <v>367845.49</v>
      </c>
      <c r="P2729" s="2">
        <v>4277.2700000000004</v>
      </c>
    </row>
    <row r="2730" spans="1:16" outlineLevel="1" x14ac:dyDescent="0.2">
      <c r="A2730" s="5"/>
      <c r="D2730" s="3" t="s">
        <v>711</v>
      </c>
      <c r="N2730" s="2">
        <f>SUBTOTAL(9,N2729:N2729)</f>
        <v>86</v>
      </c>
      <c r="O2730" s="2">
        <f>SUBTOTAL(9,O2729:O2729)</f>
        <v>367845.49</v>
      </c>
      <c r="P2730" s="2">
        <f>+O2730/N2730</f>
        <v>4277.2731395348837</v>
      </c>
    </row>
    <row r="2731" spans="1:16" outlineLevel="2" x14ac:dyDescent="0.2">
      <c r="A2731" s="5">
        <v>46131</v>
      </c>
      <c r="B2731" s="2">
        <v>158818</v>
      </c>
      <c r="C2731" s="2">
        <v>4</v>
      </c>
      <c r="D2731" s="2" t="s">
        <v>45</v>
      </c>
      <c r="E2731" s="2" t="s">
        <v>125</v>
      </c>
      <c r="F2731" s="2" t="s">
        <v>289</v>
      </c>
      <c r="G2731" s="2" t="s">
        <v>22</v>
      </c>
      <c r="H2731" s="2" t="s">
        <v>23</v>
      </c>
      <c r="I2731" s="2" t="s">
        <v>23</v>
      </c>
      <c r="J2731" s="2">
        <v>2</v>
      </c>
      <c r="K2731" s="2" t="s">
        <v>48</v>
      </c>
      <c r="L2731" s="2">
        <v>106</v>
      </c>
      <c r="M2731" s="2" t="s">
        <v>486</v>
      </c>
      <c r="N2731" s="2">
        <v>56</v>
      </c>
      <c r="O2731" s="2">
        <v>686900.71</v>
      </c>
      <c r="P2731" s="2">
        <v>12266.08</v>
      </c>
    </row>
    <row r="2732" spans="1:16" outlineLevel="1" x14ac:dyDescent="0.2">
      <c r="A2732" s="5"/>
      <c r="D2732" s="3" t="s">
        <v>733</v>
      </c>
      <c r="N2732" s="2">
        <f>SUBTOTAL(9,N2731:N2731)</f>
        <v>56</v>
      </c>
      <c r="O2732" s="2">
        <f>SUBTOTAL(9,O2731:O2731)</f>
        <v>686900.71</v>
      </c>
      <c r="P2732" s="2">
        <f>+O2732/N2732</f>
        <v>12266.084107142857</v>
      </c>
    </row>
    <row r="2733" spans="1:16" outlineLevel="2" x14ac:dyDescent="0.2">
      <c r="A2733" s="5">
        <v>46169</v>
      </c>
      <c r="B2733" s="2">
        <v>158825</v>
      </c>
      <c r="C2733" s="2">
        <v>315</v>
      </c>
      <c r="D2733" s="2" t="s">
        <v>197</v>
      </c>
      <c r="E2733" s="2" t="s">
        <v>483</v>
      </c>
      <c r="F2733" s="2" t="s">
        <v>199</v>
      </c>
      <c r="G2733" s="2" t="s">
        <v>22</v>
      </c>
      <c r="H2733" s="2" t="s">
        <v>23</v>
      </c>
      <c r="I2733" s="2" t="s">
        <v>23</v>
      </c>
      <c r="J2733" s="2">
        <v>86</v>
      </c>
      <c r="K2733" s="2" t="s">
        <v>73</v>
      </c>
      <c r="L2733" s="2">
        <v>600</v>
      </c>
      <c r="M2733" s="2" t="s">
        <v>112</v>
      </c>
      <c r="N2733" s="2">
        <v>14</v>
      </c>
      <c r="O2733" s="2">
        <v>152589.64000000001</v>
      </c>
      <c r="P2733" s="2">
        <v>10899.26</v>
      </c>
    </row>
    <row r="2734" spans="1:16" outlineLevel="1" x14ac:dyDescent="0.2">
      <c r="A2734" s="5"/>
      <c r="D2734" s="3" t="s">
        <v>734</v>
      </c>
      <c r="N2734" s="2">
        <f>SUBTOTAL(9,N2733:N2733)</f>
        <v>14</v>
      </c>
      <c r="O2734" s="2">
        <f>SUBTOTAL(9,O2733:O2733)</f>
        <v>152589.64000000001</v>
      </c>
      <c r="P2734" s="2">
        <f>+O2734/N2734</f>
        <v>10899.26</v>
      </c>
    </row>
    <row r="2735" spans="1:16" outlineLevel="2" x14ac:dyDescent="0.2">
      <c r="A2735" s="5">
        <v>46134</v>
      </c>
      <c r="B2735" s="2">
        <v>158827</v>
      </c>
      <c r="C2735" s="2">
        <v>1</v>
      </c>
      <c r="D2735" s="2" t="s">
        <v>487</v>
      </c>
      <c r="E2735" s="2" t="s">
        <v>55</v>
      </c>
      <c r="F2735" s="2" t="s">
        <v>23</v>
      </c>
      <c r="G2735" s="2" t="s">
        <v>23</v>
      </c>
      <c r="H2735" s="2" t="s">
        <v>23</v>
      </c>
      <c r="I2735" s="2" t="s">
        <v>23</v>
      </c>
      <c r="J2735" s="2">
        <v>1</v>
      </c>
      <c r="K2735" s="2" t="s">
        <v>24</v>
      </c>
      <c r="L2735" s="2">
        <v>1311</v>
      </c>
      <c r="M2735" s="2" t="s">
        <v>488</v>
      </c>
      <c r="N2735" s="2">
        <v>3</v>
      </c>
      <c r="O2735" s="2">
        <v>111106.68</v>
      </c>
      <c r="P2735" s="2">
        <v>37035.56</v>
      </c>
    </row>
    <row r="2736" spans="1:16" outlineLevel="2" x14ac:dyDescent="0.2">
      <c r="A2736" s="5">
        <v>46134</v>
      </c>
      <c r="B2736" s="2">
        <v>158827</v>
      </c>
      <c r="C2736" s="2">
        <v>200</v>
      </c>
      <c r="D2736" s="2" t="s">
        <v>487</v>
      </c>
      <c r="E2736" s="2" t="s">
        <v>23</v>
      </c>
      <c r="F2736" s="2" t="s">
        <v>47</v>
      </c>
      <c r="G2736" s="2" t="s">
        <v>22</v>
      </c>
      <c r="H2736" s="2" t="s">
        <v>23</v>
      </c>
      <c r="I2736" s="2" t="s">
        <v>23</v>
      </c>
      <c r="J2736" s="2">
        <v>46</v>
      </c>
      <c r="K2736" s="2" t="s">
        <v>392</v>
      </c>
      <c r="L2736" s="2">
        <v>1311</v>
      </c>
      <c r="M2736" s="2" t="s">
        <v>488</v>
      </c>
      <c r="N2736" s="2">
        <v>58.81</v>
      </c>
      <c r="O2736" s="2">
        <v>318062.63</v>
      </c>
      <c r="P2736" s="2">
        <v>5408.31</v>
      </c>
    </row>
    <row r="2737" spans="1:16" outlineLevel="1" x14ac:dyDescent="0.2">
      <c r="A2737" s="5"/>
      <c r="D2737" s="3" t="s">
        <v>784</v>
      </c>
      <c r="N2737" s="2">
        <f>SUBTOTAL(9,N2735:N2736)</f>
        <v>61.81</v>
      </c>
      <c r="O2737" s="2">
        <f>SUBTOTAL(9,O2735:O2736)</f>
        <v>429169.31</v>
      </c>
      <c r="P2737" s="2">
        <f>+O2737/N2737</f>
        <v>6943.363695194952</v>
      </c>
    </row>
    <row r="2738" spans="1:16" outlineLevel="2" x14ac:dyDescent="0.2">
      <c r="A2738" s="5">
        <v>46136</v>
      </c>
      <c r="B2738" s="2">
        <v>158828</v>
      </c>
      <c r="C2738" s="2">
        <v>301</v>
      </c>
      <c r="D2738" s="2" t="s">
        <v>489</v>
      </c>
      <c r="E2738" s="2" t="s">
        <v>68</v>
      </c>
      <c r="F2738" s="2" t="s">
        <v>289</v>
      </c>
      <c r="G2738" s="2" t="s">
        <v>22</v>
      </c>
      <c r="H2738" s="2" t="s">
        <v>23</v>
      </c>
      <c r="I2738" s="2" t="s">
        <v>23</v>
      </c>
      <c r="J2738" s="2">
        <v>2</v>
      </c>
      <c r="K2738" s="2" t="s">
        <v>48</v>
      </c>
      <c r="L2738" s="2">
        <v>1921</v>
      </c>
      <c r="M2738" s="2" t="s">
        <v>490</v>
      </c>
      <c r="N2738" s="2">
        <v>172</v>
      </c>
      <c r="O2738" s="2">
        <v>996445.03</v>
      </c>
      <c r="P2738" s="2">
        <v>5793.29</v>
      </c>
    </row>
    <row r="2739" spans="1:16" outlineLevel="1" x14ac:dyDescent="0.2">
      <c r="A2739" s="5"/>
      <c r="D2739" s="3" t="s">
        <v>785</v>
      </c>
      <c r="N2739" s="2">
        <f>SUBTOTAL(9,N2738:N2738)</f>
        <v>172</v>
      </c>
      <c r="O2739" s="2">
        <f>SUBTOTAL(9,O2738:O2738)</f>
        <v>996445.03</v>
      </c>
      <c r="P2739" s="2">
        <f>+O2739/N2739</f>
        <v>5793.2850581395351</v>
      </c>
    </row>
    <row r="2740" spans="1:16" outlineLevel="2" x14ac:dyDescent="0.2">
      <c r="A2740" s="5">
        <v>46148</v>
      </c>
      <c r="B2740" s="2">
        <v>158828</v>
      </c>
      <c r="C2740" s="2">
        <v>302</v>
      </c>
      <c r="D2740" s="2" t="s">
        <v>67</v>
      </c>
      <c r="E2740" s="2" t="s">
        <v>68</v>
      </c>
      <c r="F2740" s="2" t="s">
        <v>55</v>
      </c>
      <c r="G2740" s="2" t="s">
        <v>23</v>
      </c>
      <c r="H2740" s="2" t="s">
        <v>23</v>
      </c>
      <c r="I2740" s="2" t="s">
        <v>23</v>
      </c>
      <c r="J2740" s="2">
        <v>2</v>
      </c>
      <c r="K2740" s="2" t="s">
        <v>48</v>
      </c>
      <c r="L2740" s="2">
        <v>1921</v>
      </c>
      <c r="M2740" s="2" t="s">
        <v>490</v>
      </c>
      <c r="N2740" s="2">
        <v>70</v>
      </c>
      <c r="O2740" s="2">
        <v>363436.58</v>
      </c>
      <c r="P2740" s="2">
        <v>5191.95</v>
      </c>
    </row>
    <row r="2741" spans="1:16" outlineLevel="2" x14ac:dyDescent="0.2">
      <c r="A2741" s="5">
        <v>46164</v>
      </c>
      <c r="B2741" s="2">
        <v>158828</v>
      </c>
      <c r="C2741" s="2">
        <v>315</v>
      </c>
      <c r="D2741" s="2" t="s">
        <v>67</v>
      </c>
      <c r="E2741" s="2" t="s">
        <v>68</v>
      </c>
      <c r="F2741" s="2" t="s">
        <v>491</v>
      </c>
      <c r="G2741" s="2" t="s">
        <v>23</v>
      </c>
      <c r="H2741" s="2" t="s">
        <v>23</v>
      </c>
      <c r="I2741" s="2" t="s">
        <v>23</v>
      </c>
      <c r="J2741" s="2">
        <v>2</v>
      </c>
      <c r="K2741" s="2" t="s">
        <v>48</v>
      </c>
      <c r="L2741" s="2">
        <v>1921</v>
      </c>
      <c r="M2741" s="2" t="s">
        <v>490</v>
      </c>
      <c r="N2741" s="2">
        <v>2</v>
      </c>
      <c r="O2741" s="2">
        <v>6847.5</v>
      </c>
      <c r="P2741" s="2">
        <v>3423.75</v>
      </c>
    </row>
    <row r="2742" spans="1:16" outlineLevel="1" x14ac:dyDescent="0.2">
      <c r="A2742" s="5"/>
      <c r="D2742" s="3" t="s">
        <v>720</v>
      </c>
      <c r="N2742" s="2">
        <f>SUBTOTAL(9,N2740:N2741)</f>
        <v>72</v>
      </c>
      <c r="O2742" s="2">
        <f>SUBTOTAL(9,O2740:O2741)</f>
        <v>370284.08</v>
      </c>
      <c r="P2742" s="2">
        <f>+O2742/N2742</f>
        <v>5142.8344444444447</v>
      </c>
    </row>
    <row r="2743" spans="1:16" outlineLevel="2" x14ac:dyDescent="0.2">
      <c r="A2743" s="5">
        <v>46146</v>
      </c>
      <c r="B2743" s="2">
        <v>158833</v>
      </c>
      <c r="C2743" s="2">
        <v>315</v>
      </c>
      <c r="D2743" s="2" t="s">
        <v>110</v>
      </c>
      <c r="E2743" s="2" t="s">
        <v>111</v>
      </c>
      <c r="F2743" s="2" t="s">
        <v>55</v>
      </c>
      <c r="G2743" s="2" t="s">
        <v>23</v>
      </c>
      <c r="H2743" s="2" t="s">
        <v>23</v>
      </c>
      <c r="I2743" s="2" t="s">
        <v>23</v>
      </c>
      <c r="J2743" s="2">
        <v>2</v>
      </c>
      <c r="K2743" s="2" t="s">
        <v>48</v>
      </c>
      <c r="L2743" s="2">
        <v>25095</v>
      </c>
      <c r="M2743" s="2" t="s">
        <v>216</v>
      </c>
      <c r="N2743" s="2">
        <v>3</v>
      </c>
      <c r="O2743" s="2">
        <v>12766.13</v>
      </c>
      <c r="P2743" s="2">
        <v>4255.38</v>
      </c>
    </row>
    <row r="2744" spans="1:16" outlineLevel="1" x14ac:dyDescent="0.2">
      <c r="A2744" s="5"/>
      <c r="D2744" s="3" t="s">
        <v>697</v>
      </c>
      <c r="N2744" s="2">
        <f>SUBTOTAL(9,N2743:N2743)</f>
        <v>3</v>
      </c>
      <c r="O2744" s="2">
        <f>SUBTOTAL(9,O2743:O2743)</f>
        <v>12766.13</v>
      </c>
      <c r="P2744" s="2">
        <f>+O2744/N2744</f>
        <v>4255.3766666666661</v>
      </c>
    </row>
    <row r="2745" spans="1:16" outlineLevel="2" x14ac:dyDescent="0.2">
      <c r="A2745" s="5">
        <v>46125</v>
      </c>
      <c r="B2745" s="2">
        <v>158834</v>
      </c>
      <c r="C2745" s="2">
        <v>1</v>
      </c>
      <c r="D2745" s="2" t="s">
        <v>33</v>
      </c>
      <c r="E2745" s="2" t="s">
        <v>34</v>
      </c>
      <c r="F2745" s="2" t="s">
        <v>35</v>
      </c>
      <c r="G2745" s="2" t="s">
        <v>22</v>
      </c>
      <c r="H2745" s="2" t="s">
        <v>23</v>
      </c>
      <c r="I2745" s="2" t="s">
        <v>109</v>
      </c>
      <c r="J2745" s="2">
        <v>1</v>
      </c>
      <c r="K2745" s="2" t="s">
        <v>24</v>
      </c>
      <c r="L2745" s="2">
        <v>2520</v>
      </c>
      <c r="M2745" s="2" t="s">
        <v>37</v>
      </c>
      <c r="N2745" s="2">
        <v>682</v>
      </c>
      <c r="O2745" s="2">
        <v>13312016.91</v>
      </c>
      <c r="P2745" s="2">
        <v>19519.09</v>
      </c>
    </row>
    <row r="2746" spans="1:16" outlineLevel="2" x14ac:dyDescent="0.2">
      <c r="A2746" s="5">
        <v>46132</v>
      </c>
      <c r="B2746" s="2">
        <v>158834</v>
      </c>
      <c r="C2746" s="2">
        <v>2</v>
      </c>
      <c r="D2746" s="2" t="s">
        <v>33</v>
      </c>
      <c r="E2746" s="2" t="s">
        <v>34</v>
      </c>
      <c r="F2746" s="2" t="s">
        <v>35</v>
      </c>
      <c r="G2746" s="2" t="s">
        <v>22</v>
      </c>
      <c r="H2746" s="2" t="s">
        <v>23</v>
      </c>
      <c r="I2746" s="2" t="s">
        <v>101</v>
      </c>
      <c r="J2746" s="2">
        <v>1</v>
      </c>
      <c r="K2746" s="2" t="s">
        <v>24</v>
      </c>
      <c r="L2746" s="2">
        <v>2520</v>
      </c>
      <c r="M2746" s="2" t="s">
        <v>37</v>
      </c>
      <c r="N2746" s="2">
        <v>200</v>
      </c>
      <c r="O2746" s="2">
        <v>4387025.59</v>
      </c>
      <c r="P2746" s="2">
        <v>21935.13</v>
      </c>
    </row>
    <row r="2747" spans="1:16" outlineLevel="2" x14ac:dyDescent="0.2">
      <c r="A2747" s="5">
        <v>46136</v>
      </c>
      <c r="B2747" s="2">
        <v>158834</v>
      </c>
      <c r="C2747" s="2">
        <v>3</v>
      </c>
      <c r="D2747" s="2" t="s">
        <v>33</v>
      </c>
      <c r="E2747" s="2" t="s">
        <v>34</v>
      </c>
      <c r="F2747" s="2" t="s">
        <v>35</v>
      </c>
      <c r="G2747" s="2" t="s">
        <v>22</v>
      </c>
      <c r="H2747" s="2" t="s">
        <v>23</v>
      </c>
      <c r="I2747" s="2" t="s">
        <v>154</v>
      </c>
      <c r="J2747" s="2">
        <v>1</v>
      </c>
      <c r="K2747" s="2" t="s">
        <v>24</v>
      </c>
      <c r="L2747" s="2">
        <v>2520</v>
      </c>
      <c r="M2747" s="2" t="s">
        <v>37</v>
      </c>
      <c r="N2747" s="2">
        <v>134</v>
      </c>
      <c r="O2747" s="2">
        <v>2183230.2000000002</v>
      </c>
      <c r="P2747" s="2">
        <v>16292.76</v>
      </c>
    </row>
    <row r="2748" spans="1:16" outlineLevel="2" x14ac:dyDescent="0.2">
      <c r="A2748" s="5">
        <v>46125</v>
      </c>
      <c r="B2748" s="2">
        <v>158834</v>
      </c>
      <c r="C2748" s="2">
        <v>4</v>
      </c>
      <c r="D2748" s="2" t="s">
        <v>33</v>
      </c>
      <c r="E2748" s="2" t="s">
        <v>34</v>
      </c>
      <c r="F2748" s="2" t="s">
        <v>35</v>
      </c>
      <c r="G2748" s="2" t="s">
        <v>22</v>
      </c>
      <c r="H2748" s="2" t="s">
        <v>23</v>
      </c>
      <c r="I2748" s="2" t="s">
        <v>79</v>
      </c>
      <c r="J2748" s="2">
        <v>1</v>
      </c>
      <c r="K2748" s="2" t="s">
        <v>24</v>
      </c>
      <c r="L2748" s="2">
        <v>2520</v>
      </c>
      <c r="M2748" s="2" t="s">
        <v>37</v>
      </c>
      <c r="N2748" s="2">
        <v>437</v>
      </c>
      <c r="O2748" s="2">
        <v>7345730.3600000003</v>
      </c>
      <c r="P2748" s="2">
        <v>16809.45</v>
      </c>
    </row>
    <row r="2749" spans="1:16" outlineLevel="1" x14ac:dyDescent="0.2">
      <c r="A2749" s="5"/>
      <c r="D2749" s="3" t="s">
        <v>705</v>
      </c>
      <c r="N2749" s="2">
        <f>SUBTOTAL(9,N2745:N2748)</f>
        <v>1453</v>
      </c>
      <c r="O2749" s="2">
        <f>SUBTOTAL(9,O2745:O2748)</f>
        <v>27228003.059999999</v>
      </c>
      <c r="P2749" s="2">
        <f>+O2749/N2749</f>
        <v>18739.162463867859</v>
      </c>
    </row>
    <row r="2750" spans="1:16" outlineLevel="2" x14ac:dyDescent="0.2">
      <c r="A2750" s="5">
        <v>46136</v>
      </c>
      <c r="B2750" s="2">
        <v>158835</v>
      </c>
      <c r="C2750" s="2">
        <v>2</v>
      </c>
      <c r="D2750" s="2" t="s">
        <v>492</v>
      </c>
      <c r="E2750" s="2" t="s">
        <v>20</v>
      </c>
      <c r="F2750" s="2" t="s">
        <v>55</v>
      </c>
      <c r="G2750" s="2" t="s">
        <v>23</v>
      </c>
      <c r="H2750" s="2" t="s">
        <v>23</v>
      </c>
      <c r="I2750" s="2" t="s">
        <v>23</v>
      </c>
      <c r="J2750" s="2">
        <v>2</v>
      </c>
      <c r="K2750" s="2" t="s">
        <v>48</v>
      </c>
      <c r="L2750" s="2">
        <v>1557</v>
      </c>
      <c r="M2750" s="2" t="s">
        <v>98</v>
      </c>
      <c r="N2750" s="2">
        <v>8</v>
      </c>
      <c r="O2750" s="2">
        <v>54523.76</v>
      </c>
      <c r="P2750" s="2">
        <v>6815.47</v>
      </c>
    </row>
    <row r="2751" spans="1:16" outlineLevel="1" x14ac:dyDescent="0.2">
      <c r="A2751" s="5"/>
      <c r="D2751" s="3" t="s">
        <v>786</v>
      </c>
      <c r="N2751" s="2">
        <f>SUBTOTAL(9,N2750:N2750)</f>
        <v>8</v>
      </c>
      <c r="O2751" s="2">
        <f>SUBTOTAL(9,O2750:O2750)</f>
        <v>54523.76</v>
      </c>
      <c r="P2751" s="2">
        <f>+O2751/N2751</f>
        <v>6815.47</v>
      </c>
    </row>
    <row r="2752" spans="1:16" outlineLevel="2" x14ac:dyDescent="0.2">
      <c r="A2752" s="5">
        <v>46153</v>
      </c>
      <c r="B2752" s="2">
        <v>158836</v>
      </c>
      <c r="C2752" s="2">
        <v>1</v>
      </c>
      <c r="D2752" s="2" t="s">
        <v>140</v>
      </c>
      <c r="E2752" s="2" t="s">
        <v>55</v>
      </c>
      <c r="F2752" s="2" t="s">
        <v>23</v>
      </c>
      <c r="G2752" s="2" t="s">
        <v>23</v>
      </c>
      <c r="H2752" s="2" t="s">
        <v>23</v>
      </c>
      <c r="I2752" s="2" t="s">
        <v>23</v>
      </c>
      <c r="J2752" s="2">
        <v>1</v>
      </c>
      <c r="K2752" s="2" t="s">
        <v>24</v>
      </c>
      <c r="L2752" s="2">
        <v>1833</v>
      </c>
      <c r="M2752" s="2" t="s">
        <v>142</v>
      </c>
      <c r="N2752" s="2">
        <v>3</v>
      </c>
      <c r="O2752" s="2">
        <v>27097.17</v>
      </c>
      <c r="P2752" s="2">
        <v>9032.39</v>
      </c>
    </row>
    <row r="2753" spans="1:16" outlineLevel="1" x14ac:dyDescent="0.2">
      <c r="A2753" s="5"/>
      <c r="D2753" s="3" t="s">
        <v>696</v>
      </c>
      <c r="N2753" s="2">
        <f>SUBTOTAL(9,N2752:N2752)</f>
        <v>3</v>
      </c>
      <c r="O2753" s="2">
        <f>SUBTOTAL(9,O2752:O2752)</f>
        <v>27097.17</v>
      </c>
      <c r="P2753" s="2">
        <f>+O2753/N2753</f>
        <v>9032.39</v>
      </c>
    </row>
    <row r="2754" spans="1:16" outlineLevel="2" x14ac:dyDescent="0.2">
      <c r="A2754" s="5">
        <v>46134</v>
      </c>
      <c r="B2754" s="2">
        <v>158844</v>
      </c>
      <c r="C2754" s="2">
        <v>1</v>
      </c>
      <c r="D2754" s="2" t="s">
        <v>474</v>
      </c>
      <c r="E2754" s="2" t="s">
        <v>475</v>
      </c>
      <c r="F2754" s="2" t="s">
        <v>47</v>
      </c>
      <c r="G2754" s="2" t="s">
        <v>22</v>
      </c>
      <c r="H2754" s="2" t="s">
        <v>23</v>
      </c>
      <c r="I2754" s="2" t="s">
        <v>23</v>
      </c>
      <c r="J2754" s="2">
        <v>41</v>
      </c>
      <c r="K2754" s="2" t="s">
        <v>129</v>
      </c>
      <c r="L2754" s="2">
        <v>2338</v>
      </c>
      <c r="M2754" s="2" t="s">
        <v>417</v>
      </c>
      <c r="N2754" s="2">
        <v>128</v>
      </c>
      <c r="O2754" s="2">
        <v>180317.99</v>
      </c>
      <c r="P2754" s="2">
        <v>1408.73</v>
      </c>
    </row>
    <row r="2755" spans="1:16" outlineLevel="1" x14ac:dyDescent="0.2">
      <c r="A2755" s="5"/>
      <c r="D2755" s="3" t="s">
        <v>780</v>
      </c>
      <c r="N2755" s="2">
        <f>SUBTOTAL(9,N2754:N2754)</f>
        <v>128</v>
      </c>
      <c r="O2755" s="2">
        <f>SUBTOTAL(9,O2754:O2754)</f>
        <v>180317.99</v>
      </c>
      <c r="P2755" s="2">
        <f>+O2755/N2755</f>
        <v>1408.7342968749999</v>
      </c>
    </row>
    <row r="2756" spans="1:16" outlineLevel="2" x14ac:dyDescent="0.2">
      <c r="A2756" s="5">
        <v>46134</v>
      </c>
      <c r="B2756" s="2">
        <v>158844</v>
      </c>
      <c r="C2756" s="2">
        <v>2</v>
      </c>
      <c r="D2756" s="2" t="s">
        <v>470</v>
      </c>
      <c r="E2756" s="2" t="s">
        <v>23</v>
      </c>
      <c r="F2756" s="2" t="s">
        <v>47</v>
      </c>
      <c r="G2756" s="2" t="s">
        <v>22</v>
      </c>
      <c r="H2756" s="2" t="s">
        <v>23</v>
      </c>
      <c r="I2756" s="2" t="s">
        <v>23</v>
      </c>
      <c r="J2756" s="2">
        <v>97</v>
      </c>
      <c r="K2756" s="2" t="s">
        <v>441</v>
      </c>
      <c r="L2756" s="2">
        <v>2338</v>
      </c>
      <c r="M2756" s="2" t="s">
        <v>417</v>
      </c>
      <c r="N2756" s="2">
        <v>7</v>
      </c>
      <c r="O2756" s="2">
        <v>123900.22</v>
      </c>
      <c r="P2756" s="2">
        <v>17700.03</v>
      </c>
    </row>
    <row r="2757" spans="1:16" outlineLevel="1" x14ac:dyDescent="0.2">
      <c r="A2757" s="5"/>
      <c r="D2757" s="3" t="s">
        <v>779</v>
      </c>
      <c r="N2757" s="2">
        <f>SUBTOTAL(9,N2756:N2756)</f>
        <v>7</v>
      </c>
      <c r="O2757" s="2">
        <f>SUBTOTAL(9,O2756:O2756)</f>
        <v>123900.22</v>
      </c>
      <c r="P2757" s="2">
        <f>+O2757/N2757</f>
        <v>17700.03142857143</v>
      </c>
    </row>
    <row r="2758" spans="1:16" outlineLevel="2" x14ac:dyDescent="0.2">
      <c r="A2758" s="5">
        <v>46134</v>
      </c>
      <c r="B2758" s="2">
        <v>158845</v>
      </c>
      <c r="C2758" s="2">
        <v>1</v>
      </c>
      <c r="D2758" s="2" t="s">
        <v>226</v>
      </c>
      <c r="E2758" s="2" t="s">
        <v>227</v>
      </c>
      <c r="F2758" s="2" t="s">
        <v>47</v>
      </c>
      <c r="G2758" s="2" t="s">
        <v>22</v>
      </c>
      <c r="H2758" s="2" t="s">
        <v>23</v>
      </c>
      <c r="I2758" s="2" t="s">
        <v>23</v>
      </c>
      <c r="J2758" s="2">
        <v>41</v>
      </c>
      <c r="K2758" s="2" t="s">
        <v>129</v>
      </c>
      <c r="L2758" s="2">
        <v>1964</v>
      </c>
      <c r="M2758" s="2" t="s">
        <v>49</v>
      </c>
      <c r="N2758" s="2">
        <v>37</v>
      </c>
      <c r="O2758" s="2">
        <v>750102.29</v>
      </c>
      <c r="P2758" s="2">
        <v>20273.03</v>
      </c>
    </row>
    <row r="2759" spans="1:16" outlineLevel="1" x14ac:dyDescent="0.2">
      <c r="A2759" s="5"/>
      <c r="D2759" s="3" t="s">
        <v>736</v>
      </c>
      <c r="N2759" s="2">
        <f>SUBTOTAL(9,N2758:N2758)</f>
        <v>37</v>
      </c>
      <c r="O2759" s="2">
        <f>SUBTOTAL(9,O2758:O2758)</f>
        <v>750102.29</v>
      </c>
      <c r="P2759" s="2">
        <f>+O2759/N2759</f>
        <v>20273.034864864865</v>
      </c>
    </row>
    <row r="2760" spans="1:16" outlineLevel="2" x14ac:dyDescent="0.2">
      <c r="A2760" s="5">
        <v>46134</v>
      </c>
      <c r="B2760" s="2">
        <v>158845</v>
      </c>
      <c r="C2760" s="2">
        <v>2</v>
      </c>
      <c r="D2760" s="2" t="s">
        <v>45</v>
      </c>
      <c r="E2760" s="2" t="s">
        <v>228</v>
      </c>
      <c r="F2760" s="2" t="s">
        <v>47</v>
      </c>
      <c r="G2760" s="2" t="s">
        <v>22</v>
      </c>
      <c r="H2760" s="2" t="s">
        <v>23</v>
      </c>
      <c r="I2760" s="2" t="s">
        <v>23</v>
      </c>
      <c r="J2760" s="2">
        <v>41</v>
      </c>
      <c r="K2760" s="2" t="s">
        <v>129</v>
      </c>
      <c r="L2760" s="2">
        <v>1964</v>
      </c>
      <c r="M2760" s="2" t="s">
        <v>49</v>
      </c>
      <c r="N2760" s="2">
        <v>24</v>
      </c>
      <c r="O2760" s="2">
        <v>442010.48</v>
      </c>
      <c r="P2760" s="2">
        <v>18417.099999999999</v>
      </c>
    </row>
    <row r="2761" spans="1:16" outlineLevel="1" x14ac:dyDescent="0.2">
      <c r="A2761" s="5"/>
      <c r="D2761" s="3" t="s">
        <v>733</v>
      </c>
      <c r="N2761" s="2">
        <f>SUBTOTAL(9,N2760:N2760)</f>
        <v>24</v>
      </c>
      <c r="O2761" s="2">
        <f>SUBTOTAL(9,O2760:O2760)</f>
        <v>442010.48</v>
      </c>
      <c r="P2761" s="2">
        <f>+O2761/N2761</f>
        <v>18417.103333333333</v>
      </c>
    </row>
    <row r="2762" spans="1:16" outlineLevel="2" x14ac:dyDescent="0.2">
      <c r="A2762" s="5">
        <v>46134</v>
      </c>
      <c r="B2762" s="2">
        <v>158846</v>
      </c>
      <c r="C2762" s="2">
        <v>1</v>
      </c>
      <c r="D2762" s="2" t="s">
        <v>128</v>
      </c>
      <c r="E2762" s="2" t="s">
        <v>23</v>
      </c>
      <c r="F2762" s="2" t="s">
        <v>47</v>
      </c>
      <c r="G2762" s="2" t="s">
        <v>22</v>
      </c>
      <c r="H2762" s="2" t="s">
        <v>23</v>
      </c>
      <c r="I2762" s="2" t="s">
        <v>23</v>
      </c>
      <c r="J2762" s="2">
        <v>1</v>
      </c>
      <c r="K2762" s="2" t="s">
        <v>24</v>
      </c>
      <c r="L2762" s="2">
        <v>25213</v>
      </c>
      <c r="M2762" s="2" t="s">
        <v>130</v>
      </c>
      <c r="N2762" s="2">
        <v>4</v>
      </c>
      <c r="O2762" s="2">
        <v>334830.01</v>
      </c>
      <c r="P2762" s="2">
        <v>83707.5</v>
      </c>
    </row>
    <row r="2763" spans="1:16" outlineLevel="1" x14ac:dyDescent="0.2">
      <c r="A2763" s="5"/>
      <c r="D2763" s="3" t="s">
        <v>732</v>
      </c>
      <c r="N2763" s="2">
        <f>SUBTOTAL(9,N2762:N2762)</f>
        <v>4</v>
      </c>
      <c r="O2763" s="2">
        <f>SUBTOTAL(9,O2762:O2762)</f>
        <v>334830.01</v>
      </c>
      <c r="P2763" s="2">
        <f>+O2763/N2763</f>
        <v>83707.502500000002</v>
      </c>
    </row>
    <row r="2764" spans="1:16" outlineLevel="2" x14ac:dyDescent="0.2">
      <c r="A2764" s="5">
        <v>46134</v>
      </c>
      <c r="B2764" s="2">
        <v>158846</v>
      </c>
      <c r="C2764" s="2">
        <v>2</v>
      </c>
      <c r="D2764" s="2" t="s">
        <v>207</v>
      </c>
      <c r="E2764" s="2" t="s">
        <v>23</v>
      </c>
      <c r="F2764" s="2" t="s">
        <v>47</v>
      </c>
      <c r="G2764" s="2" t="s">
        <v>22</v>
      </c>
      <c r="H2764" s="2" t="s">
        <v>23</v>
      </c>
      <c r="I2764" s="2" t="s">
        <v>23</v>
      </c>
      <c r="J2764" s="2">
        <v>1</v>
      </c>
      <c r="K2764" s="2" t="s">
        <v>24</v>
      </c>
      <c r="L2764" s="2">
        <v>25213</v>
      </c>
      <c r="M2764" s="2" t="s">
        <v>130</v>
      </c>
      <c r="N2764" s="2">
        <v>2</v>
      </c>
      <c r="O2764" s="2">
        <v>156213.74</v>
      </c>
      <c r="P2764" s="2">
        <v>78106.87</v>
      </c>
    </row>
    <row r="2765" spans="1:16" outlineLevel="2" x14ac:dyDescent="0.2">
      <c r="A2765" s="5">
        <v>46134</v>
      </c>
      <c r="B2765" s="2">
        <v>158846</v>
      </c>
      <c r="C2765" s="2">
        <v>3</v>
      </c>
      <c r="D2765" s="2" t="s">
        <v>207</v>
      </c>
      <c r="E2765" s="2" t="s">
        <v>23</v>
      </c>
      <c r="F2765" s="2" t="s">
        <v>47</v>
      </c>
      <c r="G2765" s="2" t="s">
        <v>210</v>
      </c>
      <c r="H2765" s="2" t="s">
        <v>23</v>
      </c>
      <c r="I2765" s="2" t="s">
        <v>23</v>
      </c>
      <c r="J2765" s="2">
        <v>1</v>
      </c>
      <c r="K2765" s="2" t="s">
        <v>24</v>
      </c>
      <c r="L2765" s="2">
        <v>25213</v>
      </c>
      <c r="M2765" s="2" t="s">
        <v>130</v>
      </c>
      <c r="N2765" s="2">
        <v>2</v>
      </c>
      <c r="O2765" s="2">
        <v>83707.5</v>
      </c>
      <c r="P2765" s="2">
        <v>41853.75</v>
      </c>
    </row>
    <row r="2766" spans="1:16" outlineLevel="1" x14ac:dyDescent="0.2">
      <c r="A2766" s="5"/>
      <c r="D2766" s="3" t="s">
        <v>699</v>
      </c>
      <c r="N2766" s="2">
        <f>SUBTOTAL(9,N2764:N2765)</f>
        <v>4</v>
      </c>
      <c r="O2766" s="2">
        <f>SUBTOTAL(9,O2764:O2765)</f>
        <v>239921.24</v>
      </c>
      <c r="P2766" s="2">
        <f>+O2766/N2766</f>
        <v>59980.31</v>
      </c>
    </row>
    <row r="2767" spans="1:16" outlineLevel="2" x14ac:dyDescent="0.2">
      <c r="A2767" s="5">
        <v>46134</v>
      </c>
      <c r="B2767" s="2">
        <v>158847</v>
      </c>
      <c r="C2767" s="2">
        <v>1</v>
      </c>
      <c r="D2767" s="2" t="s">
        <v>57</v>
      </c>
      <c r="E2767" s="2" t="s">
        <v>493</v>
      </c>
      <c r="F2767" s="2" t="s">
        <v>31</v>
      </c>
      <c r="G2767" s="2" t="s">
        <v>22</v>
      </c>
      <c r="H2767" s="2" t="s">
        <v>23</v>
      </c>
      <c r="I2767" s="2" t="s">
        <v>23</v>
      </c>
      <c r="J2767" s="2">
        <v>1</v>
      </c>
      <c r="K2767" s="2" t="s">
        <v>24</v>
      </c>
      <c r="L2767" s="2">
        <v>226</v>
      </c>
      <c r="M2767" s="2" t="s">
        <v>59</v>
      </c>
      <c r="N2767" s="2">
        <v>42</v>
      </c>
      <c r="O2767" s="2">
        <v>1658775.63</v>
      </c>
      <c r="P2767" s="2">
        <v>39494.660000000003</v>
      </c>
    </row>
    <row r="2768" spans="1:16" outlineLevel="2" x14ac:dyDescent="0.2">
      <c r="A2768" s="5">
        <v>46134</v>
      </c>
      <c r="B2768" s="2">
        <v>158847</v>
      </c>
      <c r="C2768" s="2">
        <v>2</v>
      </c>
      <c r="D2768" s="2" t="s">
        <v>57</v>
      </c>
      <c r="E2768" s="2" t="s">
        <v>463</v>
      </c>
      <c r="F2768" s="2" t="s">
        <v>31</v>
      </c>
      <c r="G2768" s="2" t="s">
        <v>22</v>
      </c>
      <c r="H2768" s="2" t="s">
        <v>23</v>
      </c>
      <c r="I2768" s="2" t="s">
        <v>23</v>
      </c>
      <c r="J2768" s="2">
        <v>1</v>
      </c>
      <c r="K2768" s="2" t="s">
        <v>24</v>
      </c>
      <c r="L2768" s="2">
        <v>226</v>
      </c>
      <c r="M2768" s="2" t="s">
        <v>59</v>
      </c>
      <c r="N2768" s="2">
        <v>41</v>
      </c>
      <c r="O2768" s="2">
        <v>1806355.78</v>
      </c>
      <c r="P2768" s="2">
        <v>44057.46</v>
      </c>
    </row>
    <row r="2769" spans="1:16" outlineLevel="1" x14ac:dyDescent="0.2">
      <c r="A2769" s="5"/>
      <c r="D2769" s="3" t="s">
        <v>716</v>
      </c>
      <c r="N2769" s="2">
        <f>SUBTOTAL(9,N2767:N2768)</f>
        <v>83</v>
      </c>
      <c r="O2769" s="2">
        <f>SUBTOTAL(9,O2767:O2768)</f>
        <v>3465131.41</v>
      </c>
      <c r="P2769" s="2">
        <f>+O2769/N2769</f>
        <v>41748.57120481928</v>
      </c>
    </row>
    <row r="2770" spans="1:16" outlineLevel="2" x14ac:dyDescent="0.2">
      <c r="A2770" s="5">
        <v>46134</v>
      </c>
      <c r="B2770" s="2">
        <v>158847</v>
      </c>
      <c r="C2770" s="2">
        <v>3</v>
      </c>
      <c r="D2770" s="2" t="s">
        <v>83</v>
      </c>
      <c r="E2770" s="2" t="s">
        <v>84</v>
      </c>
      <c r="F2770" s="2" t="s">
        <v>31</v>
      </c>
      <c r="G2770" s="2" t="s">
        <v>22</v>
      </c>
      <c r="H2770" s="2" t="s">
        <v>23</v>
      </c>
      <c r="I2770" s="2" t="s">
        <v>23</v>
      </c>
      <c r="J2770" s="2">
        <v>1</v>
      </c>
      <c r="K2770" s="2" t="s">
        <v>24</v>
      </c>
      <c r="L2770" s="2">
        <v>226</v>
      </c>
      <c r="M2770" s="2" t="s">
        <v>59</v>
      </c>
      <c r="N2770" s="2">
        <v>89</v>
      </c>
      <c r="O2770" s="2">
        <v>3131625.04</v>
      </c>
      <c r="P2770" s="2">
        <v>35186.800000000003</v>
      </c>
    </row>
    <row r="2771" spans="1:16" outlineLevel="1" x14ac:dyDescent="0.2">
      <c r="A2771" s="5"/>
      <c r="D2771" s="3" t="s">
        <v>701</v>
      </c>
      <c r="N2771" s="2">
        <f>SUBTOTAL(9,N2770:N2770)</f>
        <v>89</v>
      </c>
      <c r="O2771" s="2">
        <f>SUBTOTAL(9,O2770:O2770)</f>
        <v>3131625.04</v>
      </c>
      <c r="P2771" s="2">
        <f>+O2771/N2771</f>
        <v>35186.798202247192</v>
      </c>
    </row>
    <row r="2772" spans="1:16" outlineLevel="2" x14ac:dyDescent="0.2">
      <c r="A2772" s="5">
        <v>46146</v>
      </c>
      <c r="B2772" s="2">
        <v>158848</v>
      </c>
      <c r="C2772" s="2">
        <v>1</v>
      </c>
      <c r="D2772" s="2" t="s">
        <v>54</v>
      </c>
      <c r="E2772" s="2" t="s">
        <v>30</v>
      </c>
      <c r="F2772" s="2" t="s">
        <v>55</v>
      </c>
      <c r="G2772" s="2" t="s">
        <v>23</v>
      </c>
      <c r="H2772" s="2" t="s">
        <v>23</v>
      </c>
      <c r="I2772" s="2" t="s">
        <v>23</v>
      </c>
      <c r="J2772" s="2">
        <v>2</v>
      </c>
      <c r="K2772" s="2" t="s">
        <v>48</v>
      </c>
      <c r="L2772" s="2">
        <v>25095</v>
      </c>
      <c r="M2772" s="2" t="s">
        <v>216</v>
      </c>
      <c r="N2772" s="2">
        <v>14</v>
      </c>
      <c r="O2772" s="2">
        <v>69513.62</v>
      </c>
      <c r="P2772" s="2">
        <v>4965.26</v>
      </c>
    </row>
    <row r="2773" spans="1:16" outlineLevel="2" x14ac:dyDescent="0.2">
      <c r="A2773" s="5">
        <v>46153</v>
      </c>
      <c r="B2773" s="2">
        <v>158848</v>
      </c>
      <c r="C2773" s="2">
        <v>315</v>
      </c>
      <c r="D2773" s="2" t="s">
        <v>54</v>
      </c>
      <c r="E2773" s="2" t="s">
        <v>30</v>
      </c>
      <c r="F2773" s="2" t="s">
        <v>55</v>
      </c>
      <c r="G2773" s="2" t="s">
        <v>23</v>
      </c>
      <c r="H2773" s="2" t="s">
        <v>23</v>
      </c>
      <c r="I2773" s="2" t="s">
        <v>23</v>
      </c>
      <c r="J2773" s="2">
        <v>2</v>
      </c>
      <c r="K2773" s="2" t="s">
        <v>48</v>
      </c>
      <c r="L2773" s="2">
        <v>626</v>
      </c>
      <c r="M2773" s="2" t="s">
        <v>49</v>
      </c>
      <c r="N2773" s="2">
        <v>1</v>
      </c>
      <c r="O2773" s="2">
        <v>5298.63</v>
      </c>
      <c r="P2773" s="2">
        <v>5298.63</v>
      </c>
    </row>
    <row r="2774" spans="1:16" outlineLevel="2" x14ac:dyDescent="0.2">
      <c r="A2774" s="5">
        <v>46141</v>
      </c>
      <c r="B2774" s="2">
        <v>158851</v>
      </c>
      <c r="C2774" s="2">
        <v>300</v>
      </c>
      <c r="D2774" s="2" t="s">
        <v>54</v>
      </c>
      <c r="E2774" s="2" t="s">
        <v>20</v>
      </c>
      <c r="F2774" s="2" t="s">
        <v>55</v>
      </c>
      <c r="G2774" s="2" t="s">
        <v>23</v>
      </c>
      <c r="H2774" s="2" t="s">
        <v>23</v>
      </c>
      <c r="I2774" s="2" t="s">
        <v>23</v>
      </c>
      <c r="J2774" s="2">
        <v>2</v>
      </c>
      <c r="K2774" s="2" t="s">
        <v>48</v>
      </c>
      <c r="L2774" s="2">
        <v>1974</v>
      </c>
      <c r="M2774" s="2" t="s">
        <v>95</v>
      </c>
      <c r="N2774" s="2">
        <v>2</v>
      </c>
      <c r="O2774" s="2">
        <v>12464.14</v>
      </c>
      <c r="P2774" s="2">
        <v>6232.07</v>
      </c>
    </row>
    <row r="2775" spans="1:16" outlineLevel="2" x14ac:dyDescent="0.2">
      <c r="A2775" s="5">
        <v>46139</v>
      </c>
      <c r="B2775" s="2">
        <v>158851</v>
      </c>
      <c r="C2775" s="2">
        <v>315</v>
      </c>
      <c r="D2775" s="2" t="s">
        <v>54</v>
      </c>
      <c r="E2775" s="2" t="s">
        <v>272</v>
      </c>
      <c r="F2775" s="2" t="s">
        <v>55</v>
      </c>
      <c r="G2775" s="2" t="s">
        <v>23</v>
      </c>
      <c r="H2775" s="2" t="s">
        <v>23</v>
      </c>
      <c r="I2775" s="2" t="s">
        <v>23</v>
      </c>
      <c r="J2775" s="2">
        <v>2</v>
      </c>
      <c r="K2775" s="2" t="s">
        <v>48</v>
      </c>
      <c r="L2775" s="2">
        <v>1974</v>
      </c>
      <c r="M2775" s="2" t="s">
        <v>95</v>
      </c>
      <c r="N2775" s="2">
        <v>16</v>
      </c>
      <c r="O2775" s="2">
        <v>92520.16</v>
      </c>
      <c r="P2775" s="2">
        <v>5782.51</v>
      </c>
    </row>
    <row r="2776" spans="1:16" outlineLevel="2" x14ac:dyDescent="0.2">
      <c r="A2776" s="5">
        <v>46141</v>
      </c>
      <c r="B2776" s="2">
        <v>158854</v>
      </c>
      <c r="C2776" s="2">
        <v>306</v>
      </c>
      <c r="D2776" s="2" t="s">
        <v>54</v>
      </c>
      <c r="E2776" s="2" t="s">
        <v>20</v>
      </c>
      <c r="F2776" s="2" t="s">
        <v>55</v>
      </c>
      <c r="G2776" s="2" t="s">
        <v>23</v>
      </c>
      <c r="H2776" s="2" t="s">
        <v>23</v>
      </c>
      <c r="I2776" s="2" t="s">
        <v>23</v>
      </c>
      <c r="J2776" s="2">
        <v>2</v>
      </c>
      <c r="K2776" s="2" t="s">
        <v>48</v>
      </c>
      <c r="L2776" s="2">
        <v>1857</v>
      </c>
      <c r="M2776" s="2" t="s">
        <v>206</v>
      </c>
      <c r="N2776" s="2">
        <v>2</v>
      </c>
      <c r="O2776" s="2">
        <v>12464.14</v>
      </c>
      <c r="P2776" s="2">
        <v>6232.07</v>
      </c>
    </row>
    <row r="2777" spans="1:16" outlineLevel="1" x14ac:dyDescent="0.2">
      <c r="A2777" s="5"/>
      <c r="D2777" s="3" t="s">
        <v>719</v>
      </c>
      <c r="N2777" s="2">
        <f>SUBTOTAL(9,N2772:N2776)</f>
        <v>35</v>
      </c>
      <c r="O2777" s="2">
        <f>SUBTOTAL(9,O2772:O2776)</f>
        <v>192260.69</v>
      </c>
      <c r="P2777" s="2">
        <f>+O2777/N2777</f>
        <v>5493.1625714285719</v>
      </c>
    </row>
    <row r="2778" spans="1:16" outlineLevel="2" x14ac:dyDescent="0.2">
      <c r="A2778" s="5">
        <v>46153</v>
      </c>
      <c r="B2778" s="2">
        <v>158861</v>
      </c>
      <c r="C2778" s="2">
        <v>2</v>
      </c>
      <c r="D2778" s="2" t="s">
        <v>140</v>
      </c>
      <c r="E2778" s="2" t="s">
        <v>55</v>
      </c>
      <c r="F2778" s="2" t="s">
        <v>23</v>
      </c>
      <c r="G2778" s="2" t="s">
        <v>23</v>
      </c>
      <c r="H2778" s="2" t="s">
        <v>23</v>
      </c>
      <c r="I2778" s="2" t="s">
        <v>23</v>
      </c>
      <c r="J2778" s="2">
        <v>1</v>
      </c>
      <c r="K2778" s="2" t="s">
        <v>24</v>
      </c>
      <c r="L2778" s="2">
        <v>1833</v>
      </c>
      <c r="M2778" s="2" t="s">
        <v>142</v>
      </c>
      <c r="N2778" s="2">
        <v>2</v>
      </c>
      <c r="O2778" s="2">
        <v>18064.78</v>
      </c>
      <c r="P2778" s="2">
        <v>9032.39</v>
      </c>
    </row>
    <row r="2779" spans="1:16" outlineLevel="1" x14ac:dyDescent="0.2">
      <c r="A2779" s="5"/>
      <c r="D2779" s="3" t="s">
        <v>696</v>
      </c>
      <c r="N2779" s="2">
        <f>SUBTOTAL(9,N2778:N2778)</f>
        <v>2</v>
      </c>
      <c r="O2779" s="2">
        <f>SUBTOTAL(9,O2778:O2778)</f>
        <v>18064.78</v>
      </c>
      <c r="P2779" s="2">
        <f>+O2779/N2779</f>
        <v>9032.39</v>
      </c>
    </row>
    <row r="2780" spans="1:16" outlineLevel="2" x14ac:dyDescent="0.2">
      <c r="A2780" s="5">
        <v>46141</v>
      </c>
      <c r="B2780" s="2">
        <v>158864</v>
      </c>
      <c r="C2780" s="2">
        <v>1</v>
      </c>
      <c r="D2780" s="2" t="s">
        <v>45</v>
      </c>
      <c r="E2780" s="2" t="s">
        <v>46</v>
      </c>
      <c r="F2780" s="2" t="s">
        <v>55</v>
      </c>
      <c r="G2780" s="2" t="s">
        <v>23</v>
      </c>
      <c r="H2780" s="2" t="s">
        <v>23</v>
      </c>
      <c r="I2780" s="2" t="s">
        <v>23</v>
      </c>
      <c r="J2780" s="2">
        <v>2</v>
      </c>
      <c r="K2780" s="2" t="s">
        <v>48</v>
      </c>
      <c r="L2780" s="2">
        <v>600</v>
      </c>
      <c r="M2780" s="2" t="s">
        <v>112</v>
      </c>
      <c r="N2780" s="2">
        <v>6</v>
      </c>
      <c r="O2780" s="2">
        <v>35525.54</v>
      </c>
      <c r="P2780" s="2">
        <v>5920.92</v>
      </c>
    </row>
    <row r="2781" spans="1:16" outlineLevel="1" x14ac:dyDescent="0.2">
      <c r="A2781" s="5"/>
      <c r="D2781" s="3" t="s">
        <v>733</v>
      </c>
      <c r="N2781" s="2">
        <f>SUBTOTAL(9,N2780:N2780)</f>
        <v>6</v>
      </c>
      <c r="O2781" s="2">
        <f>SUBTOTAL(9,O2780:O2780)</f>
        <v>35525.54</v>
      </c>
      <c r="P2781" s="2">
        <f>+O2781/N2781</f>
        <v>5920.9233333333332</v>
      </c>
    </row>
    <row r="2782" spans="1:16" outlineLevel="2" x14ac:dyDescent="0.2">
      <c r="A2782" s="5">
        <v>46150</v>
      </c>
      <c r="B2782" s="2">
        <v>158869</v>
      </c>
      <c r="C2782" s="2">
        <v>1</v>
      </c>
      <c r="D2782" s="2" t="s">
        <v>57</v>
      </c>
      <c r="E2782" s="2" t="s">
        <v>259</v>
      </c>
      <c r="F2782" s="2" t="s">
        <v>55</v>
      </c>
      <c r="G2782" s="2" t="s">
        <v>23</v>
      </c>
      <c r="H2782" s="2" t="s">
        <v>23</v>
      </c>
      <c r="I2782" s="2" t="s">
        <v>23</v>
      </c>
      <c r="J2782" s="2">
        <v>1</v>
      </c>
      <c r="K2782" s="2" t="s">
        <v>24</v>
      </c>
      <c r="L2782" s="2">
        <v>600</v>
      </c>
      <c r="M2782" s="2" t="s">
        <v>112</v>
      </c>
      <c r="N2782" s="2">
        <v>4</v>
      </c>
      <c r="O2782" s="2">
        <v>135074.07999999999</v>
      </c>
      <c r="P2782" s="2">
        <v>33768.519999999997</v>
      </c>
    </row>
    <row r="2783" spans="1:16" outlineLevel="1" x14ac:dyDescent="0.2">
      <c r="A2783" s="5"/>
      <c r="D2783" s="3" t="s">
        <v>716</v>
      </c>
      <c r="N2783" s="2">
        <f>SUBTOTAL(9,N2782:N2782)</f>
        <v>4</v>
      </c>
      <c r="O2783" s="2">
        <f>SUBTOTAL(9,O2782:O2782)</f>
        <v>135074.07999999999</v>
      </c>
      <c r="P2783" s="2">
        <f>+O2783/N2783</f>
        <v>33768.519999999997</v>
      </c>
    </row>
    <row r="2784" spans="1:16" outlineLevel="2" x14ac:dyDescent="0.2">
      <c r="A2784" s="5">
        <v>46134</v>
      </c>
      <c r="B2784" s="2">
        <v>158875</v>
      </c>
      <c r="C2784" s="2">
        <v>1</v>
      </c>
      <c r="D2784" s="2" t="s">
        <v>140</v>
      </c>
      <c r="E2784" s="2" t="s">
        <v>55</v>
      </c>
      <c r="F2784" s="2" t="s">
        <v>108</v>
      </c>
      <c r="G2784" s="2" t="s">
        <v>23</v>
      </c>
      <c r="H2784" s="2" t="s">
        <v>23</v>
      </c>
      <c r="I2784" s="2" t="s">
        <v>23</v>
      </c>
      <c r="J2784" s="2">
        <v>1</v>
      </c>
      <c r="K2784" s="2" t="s">
        <v>24</v>
      </c>
      <c r="L2784" s="2">
        <v>1833</v>
      </c>
      <c r="M2784" s="2" t="s">
        <v>142</v>
      </c>
      <c r="N2784" s="2">
        <v>29</v>
      </c>
      <c r="O2784" s="2">
        <v>295213.65000000002</v>
      </c>
      <c r="P2784" s="2">
        <v>10179.780000000001</v>
      </c>
    </row>
    <row r="2785" spans="1:16" outlineLevel="1" x14ac:dyDescent="0.2">
      <c r="A2785" s="5"/>
      <c r="D2785" s="3" t="s">
        <v>696</v>
      </c>
      <c r="N2785" s="2">
        <f>SUBTOTAL(9,N2784:N2784)</f>
        <v>29</v>
      </c>
      <c r="O2785" s="2">
        <f>SUBTOTAL(9,O2784:O2784)</f>
        <v>295213.65000000002</v>
      </c>
      <c r="P2785" s="2">
        <f>+O2785/N2785</f>
        <v>10179.781034482759</v>
      </c>
    </row>
    <row r="2786" spans="1:16" outlineLevel="2" x14ac:dyDescent="0.2">
      <c r="A2786" s="5">
        <v>46136</v>
      </c>
      <c r="B2786" s="2">
        <v>158877</v>
      </c>
      <c r="C2786" s="2">
        <v>5</v>
      </c>
      <c r="D2786" s="2" t="s">
        <v>226</v>
      </c>
      <c r="E2786" s="2" t="s">
        <v>276</v>
      </c>
      <c r="F2786" s="2" t="s">
        <v>289</v>
      </c>
      <c r="G2786" s="2" t="s">
        <v>22</v>
      </c>
      <c r="H2786" s="2" t="s">
        <v>23</v>
      </c>
      <c r="I2786" s="2" t="s">
        <v>23</v>
      </c>
      <c r="J2786" s="2">
        <v>2</v>
      </c>
      <c r="K2786" s="2" t="s">
        <v>48</v>
      </c>
      <c r="L2786" s="2">
        <v>106</v>
      </c>
      <c r="M2786" s="2" t="s">
        <v>486</v>
      </c>
      <c r="N2786" s="2">
        <v>28</v>
      </c>
      <c r="O2786" s="2">
        <v>293701.75</v>
      </c>
      <c r="P2786" s="2">
        <v>10489.35</v>
      </c>
    </row>
    <row r="2787" spans="1:16" outlineLevel="1" x14ac:dyDescent="0.2">
      <c r="A2787" s="5"/>
      <c r="D2787" s="3" t="s">
        <v>736</v>
      </c>
      <c r="N2787" s="2">
        <f>SUBTOTAL(9,N2786:N2786)</f>
        <v>28</v>
      </c>
      <c r="O2787" s="2">
        <f>SUBTOTAL(9,O2786:O2786)</f>
        <v>293701.75</v>
      </c>
      <c r="P2787" s="2">
        <f>+O2787/N2787</f>
        <v>10489.348214285714</v>
      </c>
    </row>
    <row r="2788" spans="1:16" outlineLevel="2" x14ac:dyDescent="0.2">
      <c r="A2788" s="5">
        <v>46141</v>
      </c>
      <c r="B2788" s="2">
        <v>158882</v>
      </c>
      <c r="C2788" s="2">
        <v>1</v>
      </c>
      <c r="D2788" s="2" t="s">
        <v>494</v>
      </c>
      <c r="E2788" s="2" t="s">
        <v>495</v>
      </c>
      <c r="F2788" s="2" t="s">
        <v>63</v>
      </c>
      <c r="G2788" s="2" t="s">
        <v>22</v>
      </c>
      <c r="H2788" s="2" t="s">
        <v>23</v>
      </c>
      <c r="I2788" s="2" t="s">
        <v>23</v>
      </c>
      <c r="J2788" s="2">
        <v>1</v>
      </c>
      <c r="K2788" s="2" t="s">
        <v>24</v>
      </c>
      <c r="L2788" s="2">
        <v>2014</v>
      </c>
      <c r="M2788" s="2" t="s">
        <v>437</v>
      </c>
      <c r="N2788" s="2">
        <v>648</v>
      </c>
      <c r="O2788" s="2">
        <v>50718454.689999998</v>
      </c>
      <c r="P2788" s="2">
        <v>78269.22</v>
      </c>
    </row>
    <row r="2789" spans="1:16" outlineLevel="1" x14ac:dyDescent="0.2">
      <c r="A2789" s="5"/>
      <c r="D2789" s="3" t="s">
        <v>787</v>
      </c>
      <c r="N2789" s="2">
        <f>SUBTOTAL(9,N2788:N2788)</f>
        <v>648</v>
      </c>
      <c r="O2789" s="2">
        <f>SUBTOTAL(9,O2788:O2788)</f>
        <v>50718454.689999998</v>
      </c>
      <c r="P2789" s="2">
        <f>+O2789/N2789</f>
        <v>78269.220200617274</v>
      </c>
    </row>
    <row r="2790" spans="1:16" outlineLevel="2" x14ac:dyDescent="0.2">
      <c r="A2790" s="5">
        <v>46139</v>
      </c>
      <c r="B2790" s="2">
        <v>158883</v>
      </c>
      <c r="C2790" s="2">
        <v>1</v>
      </c>
      <c r="D2790" s="2" t="s">
        <v>19</v>
      </c>
      <c r="E2790" s="2" t="s">
        <v>20</v>
      </c>
      <c r="F2790" s="2" t="s">
        <v>21</v>
      </c>
      <c r="G2790" s="2" t="s">
        <v>22</v>
      </c>
      <c r="H2790" s="2" t="s">
        <v>23</v>
      </c>
      <c r="I2790" s="2" t="s">
        <v>496</v>
      </c>
      <c r="J2790" s="2">
        <v>1</v>
      </c>
      <c r="K2790" s="2" t="s">
        <v>24</v>
      </c>
      <c r="L2790" s="2">
        <v>25205</v>
      </c>
      <c r="M2790" s="2" t="s">
        <v>171</v>
      </c>
      <c r="N2790" s="2">
        <v>80</v>
      </c>
      <c r="O2790" s="2">
        <v>5187071.74</v>
      </c>
      <c r="P2790" s="2">
        <v>64838.400000000001</v>
      </c>
    </row>
    <row r="2791" spans="1:16" outlineLevel="2" x14ac:dyDescent="0.2">
      <c r="A2791" s="5">
        <v>46139</v>
      </c>
      <c r="B2791" s="2">
        <v>158883</v>
      </c>
      <c r="C2791" s="2">
        <v>2</v>
      </c>
      <c r="D2791" s="2" t="s">
        <v>19</v>
      </c>
      <c r="E2791" s="2" t="s">
        <v>20</v>
      </c>
      <c r="F2791" s="2" t="s">
        <v>21</v>
      </c>
      <c r="G2791" s="2" t="s">
        <v>22</v>
      </c>
      <c r="H2791" s="2" t="s">
        <v>23</v>
      </c>
      <c r="I2791" s="2" t="s">
        <v>401</v>
      </c>
      <c r="J2791" s="2">
        <v>1</v>
      </c>
      <c r="K2791" s="2" t="s">
        <v>24</v>
      </c>
      <c r="L2791" s="2">
        <v>25205</v>
      </c>
      <c r="M2791" s="2" t="s">
        <v>171</v>
      </c>
      <c r="N2791" s="2">
        <v>177</v>
      </c>
      <c r="O2791" s="2">
        <v>11572671.42</v>
      </c>
      <c r="P2791" s="2">
        <v>65382.32</v>
      </c>
    </row>
    <row r="2792" spans="1:16" outlineLevel="1" x14ac:dyDescent="0.2">
      <c r="A2792" s="5"/>
      <c r="D2792" s="3" t="s">
        <v>704</v>
      </c>
      <c r="N2792" s="2">
        <f>SUBTOTAL(9,N2790:N2791)</f>
        <v>257</v>
      </c>
      <c r="O2792" s="2">
        <f>SUBTOTAL(9,O2790:O2791)</f>
        <v>16759743.16</v>
      </c>
      <c r="P2792" s="2">
        <f>+O2792/N2792</f>
        <v>65213.008404669265</v>
      </c>
    </row>
    <row r="2793" spans="1:16" outlineLevel="2" x14ac:dyDescent="0.2">
      <c r="A2793" s="5">
        <v>46153</v>
      </c>
      <c r="B2793" s="2">
        <v>158885</v>
      </c>
      <c r="C2793" s="2">
        <v>309</v>
      </c>
      <c r="D2793" s="2" t="s">
        <v>45</v>
      </c>
      <c r="E2793" s="2" t="s">
        <v>125</v>
      </c>
      <c r="F2793" s="2" t="s">
        <v>55</v>
      </c>
      <c r="G2793" s="2" t="s">
        <v>23</v>
      </c>
      <c r="H2793" s="2" t="s">
        <v>23</v>
      </c>
      <c r="I2793" s="2" t="s">
        <v>23</v>
      </c>
      <c r="J2793" s="2">
        <v>2</v>
      </c>
      <c r="K2793" s="2" t="s">
        <v>48</v>
      </c>
      <c r="L2793" s="2">
        <v>1964</v>
      </c>
      <c r="M2793" s="2" t="s">
        <v>49</v>
      </c>
      <c r="N2793" s="2">
        <v>4</v>
      </c>
      <c r="O2793" s="2">
        <v>33329.24</v>
      </c>
      <c r="P2793" s="2">
        <v>8332.31</v>
      </c>
    </row>
    <row r="2794" spans="1:16" outlineLevel="1" x14ac:dyDescent="0.2">
      <c r="A2794" s="5"/>
      <c r="D2794" s="3" t="s">
        <v>733</v>
      </c>
      <c r="N2794" s="2">
        <f>SUBTOTAL(9,N2793:N2793)</f>
        <v>4</v>
      </c>
      <c r="O2794" s="2">
        <f>SUBTOTAL(9,O2793:O2793)</f>
        <v>33329.24</v>
      </c>
      <c r="P2794" s="2">
        <f>+O2794/N2794</f>
        <v>8332.31</v>
      </c>
    </row>
    <row r="2795" spans="1:16" outlineLevel="2" x14ac:dyDescent="0.2">
      <c r="A2795" s="5">
        <v>46139</v>
      </c>
      <c r="B2795" s="2">
        <v>158889</v>
      </c>
      <c r="C2795" s="2">
        <v>1</v>
      </c>
      <c r="D2795" s="2" t="s">
        <v>197</v>
      </c>
      <c r="E2795" s="2" t="s">
        <v>284</v>
      </c>
      <c r="F2795" s="2" t="s">
        <v>199</v>
      </c>
      <c r="G2795" s="2" t="s">
        <v>22</v>
      </c>
      <c r="H2795" s="2" t="s">
        <v>23</v>
      </c>
      <c r="I2795" s="2" t="s">
        <v>23</v>
      </c>
      <c r="J2795" s="2">
        <v>2</v>
      </c>
      <c r="K2795" s="2" t="s">
        <v>48</v>
      </c>
      <c r="L2795" s="2">
        <v>183</v>
      </c>
      <c r="M2795" s="2" t="s">
        <v>381</v>
      </c>
      <c r="N2795" s="2">
        <v>278</v>
      </c>
      <c r="O2795" s="2">
        <v>7081704.79</v>
      </c>
      <c r="P2795" s="2">
        <v>25473.759999999998</v>
      </c>
    </row>
    <row r="2796" spans="1:16" outlineLevel="1" x14ac:dyDescent="0.2">
      <c r="A2796" s="5"/>
      <c r="D2796" s="3" t="s">
        <v>734</v>
      </c>
      <c r="N2796" s="2">
        <f>SUBTOTAL(9,N2795:N2795)</f>
        <v>278</v>
      </c>
      <c r="O2796" s="2">
        <f>SUBTOTAL(9,O2795:O2795)</f>
        <v>7081704.79</v>
      </c>
      <c r="P2796" s="2">
        <f>+O2796/N2796</f>
        <v>25473.758237410071</v>
      </c>
    </row>
    <row r="2797" spans="1:16" outlineLevel="2" x14ac:dyDescent="0.2">
      <c r="A2797" s="5">
        <v>46146</v>
      </c>
      <c r="B2797" s="2">
        <v>158894</v>
      </c>
      <c r="C2797" s="2">
        <v>1</v>
      </c>
      <c r="D2797" s="2" t="s">
        <v>140</v>
      </c>
      <c r="E2797" s="2" t="s">
        <v>55</v>
      </c>
      <c r="F2797" s="2" t="s">
        <v>23</v>
      </c>
      <c r="G2797" s="2" t="s">
        <v>23</v>
      </c>
      <c r="H2797" s="2" t="s">
        <v>23</v>
      </c>
      <c r="I2797" s="2" t="s">
        <v>23</v>
      </c>
      <c r="J2797" s="2">
        <v>1</v>
      </c>
      <c r="K2797" s="2" t="s">
        <v>24</v>
      </c>
      <c r="L2797" s="2">
        <v>1833</v>
      </c>
      <c r="M2797" s="2" t="s">
        <v>142</v>
      </c>
      <c r="N2797" s="2">
        <v>7</v>
      </c>
      <c r="O2797" s="2">
        <v>45491.37</v>
      </c>
      <c r="P2797" s="2">
        <v>6498.77</v>
      </c>
    </row>
    <row r="2798" spans="1:16" outlineLevel="2" x14ac:dyDescent="0.2">
      <c r="A2798" s="5">
        <v>46139</v>
      </c>
      <c r="B2798" s="2">
        <v>158894</v>
      </c>
      <c r="C2798" s="2">
        <v>2</v>
      </c>
      <c r="D2798" s="2" t="s">
        <v>140</v>
      </c>
      <c r="E2798" s="2" t="s">
        <v>55</v>
      </c>
      <c r="F2798" s="2" t="s">
        <v>23</v>
      </c>
      <c r="G2798" s="2" t="s">
        <v>23</v>
      </c>
      <c r="H2798" s="2" t="s">
        <v>23</v>
      </c>
      <c r="I2798" s="2" t="s">
        <v>23</v>
      </c>
      <c r="J2798" s="2">
        <v>1</v>
      </c>
      <c r="K2798" s="2" t="s">
        <v>24</v>
      </c>
      <c r="L2798" s="2">
        <v>1833</v>
      </c>
      <c r="M2798" s="2" t="s">
        <v>142</v>
      </c>
      <c r="N2798" s="2">
        <v>16</v>
      </c>
      <c r="O2798" s="2">
        <v>138533.25</v>
      </c>
      <c r="P2798" s="2">
        <v>8658.33</v>
      </c>
    </row>
    <row r="2799" spans="1:16" outlineLevel="1" x14ac:dyDescent="0.2">
      <c r="A2799" s="5"/>
      <c r="D2799" s="3" t="s">
        <v>696</v>
      </c>
      <c r="N2799" s="2">
        <f>SUBTOTAL(9,N2797:N2798)</f>
        <v>23</v>
      </c>
      <c r="O2799" s="2">
        <f>SUBTOTAL(9,O2797:O2798)</f>
        <v>184024.62</v>
      </c>
      <c r="P2799" s="2">
        <f>+O2799/N2799</f>
        <v>8001.0704347826086</v>
      </c>
    </row>
    <row r="2800" spans="1:16" outlineLevel="2" x14ac:dyDescent="0.2">
      <c r="A2800" s="5">
        <v>46141</v>
      </c>
      <c r="B2800" s="2">
        <v>158897</v>
      </c>
      <c r="C2800" s="2">
        <v>300</v>
      </c>
      <c r="D2800" s="2" t="s">
        <v>54</v>
      </c>
      <c r="E2800" s="2" t="s">
        <v>20</v>
      </c>
      <c r="F2800" s="2" t="s">
        <v>55</v>
      </c>
      <c r="G2800" s="2" t="s">
        <v>23</v>
      </c>
      <c r="H2800" s="2" t="s">
        <v>23</v>
      </c>
      <c r="I2800" s="2" t="s">
        <v>23</v>
      </c>
      <c r="J2800" s="2">
        <v>2</v>
      </c>
      <c r="K2800" s="2" t="s">
        <v>48</v>
      </c>
      <c r="L2800" s="2">
        <v>25095</v>
      </c>
      <c r="M2800" s="2" t="s">
        <v>216</v>
      </c>
      <c r="N2800" s="2">
        <v>6</v>
      </c>
      <c r="O2800" s="2">
        <v>37392.42</v>
      </c>
      <c r="P2800" s="2">
        <v>6232.07</v>
      </c>
    </row>
    <row r="2801" spans="1:16" outlineLevel="1" x14ac:dyDescent="0.2">
      <c r="A2801" s="5"/>
      <c r="D2801" s="3" t="s">
        <v>719</v>
      </c>
      <c r="N2801" s="2">
        <f>SUBTOTAL(9,N2800:N2800)</f>
        <v>6</v>
      </c>
      <c r="O2801" s="2">
        <f>SUBTOTAL(9,O2800:O2800)</f>
        <v>37392.42</v>
      </c>
      <c r="P2801" s="2">
        <f>+O2801/N2801</f>
        <v>6232.07</v>
      </c>
    </row>
    <row r="2802" spans="1:16" outlineLevel="2" x14ac:dyDescent="0.2">
      <c r="A2802" s="5">
        <v>46139</v>
      </c>
      <c r="B2802" s="2">
        <v>158906</v>
      </c>
      <c r="C2802" s="2">
        <v>315</v>
      </c>
      <c r="D2802" s="2" t="s">
        <v>45</v>
      </c>
      <c r="E2802" s="2" t="s">
        <v>46</v>
      </c>
      <c r="F2802" s="2" t="s">
        <v>55</v>
      </c>
      <c r="G2802" s="2" t="s">
        <v>23</v>
      </c>
      <c r="H2802" s="2" t="s">
        <v>23</v>
      </c>
      <c r="I2802" s="2" t="s">
        <v>23</v>
      </c>
      <c r="J2802" s="2">
        <v>2</v>
      </c>
      <c r="K2802" s="2" t="s">
        <v>48</v>
      </c>
      <c r="L2802" s="2">
        <v>1557</v>
      </c>
      <c r="M2802" s="2" t="s">
        <v>98</v>
      </c>
      <c r="N2802" s="2">
        <v>10</v>
      </c>
      <c r="O2802" s="2">
        <v>45518.78</v>
      </c>
      <c r="P2802" s="2">
        <v>4551.88</v>
      </c>
    </row>
    <row r="2803" spans="1:16" outlineLevel="2" x14ac:dyDescent="0.2">
      <c r="A2803" s="5">
        <v>46136</v>
      </c>
      <c r="B2803" s="2">
        <v>158907</v>
      </c>
      <c r="C2803" s="2">
        <v>1</v>
      </c>
      <c r="D2803" s="2" t="s">
        <v>45</v>
      </c>
      <c r="E2803" s="2" t="s">
        <v>228</v>
      </c>
      <c r="F2803" s="2" t="s">
        <v>47</v>
      </c>
      <c r="G2803" s="2" t="s">
        <v>22</v>
      </c>
      <c r="H2803" s="2" t="s">
        <v>23</v>
      </c>
      <c r="I2803" s="2" t="s">
        <v>23</v>
      </c>
      <c r="J2803" s="2">
        <v>41</v>
      </c>
      <c r="K2803" s="2" t="s">
        <v>129</v>
      </c>
      <c r="L2803" s="2">
        <v>1964</v>
      </c>
      <c r="M2803" s="2" t="s">
        <v>49</v>
      </c>
      <c r="N2803" s="2">
        <v>18</v>
      </c>
      <c r="O2803" s="2">
        <v>351137.65</v>
      </c>
      <c r="P2803" s="2">
        <v>19507.650000000001</v>
      </c>
    </row>
    <row r="2804" spans="1:16" outlineLevel="2" x14ac:dyDescent="0.2">
      <c r="A2804" s="5">
        <v>46136</v>
      </c>
      <c r="B2804" s="2">
        <v>158907</v>
      </c>
      <c r="C2804" s="2">
        <v>2</v>
      </c>
      <c r="D2804" s="2" t="s">
        <v>45</v>
      </c>
      <c r="E2804" s="2" t="s">
        <v>227</v>
      </c>
      <c r="F2804" s="2" t="s">
        <v>47</v>
      </c>
      <c r="G2804" s="2" t="s">
        <v>22</v>
      </c>
      <c r="H2804" s="2" t="s">
        <v>23</v>
      </c>
      <c r="I2804" s="2" t="s">
        <v>23</v>
      </c>
      <c r="J2804" s="2">
        <v>41</v>
      </c>
      <c r="K2804" s="2" t="s">
        <v>129</v>
      </c>
      <c r="L2804" s="2">
        <v>1964</v>
      </c>
      <c r="M2804" s="2" t="s">
        <v>49</v>
      </c>
      <c r="N2804" s="2">
        <v>23</v>
      </c>
      <c r="O2804" s="2">
        <v>209611.78</v>
      </c>
      <c r="P2804" s="2">
        <v>9113.56</v>
      </c>
    </row>
    <row r="2805" spans="1:16" outlineLevel="1" x14ac:dyDescent="0.2">
      <c r="A2805" s="5"/>
      <c r="D2805" s="3" t="s">
        <v>733</v>
      </c>
      <c r="N2805" s="2">
        <f>SUBTOTAL(9,N2802:N2804)</f>
        <v>51</v>
      </c>
      <c r="O2805" s="2">
        <f>SUBTOTAL(9,O2802:O2804)</f>
        <v>606268.21000000008</v>
      </c>
      <c r="P2805" s="2">
        <f>+O2805/N2805</f>
        <v>11887.611960784316</v>
      </c>
    </row>
    <row r="2806" spans="1:16" outlineLevel="2" x14ac:dyDescent="0.2">
      <c r="A2806" s="5">
        <v>46136</v>
      </c>
      <c r="B2806" s="2">
        <v>158908</v>
      </c>
      <c r="C2806" s="2">
        <v>1</v>
      </c>
      <c r="D2806" s="2" t="s">
        <v>128</v>
      </c>
      <c r="E2806" s="2" t="s">
        <v>23</v>
      </c>
      <c r="F2806" s="2" t="s">
        <v>47</v>
      </c>
      <c r="G2806" s="2" t="s">
        <v>210</v>
      </c>
      <c r="H2806" s="2" t="s">
        <v>23</v>
      </c>
      <c r="I2806" s="2" t="s">
        <v>23</v>
      </c>
      <c r="J2806" s="2">
        <v>1</v>
      </c>
      <c r="K2806" s="2" t="s">
        <v>24</v>
      </c>
      <c r="L2806" s="2">
        <v>25213</v>
      </c>
      <c r="M2806" s="2" t="s">
        <v>130</v>
      </c>
      <c r="N2806" s="2">
        <v>3</v>
      </c>
      <c r="O2806" s="2">
        <v>246455.32</v>
      </c>
      <c r="P2806" s="2">
        <v>82151.77</v>
      </c>
    </row>
    <row r="2807" spans="1:16" outlineLevel="1" x14ac:dyDescent="0.2">
      <c r="A2807" s="5"/>
      <c r="D2807" s="3" t="s">
        <v>732</v>
      </c>
      <c r="N2807" s="2">
        <f>SUBTOTAL(9,N2806:N2806)</f>
        <v>3</v>
      </c>
      <c r="O2807" s="2">
        <f>SUBTOTAL(9,O2806:O2806)</f>
        <v>246455.32</v>
      </c>
      <c r="P2807" s="2">
        <f>+O2807/N2807</f>
        <v>82151.773333333331</v>
      </c>
    </row>
    <row r="2808" spans="1:16" outlineLevel="2" x14ac:dyDescent="0.2">
      <c r="A2808" s="5">
        <v>46136</v>
      </c>
      <c r="B2808" s="2">
        <v>158908</v>
      </c>
      <c r="C2808" s="2">
        <v>2</v>
      </c>
      <c r="D2808" s="2" t="s">
        <v>207</v>
      </c>
      <c r="E2808" s="2" t="s">
        <v>23</v>
      </c>
      <c r="F2808" s="2" t="s">
        <v>47</v>
      </c>
      <c r="G2808" s="2" t="s">
        <v>22</v>
      </c>
      <c r="H2808" s="2" t="s">
        <v>23</v>
      </c>
      <c r="I2808" s="2" t="s">
        <v>23</v>
      </c>
      <c r="J2808" s="2">
        <v>1</v>
      </c>
      <c r="K2808" s="2" t="s">
        <v>24</v>
      </c>
      <c r="L2808" s="2">
        <v>25213</v>
      </c>
      <c r="M2808" s="2" t="s">
        <v>130</v>
      </c>
      <c r="N2808" s="2">
        <v>3</v>
      </c>
      <c r="O2808" s="2">
        <v>220319.01</v>
      </c>
      <c r="P2808" s="2">
        <v>73439.67</v>
      </c>
    </row>
    <row r="2809" spans="1:16" outlineLevel="1" x14ac:dyDescent="0.2">
      <c r="A2809" s="5"/>
      <c r="D2809" s="3" t="s">
        <v>699</v>
      </c>
      <c r="N2809" s="2">
        <f>SUBTOTAL(9,N2808:N2808)</f>
        <v>3</v>
      </c>
      <c r="O2809" s="2">
        <f>SUBTOTAL(9,O2808:O2808)</f>
        <v>220319.01</v>
      </c>
      <c r="P2809" s="2">
        <f>+O2809/N2809</f>
        <v>73439.67</v>
      </c>
    </row>
    <row r="2810" spans="1:16" outlineLevel="2" x14ac:dyDescent="0.2">
      <c r="A2810" s="5">
        <v>46136</v>
      </c>
      <c r="B2810" s="2">
        <v>158909</v>
      </c>
      <c r="C2810" s="2">
        <v>1</v>
      </c>
      <c r="D2810" s="2" t="s">
        <v>143</v>
      </c>
      <c r="E2810" s="2" t="s">
        <v>23</v>
      </c>
      <c r="F2810" s="2" t="s">
        <v>144</v>
      </c>
      <c r="G2810" s="2" t="s">
        <v>22</v>
      </c>
      <c r="H2810" s="2" t="s">
        <v>23</v>
      </c>
      <c r="I2810" s="2" t="s">
        <v>23</v>
      </c>
      <c r="J2810" s="2">
        <v>1</v>
      </c>
      <c r="K2810" s="2" t="s">
        <v>24</v>
      </c>
      <c r="L2810" s="2">
        <v>2101</v>
      </c>
      <c r="M2810" s="2" t="s">
        <v>145</v>
      </c>
      <c r="N2810" s="2">
        <v>155</v>
      </c>
      <c r="O2810" s="2">
        <v>1353540.38</v>
      </c>
      <c r="P2810" s="2">
        <v>8732.52</v>
      </c>
    </row>
    <row r="2811" spans="1:16" outlineLevel="1" x14ac:dyDescent="0.2">
      <c r="A2811" s="5"/>
      <c r="D2811" s="3" t="s">
        <v>706</v>
      </c>
      <c r="N2811" s="2">
        <f>SUBTOTAL(9,N2810:N2810)</f>
        <v>155</v>
      </c>
      <c r="O2811" s="2">
        <f>SUBTOTAL(9,O2810:O2810)</f>
        <v>1353540.38</v>
      </c>
      <c r="P2811" s="2">
        <f>+O2811/N2811</f>
        <v>8732.5185806451609</v>
      </c>
    </row>
    <row r="2812" spans="1:16" outlineLevel="2" x14ac:dyDescent="0.2">
      <c r="A2812" s="5">
        <v>46136</v>
      </c>
      <c r="B2812" s="2">
        <v>158910</v>
      </c>
      <c r="C2812" s="2">
        <v>1</v>
      </c>
      <c r="D2812" s="2" t="s">
        <v>474</v>
      </c>
      <c r="E2812" s="2" t="s">
        <v>475</v>
      </c>
      <c r="F2812" s="2" t="s">
        <v>47</v>
      </c>
      <c r="G2812" s="2" t="s">
        <v>22</v>
      </c>
      <c r="H2812" s="2" t="s">
        <v>23</v>
      </c>
      <c r="I2812" s="2" t="s">
        <v>23</v>
      </c>
      <c r="J2812" s="2">
        <v>41</v>
      </c>
      <c r="K2812" s="2" t="s">
        <v>129</v>
      </c>
      <c r="L2812" s="2">
        <v>2338</v>
      </c>
      <c r="M2812" s="2" t="s">
        <v>417</v>
      </c>
      <c r="N2812" s="2">
        <v>96</v>
      </c>
      <c r="O2812" s="2">
        <v>96461.759999999995</v>
      </c>
      <c r="P2812" s="2">
        <v>1004.81</v>
      </c>
    </row>
    <row r="2813" spans="1:16" outlineLevel="1" x14ac:dyDescent="0.2">
      <c r="A2813" s="5"/>
      <c r="D2813" s="3" t="s">
        <v>780</v>
      </c>
      <c r="N2813" s="2">
        <f>SUBTOTAL(9,N2812:N2812)</f>
        <v>96</v>
      </c>
      <c r="O2813" s="2">
        <f>SUBTOTAL(9,O2812:O2812)</f>
        <v>96461.759999999995</v>
      </c>
      <c r="P2813" s="2">
        <f>+O2813/N2813</f>
        <v>1004.81</v>
      </c>
    </row>
    <row r="2814" spans="1:16" outlineLevel="2" x14ac:dyDescent="0.2">
      <c r="A2814" s="5">
        <v>46136</v>
      </c>
      <c r="B2814" s="2">
        <v>158910</v>
      </c>
      <c r="C2814" s="2">
        <v>2</v>
      </c>
      <c r="D2814" s="2" t="s">
        <v>470</v>
      </c>
      <c r="E2814" s="2" t="s">
        <v>23</v>
      </c>
      <c r="F2814" s="2" t="s">
        <v>47</v>
      </c>
      <c r="G2814" s="2" t="s">
        <v>22</v>
      </c>
      <c r="H2814" s="2" t="s">
        <v>23</v>
      </c>
      <c r="I2814" s="2" t="s">
        <v>23</v>
      </c>
      <c r="J2814" s="2">
        <v>86</v>
      </c>
      <c r="K2814" s="2" t="s">
        <v>73</v>
      </c>
      <c r="L2814" s="2">
        <v>2338</v>
      </c>
      <c r="M2814" s="2" t="s">
        <v>417</v>
      </c>
      <c r="N2814" s="2">
        <v>8</v>
      </c>
      <c r="O2814" s="2">
        <v>145067.35999999999</v>
      </c>
      <c r="P2814" s="2">
        <v>18133.419999999998</v>
      </c>
    </row>
    <row r="2815" spans="1:16" outlineLevel="1" x14ac:dyDescent="0.2">
      <c r="A2815" s="5"/>
      <c r="D2815" s="3" t="s">
        <v>779</v>
      </c>
      <c r="N2815" s="2">
        <f>SUBTOTAL(9,N2814:N2814)</f>
        <v>8</v>
      </c>
      <c r="O2815" s="2">
        <f>SUBTOTAL(9,O2814:O2814)</f>
        <v>145067.35999999999</v>
      </c>
      <c r="P2815" s="2">
        <f>+O2815/N2815</f>
        <v>18133.419999999998</v>
      </c>
    </row>
    <row r="2816" spans="1:16" outlineLevel="2" x14ac:dyDescent="0.2">
      <c r="A2816" s="5">
        <v>46141</v>
      </c>
      <c r="B2816" s="2">
        <v>158911</v>
      </c>
      <c r="C2816" s="2">
        <v>200</v>
      </c>
      <c r="D2816" s="2" t="s">
        <v>487</v>
      </c>
      <c r="E2816" s="2" t="s">
        <v>23</v>
      </c>
      <c r="F2816" s="2" t="s">
        <v>35</v>
      </c>
      <c r="G2816" s="2" t="s">
        <v>23</v>
      </c>
      <c r="H2816" s="2" t="s">
        <v>23</v>
      </c>
      <c r="I2816" s="2" t="s">
        <v>23</v>
      </c>
      <c r="J2816" s="2">
        <v>41</v>
      </c>
      <c r="K2816" s="2" t="s">
        <v>129</v>
      </c>
      <c r="L2816" s="2">
        <v>600</v>
      </c>
      <c r="M2816" s="2" t="s">
        <v>112</v>
      </c>
      <c r="N2816" s="2">
        <v>70</v>
      </c>
      <c r="O2816" s="2">
        <v>179066.08</v>
      </c>
      <c r="P2816" s="2">
        <v>2558.09</v>
      </c>
    </row>
    <row r="2817" spans="1:16" outlineLevel="1" x14ac:dyDescent="0.2">
      <c r="A2817" s="5"/>
      <c r="D2817" s="3" t="s">
        <v>784</v>
      </c>
      <c r="N2817" s="2">
        <f>SUBTOTAL(9,N2816:N2816)</f>
        <v>70</v>
      </c>
      <c r="O2817" s="2">
        <f>SUBTOTAL(9,O2816:O2816)</f>
        <v>179066.08</v>
      </c>
      <c r="P2817" s="2">
        <f>+O2817/N2817</f>
        <v>2558.0868571428568</v>
      </c>
    </row>
    <row r="2818" spans="1:16" outlineLevel="2" x14ac:dyDescent="0.2">
      <c r="A2818" s="5">
        <v>46136</v>
      </c>
      <c r="B2818" s="2">
        <v>158913</v>
      </c>
      <c r="C2818" s="2">
        <v>1</v>
      </c>
      <c r="D2818" s="2" t="s">
        <v>26</v>
      </c>
      <c r="E2818" s="2" t="s">
        <v>51</v>
      </c>
      <c r="F2818" s="2" t="s">
        <v>52</v>
      </c>
      <c r="G2818" s="2" t="s">
        <v>22</v>
      </c>
      <c r="H2818" s="2" t="s">
        <v>23</v>
      </c>
      <c r="I2818" s="2" t="s">
        <v>23</v>
      </c>
      <c r="J2818" s="2">
        <v>5</v>
      </c>
      <c r="K2818" s="2" t="s">
        <v>27</v>
      </c>
      <c r="L2818" s="2">
        <v>3048</v>
      </c>
      <c r="M2818" s="2" t="s">
        <v>53</v>
      </c>
      <c r="N2818" s="2">
        <v>140</v>
      </c>
      <c r="O2818" s="2">
        <v>822084.06</v>
      </c>
      <c r="P2818" s="2">
        <v>5872.03</v>
      </c>
    </row>
    <row r="2819" spans="1:16" outlineLevel="1" x14ac:dyDescent="0.2">
      <c r="A2819" s="5"/>
      <c r="D2819" s="3" t="s">
        <v>711</v>
      </c>
      <c r="N2819" s="2">
        <f>SUBTOTAL(9,N2818:N2818)</f>
        <v>140</v>
      </c>
      <c r="O2819" s="2">
        <f>SUBTOTAL(9,O2818:O2818)</f>
        <v>822084.06</v>
      </c>
      <c r="P2819" s="2">
        <f>+O2819/N2819</f>
        <v>5872.0290000000005</v>
      </c>
    </row>
    <row r="2820" spans="1:16" outlineLevel="2" x14ac:dyDescent="0.2">
      <c r="A2820" s="5">
        <v>46136</v>
      </c>
      <c r="B2820" s="2">
        <v>158916</v>
      </c>
      <c r="C2820" s="2">
        <v>502</v>
      </c>
      <c r="D2820" s="2" t="s">
        <v>54</v>
      </c>
      <c r="E2820" s="2" t="s">
        <v>30</v>
      </c>
      <c r="F2820" s="2" t="s">
        <v>23</v>
      </c>
      <c r="G2820" s="2" t="s">
        <v>22</v>
      </c>
      <c r="H2820" s="2" t="s">
        <v>23</v>
      </c>
      <c r="I2820" s="2" t="s">
        <v>23</v>
      </c>
      <c r="J2820" s="2">
        <v>2</v>
      </c>
      <c r="K2820" s="2" t="s">
        <v>48</v>
      </c>
      <c r="L2820" s="2">
        <v>626</v>
      </c>
      <c r="M2820" s="2" t="s">
        <v>49</v>
      </c>
      <c r="N2820" s="2">
        <v>3</v>
      </c>
      <c r="O2820" s="2">
        <v>24296.85</v>
      </c>
      <c r="P2820" s="2">
        <v>8098.95</v>
      </c>
    </row>
    <row r="2821" spans="1:16" outlineLevel="1" x14ac:dyDescent="0.2">
      <c r="A2821" s="5"/>
      <c r="D2821" s="3" t="s">
        <v>719</v>
      </c>
      <c r="N2821" s="2">
        <f>SUBTOTAL(9,N2820:N2820)</f>
        <v>3</v>
      </c>
      <c r="O2821" s="2">
        <f>SUBTOTAL(9,O2820:O2820)</f>
        <v>24296.85</v>
      </c>
      <c r="P2821" s="2">
        <f>+O2821/N2821</f>
        <v>8098.95</v>
      </c>
    </row>
    <row r="2822" spans="1:16" outlineLevel="2" x14ac:dyDescent="0.2">
      <c r="A2822" s="5">
        <v>46150</v>
      </c>
      <c r="B2822" s="2">
        <v>158920</v>
      </c>
      <c r="C2822" s="2">
        <v>1</v>
      </c>
      <c r="D2822" s="2" t="s">
        <v>57</v>
      </c>
      <c r="E2822" s="2" t="s">
        <v>259</v>
      </c>
      <c r="F2822" s="2" t="s">
        <v>55</v>
      </c>
      <c r="G2822" s="2" t="s">
        <v>23</v>
      </c>
      <c r="H2822" s="2" t="s">
        <v>23</v>
      </c>
      <c r="I2822" s="2" t="s">
        <v>23</v>
      </c>
      <c r="J2822" s="2">
        <v>1</v>
      </c>
      <c r="K2822" s="2" t="s">
        <v>24</v>
      </c>
      <c r="L2822" s="2">
        <v>600</v>
      </c>
      <c r="M2822" s="2" t="s">
        <v>112</v>
      </c>
      <c r="N2822" s="2">
        <v>8</v>
      </c>
      <c r="O2822" s="2">
        <v>240278.13</v>
      </c>
      <c r="P2822" s="2">
        <v>30034.77</v>
      </c>
    </row>
    <row r="2823" spans="1:16" outlineLevel="2" x14ac:dyDescent="0.2">
      <c r="A2823" s="5">
        <v>46150</v>
      </c>
      <c r="B2823" s="2">
        <v>158920</v>
      </c>
      <c r="C2823" s="2">
        <v>2</v>
      </c>
      <c r="D2823" s="2" t="s">
        <v>57</v>
      </c>
      <c r="E2823" s="2" t="s">
        <v>259</v>
      </c>
      <c r="F2823" s="2" t="s">
        <v>55</v>
      </c>
      <c r="G2823" s="2" t="s">
        <v>23</v>
      </c>
      <c r="H2823" s="2" t="s">
        <v>23</v>
      </c>
      <c r="I2823" s="2" t="s">
        <v>23</v>
      </c>
      <c r="J2823" s="2">
        <v>1</v>
      </c>
      <c r="K2823" s="2" t="s">
        <v>24</v>
      </c>
      <c r="L2823" s="2">
        <v>600</v>
      </c>
      <c r="M2823" s="2" t="s">
        <v>112</v>
      </c>
      <c r="N2823" s="2">
        <v>7</v>
      </c>
      <c r="O2823" s="2">
        <v>173372.56</v>
      </c>
      <c r="P2823" s="2">
        <v>24767.51</v>
      </c>
    </row>
    <row r="2824" spans="1:16" outlineLevel="1" x14ac:dyDescent="0.2">
      <c r="A2824" s="5"/>
      <c r="D2824" s="3" t="s">
        <v>716</v>
      </c>
      <c r="N2824" s="2">
        <f>SUBTOTAL(9,N2822:N2823)</f>
        <v>15</v>
      </c>
      <c r="O2824" s="2">
        <f>SUBTOTAL(9,O2822:O2823)</f>
        <v>413650.69</v>
      </c>
      <c r="P2824" s="2">
        <f>+O2824/N2824</f>
        <v>27576.712666666666</v>
      </c>
    </row>
    <row r="2825" spans="1:16" outlineLevel="2" x14ac:dyDescent="0.2">
      <c r="A2825" s="5">
        <v>46176</v>
      </c>
      <c r="B2825" s="2">
        <v>158925</v>
      </c>
      <c r="C2825" s="2">
        <v>300</v>
      </c>
      <c r="D2825" s="2" t="s">
        <v>26</v>
      </c>
      <c r="E2825" s="2" t="s">
        <v>55</v>
      </c>
      <c r="F2825" s="2" t="s">
        <v>23</v>
      </c>
      <c r="G2825" s="2" t="s">
        <v>23</v>
      </c>
      <c r="H2825" s="2" t="s">
        <v>23</v>
      </c>
      <c r="I2825" s="2" t="s">
        <v>23</v>
      </c>
      <c r="J2825" s="2">
        <v>5</v>
      </c>
      <c r="K2825" s="2" t="s">
        <v>27</v>
      </c>
      <c r="L2825" s="2">
        <v>25092</v>
      </c>
      <c r="M2825" s="2" t="s">
        <v>96</v>
      </c>
      <c r="N2825" s="2">
        <v>24</v>
      </c>
      <c r="O2825" s="2">
        <v>70227.41</v>
      </c>
      <c r="P2825" s="2">
        <v>2926.14</v>
      </c>
    </row>
    <row r="2826" spans="1:16" outlineLevel="1" x14ac:dyDescent="0.2">
      <c r="A2826" s="5"/>
      <c r="D2826" s="3" t="s">
        <v>711</v>
      </c>
      <c r="N2826" s="2">
        <f>SUBTOTAL(9,N2825:N2825)</f>
        <v>24</v>
      </c>
      <c r="O2826" s="2">
        <f>SUBTOTAL(9,O2825:O2825)</f>
        <v>70227.41</v>
      </c>
      <c r="P2826" s="2">
        <f>+O2826/N2826</f>
        <v>2926.1420833333336</v>
      </c>
    </row>
    <row r="2827" spans="1:16" outlineLevel="2" x14ac:dyDescent="0.2">
      <c r="A2827" s="5">
        <v>46155</v>
      </c>
      <c r="B2827" s="2">
        <v>158927</v>
      </c>
      <c r="C2827" s="2">
        <v>1</v>
      </c>
      <c r="D2827" s="2" t="s">
        <v>203</v>
      </c>
      <c r="E2827" s="2" t="s">
        <v>238</v>
      </c>
      <c r="F2827" s="2" t="s">
        <v>55</v>
      </c>
      <c r="G2827" s="2" t="s">
        <v>23</v>
      </c>
      <c r="H2827" s="2" t="s">
        <v>23</v>
      </c>
      <c r="I2827" s="2" t="s">
        <v>23</v>
      </c>
      <c r="J2827" s="2">
        <v>2</v>
      </c>
      <c r="K2827" s="2" t="s">
        <v>48</v>
      </c>
      <c r="L2827" s="2">
        <v>600</v>
      </c>
      <c r="M2827" s="2" t="s">
        <v>112</v>
      </c>
      <c r="N2827" s="2">
        <v>2</v>
      </c>
      <c r="O2827" s="2">
        <v>11530.7</v>
      </c>
      <c r="P2827" s="2">
        <v>5765.35</v>
      </c>
    </row>
    <row r="2828" spans="1:16" outlineLevel="2" x14ac:dyDescent="0.2">
      <c r="A2828" s="5">
        <v>46149</v>
      </c>
      <c r="B2828" s="2">
        <v>158927</v>
      </c>
      <c r="C2828" s="2">
        <v>315</v>
      </c>
      <c r="D2828" s="2" t="s">
        <v>203</v>
      </c>
      <c r="E2828" s="2" t="s">
        <v>238</v>
      </c>
      <c r="F2828" s="2" t="s">
        <v>55</v>
      </c>
      <c r="G2828" s="2" t="s">
        <v>23</v>
      </c>
      <c r="H2828" s="2" t="s">
        <v>23</v>
      </c>
      <c r="I2828" s="2" t="s">
        <v>23</v>
      </c>
      <c r="J2828" s="2">
        <v>2</v>
      </c>
      <c r="K2828" s="2" t="s">
        <v>48</v>
      </c>
      <c r="L2828" s="2">
        <v>600</v>
      </c>
      <c r="M2828" s="2" t="s">
        <v>112</v>
      </c>
      <c r="N2828" s="2">
        <v>5</v>
      </c>
      <c r="O2828" s="2">
        <v>12491.6</v>
      </c>
      <c r="P2828" s="2">
        <v>2498.3200000000002</v>
      </c>
    </row>
    <row r="2829" spans="1:16" outlineLevel="1" x14ac:dyDescent="0.2">
      <c r="A2829" s="5"/>
      <c r="D2829" s="3" t="s">
        <v>735</v>
      </c>
      <c r="N2829" s="2">
        <f>SUBTOTAL(9,N2827:N2828)</f>
        <v>7</v>
      </c>
      <c r="O2829" s="2">
        <f>SUBTOTAL(9,O2827:O2828)</f>
        <v>24022.300000000003</v>
      </c>
      <c r="P2829" s="2">
        <f>+O2829/N2829</f>
        <v>3431.7571428571432</v>
      </c>
    </row>
    <row r="2830" spans="1:16" outlineLevel="2" x14ac:dyDescent="0.2">
      <c r="A2830" s="5">
        <v>46150</v>
      </c>
      <c r="B2830" s="2">
        <v>158928</v>
      </c>
      <c r="C2830" s="2">
        <v>1</v>
      </c>
      <c r="D2830" s="2" t="s">
        <v>57</v>
      </c>
      <c r="E2830" s="2" t="s">
        <v>259</v>
      </c>
      <c r="F2830" s="2" t="s">
        <v>55</v>
      </c>
      <c r="G2830" s="2" t="s">
        <v>23</v>
      </c>
      <c r="H2830" s="2" t="s">
        <v>23</v>
      </c>
      <c r="I2830" s="2" t="s">
        <v>23</v>
      </c>
      <c r="J2830" s="2">
        <v>1</v>
      </c>
      <c r="K2830" s="2" t="s">
        <v>24</v>
      </c>
      <c r="L2830" s="2">
        <v>2143</v>
      </c>
      <c r="M2830" s="2" t="s">
        <v>411</v>
      </c>
      <c r="N2830" s="2">
        <v>1</v>
      </c>
      <c r="O2830" s="2">
        <v>37035.56</v>
      </c>
      <c r="P2830" s="2">
        <v>37035.56</v>
      </c>
    </row>
    <row r="2831" spans="1:16" outlineLevel="1" x14ac:dyDescent="0.2">
      <c r="A2831" s="5"/>
      <c r="D2831" s="3" t="s">
        <v>716</v>
      </c>
      <c r="N2831" s="2">
        <f>SUBTOTAL(9,N2830:N2830)</f>
        <v>1</v>
      </c>
      <c r="O2831" s="2">
        <f>SUBTOTAL(9,O2830:O2830)</f>
        <v>37035.56</v>
      </c>
      <c r="P2831" s="2">
        <f>+O2831/N2831</f>
        <v>37035.56</v>
      </c>
    </row>
    <row r="2832" spans="1:16" outlineLevel="2" x14ac:dyDescent="0.2">
      <c r="A2832" s="5">
        <v>46248</v>
      </c>
      <c r="B2832" s="2">
        <v>158931</v>
      </c>
      <c r="C2832" s="2">
        <v>315</v>
      </c>
      <c r="D2832" s="2" t="s">
        <v>67</v>
      </c>
      <c r="E2832" s="2" t="s">
        <v>68</v>
      </c>
      <c r="F2832" s="2" t="s">
        <v>72</v>
      </c>
      <c r="G2832" s="2" t="s">
        <v>23</v>
      </c>
      <c r="H2832" s="2" t="s">
        <v>23</v>
      </c>
      <c r="I2832" s="2" t="s">
        <v>23</v>
      </c>
      <c r="J2832" s="2">
        <v>2</v>
      </c>
      <c r="K2832" s="2" t="s">
        <v>48</v>
      </c>
      <c r="L2832" s="2">
        <v>1921</v>
      </c>
      <c r="M2832" s="2" t="s">
        <v>490</v>
      </c>
      <c r="N2832" s="2">
        <v>24</v>
      </c>
      <c r="O2832" s="2">
        <v>75636.06</v>
      </c>
      <c r="P2832" s="2">
        <v>3151.5</v>
      </c>
    </row>
    <row r="2833" spans="1:16" outlineLevel="1" x14ac:dyDescent="0.2">
      <c r="A2833" s="5"/>
      <c r="D2833" s="3" t="s">
        <v>720</v>
      </c>
      <c r="N2833" s="2">
        <f>SUBTOTAL(9,N2832:N2832)</f>
        <v>24</v>
      </c>
      <c r="O2833" s="2">
        <f>SUBTOTAL(9,O2832:O2832)</f>
        <v>75636.06</v>
      </c>
      <c r="P2833" s="2">
        <f>+O2833/N2833</f>
        <v>3151.5025000000001</v>
      </c>
    </row>
    <row r="2834" spans="1:16" outlineLevel="2" x14ac:dyDescent="0.2">
      <c r="A2834" s="5">
        <v>46139</v>
      </c>
      <c r="B2834" s="2">
        <v>158934</v>
      </c>
      <c r="C2834" s="2">
        <v>1</v>
      </c>
      <c r="D2834" s="2" t="s">
        <v>474</v>
      </c>
      <c r="E2834" s="2" t="s">
        <v>475</v>
      </c>
      <c r="F2834" s="2" t="s">
        <v>47</v>
      </c>
      <c r="G2834" s="2" t="s">
        <v>22</v>
      </c>
      <c r="H2834" s="2" t="s">
        <v>23</v>
      </c>
      <c r="I2834" s="2" t="s">
        <v>23</v>
      </c>
      <c r="J2834" s="2">
        <v>41</v>
      </c>
      <c r="K2834" s="2" t="s">
        <v>129</v>
      </c>
      <c r="L2834" s="2">
        <v>2338</v>
      </c>
      <c r="M2834" s="2" t="s">
        <v>417</v>
      </c>
      <c r="N2834" s="2">
        <v>351</v>
      </c>
      <c r="O2834" s="2">
        <v>412347.16</v>
      </c>
      <c r="P2834" s="2">
        <v>1174.78</v>
      </c>
    </row>
    <row r="2835" spans="1:16" outlineLevel="1" x14ac:dyDescent="0.2">
      <c r="A2835" s="5"/>
      <c r="D2835" s="3" t="s">
        <v>780</v>
      </c>
      <c r="N2835" s="2">
        <f>SUBTOTAL(9,N2834:N2834)</f>
        <v>351</v>
      </c>
      <c r="O2835" s="2">
        <f>SUBTOTAL(9,O2834:O2834)</f>
        <v>412347.16</v>
      </c>
      <c r="P2835" s="2">
        <f>+O2835/N2835</f>
        <v>1174.7782336182336</v>
      </c>
    </row>
    <row r="2836" spans="1:16" outlineLevel="2" x14ac:dyDescent="0.2">
      <c r="A2836" s="5">
        <v>46139</v>
      </c>
      <c r="B2836" s="2">
        <v>158934</v>
      </c>
      <c r="C2836" s="2">
        <v>2</v>
      </c>
      <c r="D2836" s="2" t="s">
        <v>470</v>
      </c>
      <c r="E2836" s="2" t="s">
        <v>23</v>
      </c>
      <c r="F2836" s="2" t="s">
        <v>47</v>
      </c>
      <c r="G2836" s="2" t="s">
        <v>22</v>
      </c>
      <c r="H2836" s="2" t="s">
        <v>23</v>
      </c>
      <c r="I2836" s="2" t="s">
        <v>23</v>
      </c>
      <c r="J2836" s="2">
        <v>86</v>
      </c>
      <c r="K2836" s="2" t="s">
        <v>73</v>
      </c>
      <c r="L2836" s="2">
        <v>2338</v>
      </c>
      <c r="M2836" s="2" t="s">
        <v>417</v>
      </c>
      <c r="N2836" s="2">
        <v>8</v>
      </c>
      <c r="O2836" s="2">
        <v>129198.85</v>
      </c>
      <c r="P2836" s="2">
        <v>16149.86</v>
      </c>
    </row>
    <row r="2837" spans="1:16" outlineLevel="1" x14ac:dyDescent="0.2">
      <c r="A2837" s="5"/>
      <c r="D2837" s="3" t="s">
        <v>779</v>
      </c>
      <c r="N2837" s="2">
        <f>SUBTOTAL(9,N2836:N2836)</f>
        <v>8</v>
      </c>
      <c r="O2837" s="2">
        <f>SUBTOTAL(9,O2836:O2836)</f>
        <v>129198.85</v>
      </c>
      <c r="P2837" s="2">
        <f>+O2837/N2837</f>
        <v>16149.856250000001</v>
      </c>
    </row>
    <row r="2838" spans="1:16" outlineLevel="2" x14ac:dyDescent="0.2">
      <c r="A2838" s="5">
        <v>46139</v>
      </c>
      <c r="B2838" s="2">
        <v>158935</v>
      </c>
      <c r="C2838" s="2">
        <v>1</v>
      </c>
      <c r="D2838" s="2" t="s">
        <v>26</v>
      </c>
      <c r="E2838" s="2" t="s">
        <v>51</v>
      </c>
      <c r="F2838" s="2" t="s">
        <v>52</v>
      </c>
      <c r="G2838" s="2" t="s">
        <v>22</v>
      </c>
      <c r="H2838" s="2" t="s">
        <v>23</v>
      </c>
      <c r="I2838" s="2" t="s">
        <v>23</v>
      </c>
      <c r="J2838" s="2">
        <v>5</v>
      </c>
      <c r="K2838" s="2" t="s">
        <v>27</v>
      </c>
      <c r="L2838" s="2">
        <v>3048</v>
      </c>
      <c r="M2838" s="2" t="s">
        <v>53</v>
      </c>
      <c r="N2838" s="2">
        <v>71</v>
      </c>
      <c r="O2838" s="2">
        <v>482807.29</v>
      </c>
      <c r="P2838" s="2">
        <v>6800.1</v>
      </c>
    </row>
    <row r="2839" spans="1:16" outlineLevel="1" x14ac:dyDescent="0.2">
      <c r="A2839" s="5"/>
      <c r="D2839" s="3" t="s">
        <v>711</v>
      </c>
      <c r="N2839" s="2">
        <f>SUBTOTAL(9,N2838:N2838)</f>
        <v>71</v>
      </c>
      <c r="O2839" s="2">
        <f>SUBTOTAL(9,O2838:O2838)</f>
        <v>482807.29</v>
      </c>
      <c r="P2839" s="2">
        <f>+O2839/N2839</f>
        <v>6800.1026760563382</v>
      </c>
    </row>
    <row r="2840" spans="1:16" outlineLevel="2" x14ac:dyDescent="0.2">
      <c r="A2840" s="5">
        <v>46139</v>
      </c>
      <c r="B2840" s="2">
        <v>158936</v>
      </c>
      <c r="C2840" s="2">
        <v>1</v>
      </c>
      <c r="D2840" s="2" t="s">
        <v>143</v>
      </c>
      <c r="E2840" s="2" t="s">
        <v>23</v>
      </c>
      <c r="F2840" s="2" t="s">
        <v>144</v>
      </c>
      <c r="G2840" s="2" t="s">
        <v>22</v>
      </c>
      <c r="H2840" s="2" t="s">
        <v>23</v>
      </c>
      <c r="I2840" s="2" t="s">
        <v>23</v>
      </c>
      <c r="J2840" s="2">
        <v>1</v>
      </c>
      <c r="K2840" s="2" t="s">
        <v>24</v>
      </c>
      <c r="L2840" s="2">
        <v>2101</v>
      </c>
      <c r="M2840" s="2" t="s">
        <v>145</v>
      </c>
      <c r="N2840" s="2">
        <v>179</v>
      </c>
      <c r="O2840" s="2">
        <v>2327116.9500000002</v>
      </c>
      <c r="P2840" s="2">
        <v>13000.65</v>
      </c>
    </row>
    <row r="2841" spans="1:16" outlineLevel="1" x14ac:dyDescent="0.2">
      <c r="A2841" s="5"/>
      <c r="D2841" s="3" t="s">
        <v>706</v>
      </c>
      <c r="N2841" s="2">
        <f>SUBTOTAL(9,N2840:N2840)</f>
        <v>179</v>
      </c>
      <c r="O2841" s="2">
        <f>SUBTOTAL(9,O2840:O2840)</f>
        <v>2327116.9500000002</v>
      </c>
      <c r="P2841" s="2">
        <f>+O2841/N2841</f>
        <v>13000.653351955309</v>
      </c>
    </row>
    <row r="2842" spans="1:16" outlineLevel="2" x14ac:dyDescent="0.2">
      <c r="A2842" s="5">
        <v>46139</v>
      </c>
      <c r="B2842" s="2">
        <v>158937</v>
      </c>
      <c r="C2842" s="2">
        <v>1</v>
      </c>
      <c r="D2842" s="2" t="s">
        <v>45</v>
      </c>
      <c r="E2842" s="2" t="s">
        <v>228</v>
      </c>
      <c r="F2842" s="2" t="s">
        <v>47</v>
      </c>
      <c r="G2842" s="2" t="s">
        <v>22</v>
      </c>
      <c r="H2842" s="2" t="s">
        <v>23</v>
      </c>
      <c r="I2842" s="2" t="s">
        <v>23</v>
      </c>
      <c r="J2842" s="2">
        <v>41</v>
      </c>
      <c r="K2842" s="2" t="s">
        <v>129</v>
      </c>
      <c r="L2842" s="2">
        <v>1964</v>
      </c>
      <c r="M2842" s="2" t="s">
        <v>49</v>
      </c>
      <c r="N2842" s="2">
        <v>24</v>
      </c>
      <c r="O2842" s="2">
        <v>450137.1</v>
      </c>
      <c r="P2842" s="2">
        <v>18755.71</v>
      </c>
    </row>
    <row r="2843" spans="1:16" outlineLevel="1" x14ac:dyDescent="0.2">
      <c r="A2843" s="5"/>
      <c r="D2843" s="3" t="s">
        <v>733</v>
      </c>
      <c r="N2843" s="2">
        <f>SUBTOTAL(9,N2842:N2842)</f>
        <v>24</v>
      </c>
      <c r="O2843" s="2">
        <f>SUBTOTAL(9,O2842:O2842)</f>
        <v>450137.1</v>
      </c>
      <c r="P2843" s="2">
        <f>+O2843/N2843</f>
        <v>18755.712499999998</v>
      </c>
    </row>
    <row r="2844" spans="1:16" outlineLevel="2" x14ac:dyDescent="0.2">
      <c r="A2844" s="5">
        <v>46139</v>
      </c>
      <c r="B2844" s="2">
        <v>158938</v>
      </c>
      <c r="C2844" s="2">
        <v>1</v>
      </c>
      <c r="D2844" s="2" t="s">
        <v>207</v>
      </c>
      <c r="E2844" s="2" t="s">
        <v>23</v>
      </c>
      <c r="F2844" s="2" t="s">
        <v>47</v>
      </c>
      <c r="G2844" s="2" t="s">
        <v>22</v>
      </c>
      <c r="H2844" s="2" t="s">
        <v>23</v>
      </c>
      <c r="I2844" s="2" t="s">
        <v>23</v>
      </c>
      <c r="J2844" s="2">
        <v>1</v>
      </c>
      <c r="K2844" s="2" t="s">
        <v>24</v>
      </c>
      <c r="L2844" s="2">
        <v>25213</v>
      </c>
      <c r="M2844" s="2" t="s">
        <v>130</v>
      </c>
      <c r="N2844" s="2">
        <v>3</v>
      </c>
      <c r="O2844" s="2">
        <v>244588.43</v>
      </c>
      <c r="P2844" s="2">
        <v>81529.48</v>
      </c>
    </row>
    <row r="2845" spans="1:16" outlineLevel="1" x14ac:dyDescent="0.2">
      <c r="A2845" s="5"/>
      <c r="D2845" s="3" t="s">
        <v>699</v>
      </c>
      <c r="N2845" s="2">
        <f>SUBTOTAL(9,N2844:N2844)</f>
        <v>3</v>
      </c>
      <c r="O2845" s="2">
        <f>SUBTOTAL(9,O2844:O2844)</f>
        <v>244588.43</v>
      </c>
      <c r="P2845" s="2">
        <f>+O2845/N2845</f>
        <v>81529.476666666669</v>
      </c>
    </row>
    <row r="2846" spans="1:16" outlineLevel="2" x14ac:dyDescent="0.2">
      <c r="A2846" s="5">
        <v>46139</v>
      </c>
      <c r="B2846" s="2">
        <v>158938</v>
      </c>
      <c r="C2846" s="2">
        <v>2</v>
      </c>
      <c r="D2846" s="2" t="s">
        <v>128</v>
      </c>
      <c r="E2846" s="2" t="s">
        <v>23</v>
      </c>
      <c r="F2846" s="2" t="s">
        <v>47</v>
      </c>
      <c r="G2846" s="2" t="s">
        <v>22</v>
      </c>
      <c r="H2846" s="2" t="s">
        <v>23</v>
      </c>
      <c r="I2846" s="2" t="s">
        <v>23</v>
      </c>
      <c r="J2846" s="2">
        <v>1</v>
      </c>
      <c r="K2846" s="2" t="s">
        <v>24</v>
      </c>
      <c r="L2846" s="2">
        <v>25213</v>
      </c>
      <c r="M2846" s="2" t="s">
        <v>130</v>
      </c>
      <c r="N2846" s="2">
        <v>3</v>
      </c>
      <c r="O2846" s="2">
        <v>266359.53000000003</v>
      </c>
      <c r="P2846" s="2">
        <v>88786.51</v>
      </c>
    </row>
    <row r="2847" spans="1:16" outlineLevel="2" x14ac:dyDescent="0.2">
      <c r="A2847" s="5">
        <v>46139</v>
      </c>
      <c r="B2847" s="2">
        <v>158938</v>
      </c>
      <c r="C2847" s="2">
        <v>3</v>
      </c>
      <c r="D2847" s="2" t="s">
        <v>128</v>
      </c>
      <c r="E2847" s="2" t="s">
        <v>23</v>
      </c>
      <c r="F2847" s="2" t="s">
        <v>47</v>
      </c>
      <c r="G2847" s="2" t="s">
        <v>22</v>
      </c>
      <c r="H2847" s="2" t="s">
        <v>23</v>
      </c>
      <c r="I2847" s="2" t="s">
        <v>23</v>
      </c>
      <c r="J2847" s="2">
        <v>41</v>
      </c>
      <c r="K2847" s="2" t="s">
        <v>129</v>
      </c>
      <c r="L2847" s="2">
        <v>25213</v>
      </c>
      <c r="M2847" s="2" t="s">
        <v>130</v>
      </c>
      <c r="N2847" s="2">
        <v>50</v>
      </c>
      <c r="O2847" s="2">
        <v>185375.11</v>
      </c>
      <c r="P2847" s="2">
        <v>3707.5</v>
      </c>
    </row>
    <row r="2848" spans="1:16" outlineLevel="1" x14ac:dyDescent="0.2">
      <c r="A2848" s="5"/>
      <c r="D2848" s="3" t="s">
        <v>732</v>
      </c>
      <c r="N2848" s="2">
        <f>SUBTOTAL(9,N2846:N2847)</f>
        <v>53</v>
      </c>
      <c r="O2848" s="2">
        <f>SUBTOTAL(9,O2846:O2847)</f>
        <v>451734.64</v>
      </c>
      <c r="P2848" s="2">
        <f>+O2848/N2848</f>
        <v>8523.2950943396227</v>
      </c>
    </row>
    <row r="2849" spans="1:16" outlineLevel="2" x14ac:dyDescent="0.2">
      <c r="A2849" s="5">
        <v>46139</v>
      </c>
      <c r="B2849" s="2">
        <v>158938</v>
      </c>
      <c r="C2849" s="2">
        <v>4</v>
      </c>
      <c r="D2849" s="2" t="s">
        <v>207</v>
      </c>
      <c r="E2849" s="2" t="s">
        <v>23</v>
      </c>
      <c r="F2849" s="2" t="s">
        <v>47</v>
      </c>
      <c r="G2849" s="2" t="s">
        <v>22</v>
      </c>
      <c r="H2849" s="2" t="s">
        <v>208</v>
      </c>
      <c r="I2849" s="2" t="s">
        <v>23</v>
      </c>
      <c r="J2849" s="2">
        <v>41</v>
      </c>
      <c r="K2849" s="2" t="s">
        <v>129</v>
      </c>
      <c r="L2849" s="2">
        <v>25213</v>
      </c>
      <c r="M2849" s="2" t="s">
        <v>130</v>
      </c>
      <c r="N2849" s="2">
        <v>50</v>
      </c>
      <c r="O2849" s="2">
        <v>174014.47</v>
      </c>
      <c r="P2849" s="2">
        <v>3480.29</v>
      </c>
    </row>
    <row r="2850" spans="1:16" outlineLevel="1" x14ac:dyDescent="0.2">
      <c r="A2850" s="5"/>
      <c r="D2850" s="3" t="s">
        <v>699</v>
      </c>
      <c r="N2850" s="2">
        <f>SUBTOTAL(9,N2849:N2849)</f>
        <v>50</v>
      </c>
      <c r="O2850" s="2">
        <f>SUBTOTAL(9,O2849:O2849)</f>
        <v>174014.47</v>
      </c>
      <c r="P2850" s="2">
        <f>+O2850/N2850</f>
        <v>3480.2894000000001</v>
      </c>
    </row>
    <row r="2851" spans="1:16" outlineLevel="2" x14ac:dyDescent="0.2">
      <c r="A2851" s="5">
        <v>46139</v>
      </c>
      <c r="B2851" s="2">
        <v>158939</v>
      </c>
      <c r="C2851" s="2">
        <v>1</v>
      </c>
      <c r="D2851" s="2" t="s">
        <v>60</v>
      </c>
      <c r="E2851" s="2" t="s">
        <v>346</v>
      </c>
      <c r="F2851" s="2" t="s">
        <v>31</v>
      </c>
      <c r="G2851" s="2" t="s">
        <v>22</v>
      </c>
      <c r="H2851" s="2" t="s">
        <v>23</v>
      </c>
      <c r="I2851" s="2" t="s">
        <v>23</v>
      </c>
      <c r="J2851" s="2">
        <v>78</v>
      </c>
      <c r="K2851" s="2" t="s">
        <v>212</v>
      </c>
      <c r="L2851" s="2">
        <v>226</v>
      </c>
      <c r="M2851" s="2" t="s">
        <v>59</v>
      </c>
      <c r="N2851" s="2">
        <v>91</v>
      </c>
      <c r="O2851" s="2">
        <v>2012659.14</v>
      </c>
      <c r="P2851" s="2">
        <v>22117.13</v>
      </c>
    </row>
    <row r="2852" spans="1:16" outlineLevel="1" x14ac:dyDescent="0.2">
      <c r="A2852" s="5"/>
      <c r="D2852" s="3" t="s">
        <v>728</v>
      </c>
      <c r="N2852" s="2">
        <f>SUBTOTAL(9,N2851:N2851)</f>
        <v>91</v>
      </c>
      <c r="O2852" s="2">
        <f>SUBTOTAL(9,O2851:O2851)</f>
        <v>2012659.14</v>
      </c>
      <c r="P2852" s="2">
        <f>+O2852/N2852</f>
        <v>22117.133406593406</v>
      </c>
    </row>
    <row r="2853" spans="1:16" outlineLevel="2" x14ac:dyDescent="0.2">
      <c r="A2853" s="5">
        <v>46139</v>
      </c>
      <c r="B2853" s="2">
        <v>158939</v>
      </c>
      <c r="C2853" s="2">
        <v>2</v>
      </c>
      <c r="D2853" s="2" t="s">
        <v>83</v>
      </c>
      <c r="E2853" s="2" t="s">
        <v>84</v>
      </c>
      <c r="F2853" s="2" t="s">
        <v>31</v>
      </c>
      <c r="G2853" s="2" t="s">
        <v>337</v>
      </c>
      <c r="H2853" s="2" t="s">
        <v>23</v>
      </c>
      <c r="I2853" s="2" t="s">
        <v>23</v>
      </c>
      <c r="J2853" s="2">
        <v>35</v>
      </c>
      <c r="K2853" s="2" t="s">
        <v>403</v>
      </c>
      <c r="L2853" s="2">
        <v>226</v>
      </c>
      <c r="M2853" s="2" t="s">
        <v>59</v>
      </c>
      <c r="N2853" s="2">
        <v>106</v>
      </c>
      <c r="O2853" s="2">
        <v>3001126.55</v>
      </c>
      <c r="P2853" s="2">
        <v>28312.51</v>
      </c>
    </row>
    <row r="2854" spans="1:16" outlineLevel="1" x14ac:dyDescent="0.2">
      <c r="A2854" s="5"/>
      <c r="D2854" s="3" t="s">
        <v>701</v>
      </c>
      <c r="N2854" s="2">
        <f>SUBTOTAL(9,N2853:N2853)</f>
        <v>106</v>
      </c>
      <c r="O2854" s="2">
        <f>SUBTOTAL(9,O2853:O2853)</f>
        <v>3001126.55</v>
      </c>
      <c r="P2854" s="2">
        <f>+O2854/N2854</f>
        <v>28312.514622641509</v>
      </c>
    </row>
    <row r="2855" spans="1:16" outlineLevel="2" x14ac:dyDescent="0.2">
      <c r="A2855" s="5">
        <v>46101</v>
      </c>
      <c r="B2855" s="2">
        <v>158940</v>
      </c>
      <c r="C2855" s="2">
        <v>1</v>
      </c>
      <c r="D2855" s="2" t="s">
        <v>362</v>
      </c>
      <c r="E2855" s="2" t="s">
        <v>23</v>
      </c>
      <c r="F2855" s="2" t="s">
        <v>23</v>
      </c>
      <c r="G2855" s="2" t="s">
        <v>23</v>
      </c>
      <c r="H2855" s="2" t="s">
        <v>23</v>
      </c>
      <c r="I2855" s="2" t="s">
        <v>23</v>
      </c>
      <c r="J2855" s="2">
        <v>1</v>
      </c>
      <c r="K2855" s="2" t="s">
        <v>24</v>
      </c>
      <c r="L2855" s="2">
        <v>1833</v>
      </c>
      <c r="M2855" s="2" t="s">
        <v>142</v>
      </c>
      <c r="N2855" s="2">
        <v>6</v>
      </c>
      <c r="O2855" s="2">
        <v>54194.34</v>
      </c>
      <c r="P2855" s="2">
        <v>9032.39</v>
      </c>
    </row>
    <row r="2856" spans="1:16" outlineLevel="1" x14ac:dyDescent="0.2">
      <c r="A2856" s="5"/>
      <c r="D2856" s="3" t="s">
        <v>762</v>
      </c>
      <c r="N2856" s="2">
        <f>SUBTOTAL(9,N2855:N2855)</f>
        <v>6</v>
      </c>
      <c r="O2856" s="2">
        <f>SUBTOTAL(9,O2855:O2855)</f>
        <v>54194.34</v>
      </c>
      <c r="P2856" s="2">
        <f>+O2856/N2856</f>
        <v>9032.39</v>
      </c>
    </row>
    <row r="2857" spans="1:16" outlineLevel="2" x14ac:dyDescent="0.2">
      <c r="A2857" s="5">
        <v>46150</v>
      </c>
      <c r="B2857" s="2">
        <v>158940</v>
      </c>
      <c r="C2857" s="2">
        <v>2</v>
      </c>
      <c r="D2857" s="2" t="s">
        <v>140</v>
      </c>
      <c r="E2857" s="2" t="s">
        <v>55</v>
      </c>
      <c r="F2857" s="2" t="s">
        <v>23</v>
      </c>
      <c r="G2857" s="2" t="s">
        <v>23</v>
      </c>
      <c r="H2857" s="2" t="s">
        <v>23</v>
      </c>
      <c r="I2857" s="2" t="s">
        <v>23</v>
      </c>
      <c r="J2857" s="2">
        <v>1</v>
      </c>
      <c r="K2857" s="2" t="s">
        <v>24</v>
      </c>
      <c r="L2857" s="2">
        <v>1833</v>
      </c>
      <c r="M2857" s="2" t="s">
        <v>142</v>
      </c>
      <c r="N2857" s="2">
        <v>5</v>
      </c>
      <c r="O2857" s="2">
        <v>32093.81</v>
      </c>
      <c r="P2857" s="2">
        <v>6418.76</v>
      </c>
    </row>
    <row r="2858" spans="1:16" outlineLevel="1" x14ac:dyDescent="0.2">
      <c r="A2858" s="5"/>
      <c r="D2858" s="3" t="s">
        <v>696</v>
      </c>
      <c r="N2858" s="2">
        <f>SUBTOTAL(9,N2857:N2857)</f>
        <v>5</v>
      </c>
      <c r="O2858" s="2">
        <f>SUBTOTAL(9,O2857:O2857)</f>
        <v>32093.81</v>
      </c>
      <c r="P2858" s="2">
        <f>+O2858/N2858</f>
        <v>6418.7620000000006</v>
      </c>
    </row>
    <row r="2859" spans="1:16" outlineLevel="2" x14ac:dyDescent="0.2">
      <c r="A2859" s="5">
        <v>46146</v>
      </c>
      <c r="B2859" s="2">
        <v>158952</v>
      </c>
      <c r="C2859" s="2">
        <v>2</v>
      </c>
      <c r="D2859" s="2" t="s">
        <v>175</v>
      </c>
      <c r="E2859" s="2" t="s">
        <v>497</v>
      </c>
      <c r="F2859" s="2" t="s">
        <v>40</v>
      </c>
      <c r="G2859" s="2" t="s">
        <v>22</v>
      </c>
      <c r="H2859" s="2" t="s">
        <v>23</v>
      </c>
      <c r="I2859" s="2" t="s">
        <v>23</v>
      </c>
      <c r="J2859" s="2">
        <v>5</v>
      </c>
      <c r="K2859" s="2" t="s">
        <v>27</v>
      </c>
      <c r="L2859" s="2">
        <v>2521</v>
      </c>
      <c r="M2859" s="2" t="s">
        <v>82</v>
      </c>
      <c r="N2859" s="2">
        <v>100</v>
      </c>
      <c r="O2859" s="2">
        <v>2684240.5499999998</v>
      </c>
      <c r="P2859" s="2">
        <v>26842.41</v>
      </c>
    </row>
    <row r="2860" spans="1:16" outlineLevel="1" x14ac:dyDescent="0.2">
      <c r="A2860" s="5"/>
      <c r="D2860" s="3" t="s">
        <v>725</v>
      </c>
      <c r="N2860" s="2">
        <f>SUBTOTAL(9,N2859:N2859)</f>
        <v>100</v>
      </c>
      <c r="O2860" s="2">
        <f>SUBTOTAL(9,O2859:O2859)</f>
        <v>2684240.5499999998</v>
      </c>
      <c r="P2860" s="2">
        <f>+O2860/N2860</f>
        <v>26842.405499999997</v>
      </c>
    </row>
    <row r="2861" spans="1:16" outlineLevel="2" x14ac:dyDescent="0.2">
      <c r="A2861" s="5">
        <v>46139</v>
      </c>
      <c r="B2861" s="2">
        <v>158953</v>
      </c>
      <c r="C2861" s="2">
        <v>1</v>
      </c>
      <c r="D2861" s="2" t="s">
        <v>102</v>
      </c>
      <c r="E2861" s="2" t="s">
        <v>23</v>
      </c>
      <c r="F2861" s="2" t="s">
        <v>40</v>
      </c>
      <c r="G2861" s="2" t="s">
        <v>22</v>
      </c>
      <c r="H2861" s="2" t="s">
        <v>23</v>
      </c>
      <c r="I2861" s="2" t="s">
        <v>23</v>
      </c>
      <c r="J2861" s="2">
        <v>1</v>
      </c>
      <c r="K2861" s="2" t="s">
        <v>24</v>
      </c>
      <c r="L2861" s="2">
        <v>25120</v>
      </c>
      <c r="M2861" s="2" t="s">
        <v>103</v>
      </c>
      <c r="N2861" s="2">
        <v>252</v>
      </c>
      <c r="O2861" s="2">
        <v>10329541.42</v>
      </c>
      <c r="P2861" s="2">
        <v>40990.239999999998</v>
      </c>
    </row>
    <row r="2862" spans="1:16" outlineLevel="1" x14ac:dyDescent="0.2">
      <c r="A2862" s="5"/>
      <c r="D2862" s="3" t="s">
        <v>707</v>
      </c>
      <c r="N2862" s="2">
        <f>SUBTOTAL(9,N2861:N2861)</f>
        <v>252</v>
      </c>
      <c r="O2862" s="2">
        <f>SUBTOTAL(9,O2861:O2861)</f>
        <v>10329541.42</v>
      </c>
      <c r="P2862" s="2">
        <f>+O2862/N2862</f>
        <v>40990.243730158727</v>
      </c>
    </row>
    <row r="2863" spans="1:16" outlineLevel="2" x14ac:dyDescent="0.2">
      <c r="A2863" s="5">
        <v>46139</v>
      </c>
      <c r="B2863" s="2">
        <v>158958</v>
      </c>
      <c r="C2863" s="2">
        <v>1</v>
      </c>
      <c r="D2863" s="2" t="s">
        <v>197</v>
      </c>
      <c r="E2863" s="2" t="s">
        <v>498</v>
      </c>
      <c r="F2863" s="2" t="s">
        <v>63</v>
      </c>
      <c r="G2863" s="2" t="s">
        <v>22</v>
      </c>
      <c r="H2863" s="2" t="s">
        <v>23</v>
      </c>
      <c r="I2863" s="2" t="s">
        <v>23</v>
      </c>
      <c r="J2863" s="2">
        <v>1</v>
      </c>
      <c r="K2863" s="2" t="s">
        <v>24</v>
      </c>
      <c r="L2863" s="2">
        <v>2582</v>
      </c>
      <c r="M2863" s="2" t="s">
        <v>400</v>
      </c>
      <c r="N2863" s="2">
        <v>151</v>
      </c>
      <c r="O2863" s="2">
        <v>6013442.75</v>
      </c>
      <c r="P2863" s="2">
        <v>39824.120000000003</v>
      </c>
    </row>
    <row r="2864" spans="1:16" outlineLevel="2" x14ac:dyDescent="0.2">
      <c r="A2864" s="5">
        <v>46171</v>
      </c>
      <c r="B2864" s="2">
        <v>158958</v>
      </c>
      <c r="C2864" s="2">
        <v>2</v>
      </c>
      <c r="D2864" s="2" t="s">
        <v>197</v>
      </c>
      <c r="E2864" s="2" t="s">
        <v>179</v>
      </c>
      <c r="F2864" s="2" t="s">
        <v>63</v>
      </c>
      <c r="G2864" s="2" t="s">
        <v>22</v>
      </c>
      <c r="H2864" s="2" t="s">
        <v>23</v>
      </c>
      <c r="I2864" s="2" t="s">
        <v>23</v>
      </c>
      <c r="J2864" s="2">
        <v>1</v>
      </c>
      <c r="K2864" s="2" t="s">
        <v>24</v>
      </c>
      <c r="L2864" s="2">
        <v>2582</v>
      </c>
      <c r="M2864" s="2" t="s">
        <v>400</v>
      </c>
      <c r="N2864" s="2">
        <v>17</v>
      </c>
      <c r="O2864" s="2">
        <v>560200.56000000006</v>
      </c>
      <c r="P2864" s="2">
        <v>32952.97</v>
      </c>
    </row>
    <row r="2865" spans="1:16" outlineLevel="2" x14ac:dyDescent="0.2">
      <c r="A2865" s="5">
        <v>46139</v>
      </c>
      <c r="B2865" s="2">
        <v>158958</v>
      </c>
      <c r="C2865" s="2">
        <v>3</v>
      </c>
      <c r="D2865" s="2" t="s">
        <v>197</v>
      </c>
      <c r="E2865" s="2" t="s">
        <v>499</v>
      </c>
      <c r="F2865" s="2" t="s">
        <v>63</v>
      </c>
      <c r="G2865" s="2" t="s">
        <v>22</v>
      </c>
      <c r="H2865" s="2" t="s">
        <v>23</v>
      </c>
      <c r="I2865" s="2" t="s">
        <v>23</v>
      </c>
      <c r="J2865" s="2">
        <v>1</v>
      </c>
      <c r="K2865" s="2" t="s">
        <v>24</v>
      </c>
      <c r="L2865" s="2">
        <v>2582</v>
      </c>
      <c r="M2865" s="2" t="s">
        <v>400</v>
      </c>
      <c r="N2865" s="2">
        <v>148</v>
      </c>
      <c r="O2865" s="2">
        <v>6029740.1699999999</v>
      </c>
      <c r="P2865" s="2">
        <v>40741.49</v>
      </c>
    </row>
    <row r="2866" spans="1:16" outlineLevel="1" x14ac:dyDescent="0.2">
      <c r="A2866" s="5"/>
      <c r="D2866" s="3" t="s">
        <v>734</v>
      </c>
      <c r="N2866" s="2">
        <f>SUBTOTAL(9,N2863:N2865)</f>
        <v>316</v>
      </c>
      <c r="O2866" s="2">
        <f>SUBTOTAL(9,O2863:O2865)</f>
        <v>12603383.48</v>
      </c>
      <c r="P2866" s="2">
        <f>+O2866/N2866</f>
        <v>39884.12493670886</v>
      </c>
    </row>
    <row r="2867" spans="1:16" outlineLevel="2" x14ac:dyDescent="0.2">
      <c r="A2867" s="5">
        <v>46148</v>
      </c>
      <c r="B2867" s="2">
        <v>158958</v>
      </c>
      <c r="C2867" s="2">
        <v>4</v>
      </c>
      <c r="D2867" s="2" t="s">
        <v>500</v>
      </c>
      <c r="E2867" s="2" t="s">
        <v>111</v>
      </c>
      <c r="F2867" s="2" t="s">
        <v>63</v>
      </c>
      <c r="G2867" s="2" t="s">
        <v>22</v>
      </c>
      <c r="H2867" s="2" t="s">
        <v>23</v>
      </c>
      <c r="I2867" s="2" t="s">
        <v>23</v>
      </c>
      <c r="J2867" s="2">
        <v>40</v>
      </c>
      <c r="K2867" s="2" t="s">
        <v>43</v>
      </c>
      <c r="L2867" s="2">
        <v>2582</v>
      </c>
      <c r="M2867" s="2" t="s">
        <v>400</v>
      </c>
      <c r="N2867" s="2">
        <v>97</v>
      </c>
      <c r="O2867" s="2">
        <v>3545396.28</v>
      </c>
      <c r="P2867" s="2">
        <v>36550.480000000003</v>
      </c>
    </row>
    <row r="2868" spans="1:16" outlineLevel="1" x14ac:dyDescent="0.2">
      <c r="A2868" s="5"/>
      <c r="D2868" s="3" t="s">
        <v>788</v>
      </c>
      <c r="N2868" s="2">
        <f>SUBTOTAL(9,N2867:N2867)</f>
        <v>97</v>
      </c>
      <c r="O2868" s="2">
        <f>SUBTOTAL(9,O2867:O2867)</f>
        <v>3545396.28</v>
      </c>
      <c r="P2868" s="2">
        <f>+O2868/N2868</f>
        <v>36550.477113402063</v>
      </c>
    </row>
    <row r="2869" spans="1:16" outlineLevel="2" x14ac:dyDescent="0.2">
      <c r="A2869" s="5">
        <v>46139</v>
      </c>
      <c r="B2869" s="2">
        <v>158959</v>
      </c>
      <c r="C2869" s="2">
        <v>2</v>
      </c>
      <c r="D2869" s="2" t="s">
        <v>119</v>
      </c>
      <c r="E2869" s="2" t="s">
        <v>120</v>
      </c>
      <c r="F2869" s="2" t="s">
        <v>63</v>
      </c>
      <c r="G2869" s="2" t="s">
        <v>22</v>
      </c>
      <c r="H2869" s="2" t="s">
        <v>23</v>
      </c>
      <c r="I2869" s="2" t="s">
        <v>501</v>
      </c>
      <c r="J2869" s="2">
        <v>40</v>
      </c>
      <c r="K2869" s="2" t="s">
        <v>43</v>
      </c>
      <c r="L2869" s="2">
        <v>1779</v>
      </c>
      <c r="M2869" s="2" t="s">
        <v>502</v>
      </c>
      <c r="N2869" s="2">
        <v>208</v>
      </c>
      <c r="O2869" s="2">
        <v>9986696.4900000002</v>
      </c>
      <c r="P2869" s="2">
        <v>48012.959999999999</v>
      </c>
    </row>
    <row r="2870" spans="1:16" outlineLevel="1" x14ac:dyDescent="0.2">
      <c r="A2870" s="5"/>
      <c r="D2870" s="3" t="s">
        <v>708</v>
      </c>
      <c r="N2870" s="2">
        <f>SUBTOTAL(9,N2869:N2869)</f>
        <v>208</v>
      </c>
      <c r="O2870" s="2">
        <f>SUBTOTAL(9,O2869:O2869)</f>
        <v>9986696.4900000002</v>
      </c>
      <c r="P2870" s="2">
        <f>+O2870/N2870</f>
        <v>48012.963894230772</v>
      </c>
    </row>
    <row r="2871" spans="1:16" outlineLevel="2" x14ac:dyDescent="0.2">
      <c r="A2871" s="5">
        <v>46139</v>
      </c>
      <c r="B2871" s="2">
        <v>158960</v>
      </c>
      <c r="C2871" s="2">
        <v>1</v>
      </c>
      <c r="D2871" s="2" t="s">
        <v>38</v>
      </c>
      <c r="E2871" s="2" t="s">
        <v>39</v>
      </c>
      <c r="F2871" s="2" t="s">
        <v>63</v>
      </c>
      <c r="G2871" s="2" t="s">
        <v>22</v>
      </c>
      <c r="H2871" s="2" t="s">
        <v>23</v>
      </c>
      <c r="I2871" s="2" t="s">
        <v>243</v>
      </c>
      <c r="J2871" s="2">
        <v>1</v>
      </c>
      <c r="K2871" s="2" t="s">
        <v>24</v>
      </c>
      <c r="L2871" s="2">
        <v>1846</v>
      </c>
      <c r="M2871" s="2" t="s">
        <v>134</v>
      </c>
      <c r="N2871" s="2">
        <v>176</v>
      </c>
      <c r="O2871" s="2">
        <v>13596026.75</v>
      </c>
      <c r="P2871" s="2">
        <v>77250.149999999994</v>
      </c>
    </row>
    <row r="2872" spans="1:16" outlineLevel="2" x14ac:dyDescent="0.2">
      <c r="A2872" s="5">
        <v>46141</v>
      </c>
      <c r="B2872" s="2">
        <v>158960</v>
      </c>
      <c r="C2872" s="2">
        <v>2</v>
      </c>
      <c r="D2872" s="2" t="s">
        <v>38</v>
      </c>
      <c r="E2872" s="2" t="s">
        <v>39</v>
      </c>
      <c r="F2872" s="2" t="s">
        <v>63</v>
      </c>
      <c r="G2872" s="2" t="s">
        <v>22</v>
      </c>
      <c r="H2872" s="2" t="s">
        <v>23</v>
      </c>
      <c r="I2872" s="2" t="s">
        <v>116</v>
      </c>
      <c r="J2872" s="2">
        <v>1</v>
      </c>
      <c r="K2872" s="2" t="s">
        <v>24</v>
      </c>
      <c r="L2872" s="2">
        <v>1846</v>
      </c>
      <c r="M2872" s="2" t="s">
        <v>134</v>
      </c>
      <c r="N2872" s="2">
        <v>520</v>
      </c>
      <c r="O2872" s="2">
        <v>46936190.049999997</v>
      </c>
      <c r="P2872" s="2">
        <v>90261.9</v>
      </c>
    </row>
    <row r="2873" spans="1:16" outlineLevel="2" x14ac:dyDescent="0.2">
      <c r="A2873" s="5">
        <v>46139</v>
      </c>
      <c r="B2873" s="2">
        <v>158960</v>
      </c>
      <c r="C2873" s="2">
        <v>3</v>
      </c>
      <c r="D2873" s="2" t="s">
        <v>38</v>
      </c>
      <c r="E2873" s="2" t="s">
        <v>39</v>
      </c>
      <c r="F2873" s="2" t="s">
        <v>63</v>
      </c>
      <c r="G2873" s="2" t="s">
        <v>22</v>
      </c>
      <c r="H2873" s="2" t="s">
        <v>23</v>
      </c>
      <c r="I2873" s="2" t="s">
        <v>135</v>
      </c>
      <c r="J2873" s="2">
        <v>1</v>
      </c>
      <c r="K2873" s="2" t="s">
        <v>24</v>
      </c>
      <c r="L2873" s="2">
        <v>1846</v>
      </c>
      <c r="M2873" s="2" t="s">
        <v>134</v>
      </c>
      <c r="N2873" s="2">
        <v>421</v>
      </c>
      <c r="O2873" s="2">
        <v>37039446.649999999</v>
      </c>
      <c r="P2873" s="2">
        <v>87979.68</v>
      </c>
    </row>
    <row r="2874" spans="1:16" outlineLevel="2" x14ac:dyDescent="0.2">
      <c r="A2874" s="5">
        <v>46139</v>
      </c>
      <c r="B2874" s="2">
        <v>158960</v>
      </c>
      <c r="C2874" s="2">
        <v>4</v>
      </c>
      <c r="D2874" s="2" t="s">
        <v>38</v>
      </c>
      <c r="E2874" s="2" t="s">
        <v>39</v>
      </c>
      <c r="F2874" s="2" t="s">
        <v>63</v>
      </c>
      <c r="G2874" s="2" t="s">
        <v>22</v>
      </c>
      <c r="H2874" s="2" t="s">
        <v>23</v>
      </c>
      <c r="I2874" s="2" t="s">
        <v>133</v>
      </c>
      <c r="J2874" s="2">
        <v>1</v>
      </c>
      <c r="K2874" s="2" t="s">
        <v>24</v>
      </c>
      <c r="L2874" s="2">
        <v>1846</v>
      </c>
      <c r="M2874" s="2" t="s">
        <v>134</v>
      </c>
      <c r="N2874" s="2">
        <v>176</v>
      </c>
      <c r="O2874" s="2">
        <v>12459961.619999999</v>
      </c>
      <c r="P2874" s="2">
        <v>70795.240000000005</v>
      </c>
    </row>
    <row r="2875" spans="1:16" outlineLevel="1" x14ac:dyDescent="0.2">
      <c r="A2875" s="5"/>
      <c r="D2875" s="3" t="s">
        <v>721</v>
      </c>
      <c r="N2875" s="2">
        <f>SUBTOTAL(9,N2871:N2874)</f>
        <v>1293</v>
      </c>
      <c r="O2875" s="2">
        <f>SUBTOTAL(9,O2871:O2874)</f>
        <v>110031625.06999999</v>
      </c>
      <c r="P2875" s="2">
        <f>+O2875/N2875</f>
        <v>85097.93122196442</v>
      </c>
    </row>
    <row r="2876" spans="1:16" outlineLevel="2" x14ac:dyDescent="0.2">
      <c r="A2876" s="5">
        <v>46153</v>
      </c>
      <c r="B2876" s="2">
        <v>158961</v>
      </c>
      <c r="C2876" s="2">
        <v>1</v>
      </c>
      <c r="D2876" s="2" t="s">
        <v>160</v>
      </c>
      <c r="E2876" s="2" t="s">
        <v>222</v>
      </c>
      <c r="F2876" s="2" t="s">
        <v>40</v>
      </c>
      <c r="G2876" s="2" t="s">
        <v>22</v>
      </c>
      <c r="H2876" s="2" t="s">
        <v>23</v>
      </c>
      <c r="I2876" s="2" t="s">
        <v>23</v>
      </c>
      <c r="J2876" s="2">
        <v>1</v>
      </c>
      <c r="K2876" s="2" t="s">
        <v>24</v>
      </c>
      <c r="L2876" s="2">
        <v>2521</v>
      </c>
      <c r="M2876" s="2" t="s">
        <v>82</v>
      </c>
      <c r="N2876" s="2">
        <v>146</v>
      </c>
      <c r="O2876" s="2">
        <v>1531736.46</v>
      </c>
      <c r="P2876" s="2">
        <v>10491.35</v>
      </c>
    </row>
    <row r="2877" spans="1:16" outlineLevel="2" x14ac:dyDescent="0.2">
      <c r="A2877" s="5">
        <v>46141</v>
      </c>
      <c r="B2877" s="2">
        <v>158961</v>
      </c>
      <c r="C2877" s="2">
        <v>2</v>
      </c>
      <c r="D2877" s="2" t="s">
        <v>160</v>
      </c>
      <c r="E2877" s="2" t="s">
        <v>222</v>
      </c>
      <c r="F2877" s="2" t="s">
        <v>40</v>
      </c>
      <c r="G2877" s="2" t="s">
        <v>22</v>
      </c>
      <c r="H2877" s="2" t="s">
        <v>23</v>
      </c>
      <c r="I2877" s="2" t="s">
        <v>23</v>
      </c>
      <c r="J2877" s="2">
        <v>1</v>
      </c>
      <c r="K2877" s="2" t="s">
        <v>24</v>
      </c>
      <c r="L2877" s="2">
        <v>2521</v>
      </c>
      <c r="M2877" s="2" t="s">
        <v>82</v>
      </c>
      <c r="N2877" s="2">
        <v>115</v>
      </c>
      <c r="O2877" s="2">
        <v>1954428.02</v>
      </c>
      <c r="P2877" s="2">
        <v>16995.03</v>
      </c>
    </row>
    <row r="2878" spans="1:16" outlineLevel="1" x14ac:dyDescent="0.2">
      <c r="A2878" s="5"/>
      <c r="D2878" s="3" t="s">
        <v>709</v>
      </c>
      <c r="N2878" s="2">
        <f>SUBTOTAL(9,N2876:N2877)</f>
        <v>261</v>
      </c>
      <c r="O2878" s="2">
        <f>SUBTOTAL(9,O2876:O2877)</f>
        <v>3486164.48</v>
      </c>
      <c r="P2878" s="2">
        <f>+O2878/N2878</f>
        <v>13356.95203065134</v>
      </c>
    </row>
    <row r="2879" spans="1:16" outlineLevel="2" x14ac:dyDescent="0.2">
      <c r="A2879" s="5">
        <v>46139</v>
      </c>
      <c r="B2879" s="2">
        <v>158961</v>
      </c>
      <c r="C2879" s="2">
        <v>3</v>
      </c>
      <c r="D2879" s="2" t="s">
        <v>131</v>
      </c>
      <c r="E2879" s="2" t="s">
        <v>132</v>
      </c>
      <c r="F2879" s="2" t="s">
        <v>40</v>
      </c>
      <c r="G2879" s="2" t="s">
        <v>22</v>
      </c>
      <c r="H2879" s="2" t="s">
        <v>23</v>
      </c>
      <c r="I2879" s="2" t="s">
        <v>23</v>
      </c>
      <c r="J2879" s="2">
        <v>1</v>
      </c>
      <c r="K2879" s="2" t="s">
        <v>24</v>
      </c>
      <c r="L2879" s="2">
        <v>2521</v>
      </c>
      <c r="M2879" s="2" t="s">
        <v>82</v>
      </c>
      <c r="N2879" s="2">
        <v>258</v>
      </c>
      <c r="O2879" s="2">
        <v>9685183.0399999991</v>
      </c>
      <c r="P2879" s="2">
        <v>37539.47</v>
      </c>
    </row>
    <row r="2880" spans="1:16" outlineLevel="1" x14ac:dyDescent="0.2">
      <c r="A2880" s="5"/>
      <c r="D2880" s="3" t="s">
        <v>713</v>
      </c>
      <c r="N2880" s="2">
        <f>SUBTOTAL(9,N2879:N2879)</f>
        <v>258</v>
      </c>
      <c r="O2880" s="2">
        <f>SUBTOTAL(9,O2879:O2879)</f>
        <v>9685183.0399999991</v>
      </c>
      <c r="P2880" s="2">
        <f>+O2880/N2880</f>
        <v>37539.469147286822</v>
      </c>
    </row>
    <row r="2881" spans="1:16" outlineLevel="2" x14ac:dyDescent="0.2">
      <c r="A2881" s="5">
        <v>46139</v>
      </c>
      <c r="B2881" s="2">
        <v>158961</v>
      </c>
      <c r="C2881" s="2">
        <v>4</v>
      </c>
      <c r="D2881" s="2" t="s">
        <v>81</v>
      </c>
      <c r="E2881" s="2" t="s">
        <v>23</v>
      </c>
      <c r="F2881" s="2" t="s">
        <v>40</v>
      </c>
      <c r="G2881" s="2" t="s">
        <v>22</v>
      </c>
      <c r="H2881" s="2" t="s">
        <v>23</v>
      </c>
      <c r="I2881" s="2" t="s">
        <v>23</v>
      </c>
      <c r="J2881" s="2">
        <v>1</v>
      </c>
      <c r="K2881" s="2" t="s">
        <v>24</v>
      </c>
      <c r="L2881" s="2">
        <v>2521</v>
      </c>
      <c r="M2881" s="2" t="s">
        <v>82</v>
      </c>
      <c r="N2881" s="2">
        <v>96</v>
      </c>
      <c r="O2881" s="2">
        <v>3930875.39</v>
      </c>
      <c r="P2881" s="2">
        <v>40946.620000000003</v>
      </c>
    </row>
    <row r="2882" spans="1:16" outlineLevel="1" x14ac:dyDescent="0.2">
      <c r="A2882" s="5"/>
      <c r="D2882" s="3" t="s">
        <v>693</v>
      </c>
      <c r="N2882" s="2">
        <f>SUBTOTAL(9,N2881:N2881)</f>
        <v>96</v>
      </c>
      <c r="O2882" s="2">
        <f>SUBTOTAL(9,O2881:O2881)</f>
        <v>3930875.39</v>
      </c>
      <c r="P2882" s="2">
        <f>+O2882/N2882</f>
        <v>40946.618645833332</v>
      </c>
    </row>
    <row r="2883" spans="1:16" outlineLevel="2" x14ac:dyDescent="0.2">
      <c r="A2883" s="5">
        <v>46139</v>
      </c>
      <c r="B2883" s="2">
        <v>158962</v>
      </c>
      <c r="C2883" s="2">
        <v>1</v>
      </c>
      <c r="D2883" s="2" t="s">
        <v>75</v>
      </c>
      <c r="E2883" s="2" t="s">
        <v>412</v>
      </c>
      <c r="F2883" s="2" t="s">
        <v>108</v>
      </c>
      <c r="G2883" s="2" t="s">
        <v>22</v>
      </c>
      <c r="H2883" s="2" t="s">
        <v>23</v>
      </c>
      <c r="I2883" s="2" t="s">
        <v>100</v>
      </c>
      <c r="J2883" s="2">
        <v>1</v>
      </c>
      <c r="K2883" s="2" t="s">
        <v>24</v>
      </c>
      <c r="L2883" s="2">
        <v>2024</v>
      </c>
      <c r="M2883" s="2" t="s">
        <v>76</v>
      </c>
      <c r="N2883" s="2">
        <v>160</v>
      </c>
      <c r="O2883" s="2">
        <v>4574921.2</v>
      </c>
      <c r="P2883" s="2">
        <v>28593.26</v>
      </c>
    </row>
    <row r="2884" spans="1:16" outlineLevel="2" x14ac:dyDescent="0.2">
      <c r="A2884" s="5">
        <v>46139</v>
      </c>
      <c r="B2884" s="2">
        <v>158962</v>
      </c>
      <c r="C2884" s="2">
        <v>2</v>
      </c>
      <c r="D2884" s="2" t="s">
        <v>75</v>
      </c>
      <c r="E2884" s="2" t="s">
        <v>412</v>
      </c>
      <c r="F2884" s="2" t="s">
        <v>108</v>
      </c>
      <c r="G2884" s="2" t="s">
        <v>22</v>
      </c>
      <c r="H2884" s="2" t="s">
        <v>23</v>
      </c>
      <c r="I2884" s="2" t="s">
        <v>109</v>
      </c>
      <c r="J2884" s="2">
        <v>1</v>
      </c>
      <c r="K2884" s="2" t="s">
        <v>24</v>
      </c>
      <c r="L2884" s="2">
        <v>2024</v>
      </c>
      <c r="M2884" s="2" t="s">
        <v>76</v>
      </c>
      <c r="N2884" s="2">
        <v>529</v>
      </c>
      <c r="O2884" s="2">
        <v>15968292.699999999</v>
      </c>
      <c r="P2884" s="2">
        <v>30185.81</v>
      </c>
    </row>
    <row r="2885" spans="1:16" outlineLevel="2" x14ac:dyDescent="0.2">
      <c r="A2885" s="5">
        <v>46155</v>
      </c>
      <c r="B2885" s="2">
        <v>158962</v>
      </c>
      <c r="C2885" s="2">
        <v>4</v>
      </c>
      <c r="D2885" s="2" t="s">
        <v>75</v>
      </c>
      <c r="E2885" s="2" t="s">
        <v>412</v>
      </c>
      <c r="F2885" s="2" t="s">
        <v>108</v>
      </c>
      <c r="G2885" s="2" t="s">
        <v>22</v>
      </c>
      <c r="H2885" s="2" t="s">
        <v>23</v>
      </c>
      <c r="I2885" s="2" t="s">
        <v>152</v>
      </c>
      <c r="J2885" s="2">
        <v>1</v>
      </c>
      <c r="K2885" s="2" t="s">
        <v>24</v>
      </c>
      <c r="L2885" s="2">
        <v>2024</v>
      </c>
      <c r="M2885" s="2" t="s">
        <v>76</v>
      </c>
      <c r="N2885" s="2">
        <v>143</v>
      </c>
      <c r="O2885" s="2">
        <v>3722307.05</v>
      </c>
      <c r="P2885" s="2">
        <v>26030.12</v>
      </c>
    </row>
    <row r="2886" spans="1:16" outlineLevel="1" x14ac:dyDescent="0.2">
      <c r="A2886" s="5"/>
      <c r="D2886" s="3" t="s">
        <v>729</v>
      </c>
      <c r="N2886" s="2">
        <f>SUBTOTAL(9,N2883:N2885)</f>
        <v>832</v>
      </c>
      <c r="O2886" s="2">
        <f>SUBTOTAL(9,O2883:O2885)</f>
        <v>24265520.949999999</v>
      </c>
      <c r="P2886" s="2">
        <f>+O2886/N2886</f>
        <v>29165.289603365385</v>
      </c>
    </row>
    <row r="2887" spans="1:16" outlineLevel="2" x14ac:dyDescent="0.2">
      <c r="A2887" s="5">
        <v>46139</v>
      </c>
      <c r="B2887" s="2">
        <v>158971</v>
      </c>
      <c r="C2887" s="2">
        <v>301</v>
      </c>
      <c r="D2887" s="2" t="s">
        <v>54</v>
      </c>
      <c r="E2887" s="2" t="s">
        <v>151</v>
      </c>
      <c r="F2887" s="2" t="s">
        <v>55</v>
      </c>
      <c r="G2887" s="2" t="s">
        <v>23</v>
      </c>
      <c r="H2887" s="2" t="s">
        <v>23</v>
      </c>
      <c r="I2887" s="2" t="s">
        <v>23</v>
      </c>
      <c r="J2887" s="2">
        <v>2</v>
      </c>
      <c r="K2887" s="2" t="s">
        <v>48</v>
      </c>
      <c r="L2887" s="2">
        <v>25095</v>
      </c>
      <c r="M2887" s="2" t="s">
        <v>216</v>
      </c>
      <c r="N2887" s="2">
        <v>5</v>
      </c>
      <c r="O2887" s="2">
        <v>32395.79</v>
      </c>
      <c r="P2887" s="2">
        <v>6479.16</v>
      </c>
    </row>
    <row r="2888" spans="1:16" outlineLevel="2" x14ac:dyDescent="0.2">
      <c r="A2888" s="5">
        <v>46141</v>
      </c>
      <c r="B2888" s="2">
        <v>158971</v>
      </c>
      <c r="C2888" s="2">
        <v>306</v>
      </c>
      <c r="D2888" s="2" t="s">
        <v>54</v>
      </c>
      <c r="E2888" s="2" t="s">
        <v>20</v>
      </c>
      <c r="F2888" s="2" t="s">
        <v>55</v>
      </c>
      <c r="G2888" s="2" t="s">
        <v>23</v>
      </c>
      <c r="H2888" s="2" t="s">
        <v>23</v>
      </c>
      <c r="I2888" s="2" t="s">
        <v>23</v>
      </c>
      <c r="J2888" s="2">
        <v>2</v>
      </c>
      <c r="K2888" s="2" t="s">
        <v>48</v>
      </c>
      <c r="L2888" s="2">
        <v>25095</v>
      </c>
      <c r="M2888" s="2" t="s">
        <v>216</v>
      </c>
      <c r="N2888" s="2">
        <v>7</v>
      </c>
      <c r="O2888" s="2">
        <v>43624.49</v>
      </c>
      <c r="P2888" s="2">
        <v>6232.07</v>
      </c>
    </row>
    <row r="2889" spans="1:16" outlineLevel="1" x14ac:dyDescent="0.2">
      <c r="A2889" s="5"/>
      <c r="D2889" s="3" t="s">
        <v>719</v>
      </c>
      <c r="N2889" s="2">
        <f>SUBTOTAL(9,N2887:N2888)</f>
        <v>12</v>
      </c>
      <c r="O2889" s="2">
        <f>SUBTOTAL(9,O2887:O2888)</f>
        <v>76020.28</v>
      </c>
      <c r="P2889" s="2">
        <f>+O2889/N2889</f>
        <v>6335.0233333333335</v>
      </c>
    </row>
    <row r="2890" spans="1:16" outlineLevel="2" x14ac:dyDescent="0.2">
      <c r="A2890" s="5">
        <v>46148</v>
      </c>
      <c r="B2890" s="2">
        <v>158977</v>
      </c>
      <c r="C2890" s="2">
        <v>1</v>
      </c>
      <c r="D2890" s="2" t="s">
        <v>38</v>
      </c>
      <c r="E2890" s="2" t="s">
        <v>39</v>
      </c>
      <c r="F2890" s="2" t="s">
        <v>40</v>
      </c>
      <c r="G2890" s="2" t="s">
        <v>41</v>
      </c>
      <c r="H2890" s="2" t="s">
        <v>23</v>
      </c>
      <c r="I2890" s="2" t="s">
        <v>445</v>
      </c>
      <c r="J2890" s="2">
        <v>40</v>
      </c>
      <c r="K2890" s="2" t="s">
        <v>43</v>
      </c>
      <c r="L2890" s="2">
        <v>2579</v>
      </c>
      <c r="M2890" s="2" t="s">
        <v>44</v>
      </c>
      <c r="N2890" s="2">
        <v>273</v>
      </c>
      <c r="O2890" s="2">
        <v>7600690.4400000004</v>
      </c>
      <c r="P2890" s="2">
        <v>27841.360000000001</v>
      </c>
    </row>
    <row r="2891" spans="1:16" outlineLevel="2" x14ac:dyDescent="0.2">
      <c r="A2891" s="5">
        <v>46150</v>
      </c>
      <c r="B2891" s="2">
        <v>158977</v>
      </c>
      <c r="C2891" s="2">
        <v>2</v>
      </c>
      <c r="D2891" s="2" t="s">
        <v>38</v>
      </c>
      <c r="E2891" s="2" t="s">
        <v>39</v>
      </c>
      <c r="F2891" s="2" t="s">
        <v>40</v>
      </c>
      <c r="G2891" s="2" t="s">
        <v>41</v>
      </c>
      <c r="H2891" s="2" t="s">
        <v>23</v>
      </c>
      <c r="I2891" s="2" t="s">
        <v>410</v>
      </c>
      <c r="J2891" s="2">
        <v>40</v>
      </c>
      <c r="K2891" s="2" t="s">
        <v>43</v>
      </c>
      <c r="L2891" s="2">
        <v>2579</v>
      </c>
      <c r="M2891" s="2" t="s">
        <v>44</v>
      </c>
      <c r="N2891" s="2">
        <v>103</v>
      </c>
      <c r="O2891" s="2">
        <v>2950262.64</v>
      </c>
      <c r="P2891" s="2">
        <v>28643.33</v>
      </c>
    </row>
    <row r="2892" spans="1:16" outlineLevel="2" x14ac:dyDescent="0.2">
      <c r="A2892" s="5">
        <v>46150</v>
      </c>
      <c r="B2892" s="2">
        <v>158977</v>
      </c>
      <c r="C2892" s="2">
        <v>3</v>
      </c>
      <c r="D2892" s="2" t="s">
        <v>38</v>
      </c>
      <c r="E2892" s="2" t="s">
        <v>39</v>
      </c>
      <c r="F2892" s="2" t="s">
        <v>40</v>
      </c>
      <c r="G2892" s="2" t="s">
        <v>41</v>
      </c>
      <c r="H2892" s="2" t="s">
        <v>23</v>
      </c>
      <c r="I2892" s="2" t="s">
        <v>334</v>
      </c>
      <c r="J2892" s="2">
        <v>40</v>
      </c>
      <c r="K2892" s="2" t="s">
        <v>43</v>
      </c>
      <c r="L2892" s="2">
        <v>2579</v>
      </c>
      <c r="M2892" s="2" t="s">
        <v>44</v>
      </c>
      <c r="N2892" s="2">
        <v>96</v>
      </c>
      <c r="O2892" s="2">
        <v>2481327.4300000002</v>
      </c>
      <c r="P2892" s="2">
        <v>25847.16</v>
      </c>
    </row>
    <row r="2893" spans="1:16" outlineLevel="2" x14ac:dyDescent="0.2">
      <c r="A2893" s="5">
        <v>46139</v>
      </c>
      <c r="B2893" s="2">
        <v>158978</v>
      </c>
      <c r="C2893" s="2">
        <v>1</v>
      </c>
      <c r="D2893" s="2" t="s">
        <v>38</v>
      </c>
      <c r="E2893" s="2" t="s">
        <v>39</v>
      </c>
      <c r="F2893" s="2" t="s">
        <v>40</v>
      </c>
      <c r="G2893" s="2" t="s">
        <v>41</v>
      </c>
      <c r="H2893" s="2" t="s">
        <v>23</v>
      </c>
      <c r="I2893" s="2" t="s">
        <v>445</v>
      </c>
      <c r="J2893" s="2">
        <v>40</v>
      </c>
      <c r="K2893" s="2" t="s">
        <v>43</v>
      </c>
      <c r="L2893" s="2">
        <v>2579</v>
      </c>
      <c r="M2893" s="2" t="s">
        <v>44</v>
      </c>
      <c r="N2893" s="2">
        <v>258</v>
      </c>
      <c r="O2893" s="2">
        <v>6933528.8600000003</v>
      </c>
      <c r="P2893" s="2">
        <v>26874.14</v>
      </c>
    </row>
    <row r="2894" spans="1:16" outlineLevel="2" x14ac:dyDescent="0.2">
      <c r="A2894" s="5">
        <v>46139</v>
      </c>
      <c r="B2894" s="2">
        <v>158978</v>
      </c>
      <c r="C2894" s="2">
        <v>2</v>
      </c>
      <c r="D2894" s="2" t="s">
        <v>38</v>
      </c>
      <c r="E2894" s="2" t="s">
        <v>39</v>
      </c>
      <c r="F2894" s="2" t="s">
        <v>40</v>
      </c>
      <c r="G2894" s="2" t="s">
        <v>41</v>
      </c>
      <c r="H2894" s="2" t="s">
        <v>23</v>
      </c>
      <c r="I2894" s="2" t="s">
        <v>410</v>
      </c>
      <c r="J2894" s="2">
        <v>40</v>
      </c>
      <c r="K2894" s="2" t="s">
        <v>43</v>
      </c>
      <c r="L2894" s="2">
        <v>2579</v>
      </c>
      <c r="M2894" s="2" t="s">
        <v>44</v>
      </c>
      <c r="N2894" s="2">
        <v>192</v>
      </c>
      <c r="O2894" s="2">
        <v>5309207.95</v>
      </c>
      <c r="P2894" s="2">
        <v>27652.12</v>
      </c>
    </row>
    <row r="2895" spans="1:16" outlineLevel="2" x14ac:dyDescent="0.2">
      <c r="A2895" s="5">
        <v>46139</v>
      </c>
      <c r="B2895" s="2">
        <v>158978</v>
      </c>
      <c r="C2895" s="2">
        <v>3</v>
      </c>
      <c r="D2895" s="2" t="s">
        <v>38</v>
      </c>
      <c r="E2895" s="2" t="s">
        <v>39</v>
      </c>
      <c r="F2895" s="2" t="s">
        <v>40</v>
      </c>
      <c r="G2895" s="2" t="s">
        <v>407</v>
      </c>
      <c r="H2895" s="2" t="s">
        <v>23</v>
      </c>
      <c r="I2895" s="2" t="s">
        <v>445</v>
      </c>
      <c r="J2895" s="2">
        <v>40</v>
      </c>
      <c r="K2895" s="2" t="s">
        <v>43</v>
      </c>
      <c r="L2895" s="2">
        <v>2579</v>
      </c>
      <c r="M2895" s="2" t="s">
        <v>44</v>
      </c>
      <c r="N2895" s="2">
        <v>288</v>
      </c>
      <c r="O2895" s="2">
        <v>7547795.6100000003</v>
      </c>
      <c r="P2895" s="2">
        <v>26207.62</v>
      </c>
    </row>
    <row r="2896" spans="1:16" outlineLevel="1" x14ac:dyDescent="0.2">
      <c r="A2896" s="5"/>
      <c r="D2896" s="3" t="s">
        <v>721</v>
      </c>
      <c r="N2896" s="2">
        <f>SUBTOTAL(9,N2890:N2895)</f>
        <v>1210</v>
      </c>
      <c r="O2896" s="2">
        <f>SUBTOTAL(9,O2890:O2895)</f>
        <v>32822812.93</v>
      </c>
      <c r="P2896" s="2">
        <f>+O2896/N2896</f>
        <v>27126.291677685949</v>
      </c>
    </row>
    <row r="2897" spans="1:16" outlineLevel="2" x14ac:dyDescent="0.2">
      <c r="A2897" s="5">
        <v>46146</v>
      </c>
      <c r="B2897" s="2">
        <v>158980</v>
      </c>
      <c r="C2897" s="2">
        <v>2</v>
      </c>
      <c r="D2897" s="2" t="s">
        <v>229</v>
      </c>
      <c r="E2897" s="2" t="s">
        <v>439</v>
      </c>
      <c r="F2897" s="2" t="s">
        <v>40</v>
      </c>
      <c r="G2897" s="2" t="s">
        <v>22</v>
      </c>
      <c r="H2897" s="2" t="s">
        <v>23</v>
      </c>
      <c r="I2897" s="2" t="s">
        <v>101</v>
      </c>
      <c r="J2897" s="2">
        <v>1</v>
      </c>
      <c r="K2897" s="2" t="s">
        <v>24</v>
      </c>
      <c r="L2897" s="2">
        <v>331</v>
      </c>
      <c r="M2897" s="2" t="s">
        <v>356</v>
      </c>
      <c r="N2897" s="2">
        <v>266</v>
      </c>
      <c r="O2897" s="2">
        <v>2522074.67</v>
      </c>
      <c r="P2897" s="2">
        <v>9481.48</v>
      </c>
    </row>
    <row r="2898" spans="1:16" outlineLevel="2" x14ac:dyDescent="0.2">
      <c r="A2898" s="5">
        <v>46148</v>
      </c>
      <c r="B2898" s="2">
        <v>158980</v>
      </c>
      <c r="C2898" s="2">
        <v>3</v>
      </c>
      <c r="D2898" s="2" t="s">
        <v>229</v>
      </c>
      <c r="E2898" s="2" t="s">
        <v>439</v>
      </c>
      <c r="F2898" s="2" t="s">
        <v>40</v>
      </c>
      <c r="G2898" s="2" t="s">
        <v>22</v>
      </c>
      <c r="H2898" s="2" t="s">
        <v>23</v>
      </c>
      <c r="I2898" s="2" t="s">
        <v>152</v>
      </c>
      <c r="J2898" s="2">
        <v>1</v>
      </c>
      <c r="K2898" s="2" t="s">
        <v>24</v>
      </c>
      <c r="L2898" s="2">
        <v>331</v>
      </c>
      <c r="M2898" s="2" t="s">
        <v>356</v>
      </c>
      <c r="N2898" s="2">
        <v>216</v>
      </c>
      <c r="O2898" s="2">
        <v>2140972.9300000002</v>
      </c>
      <c r="P2898" s="2">
        <v>9911.91</v>
      </c>
    </row>
    <row r="2899" spans="1:16" outlineLevel="2" x14ac:dyDescent="0.2">
      <c r="A2899" s="5">
        <v>46153</v>
      </c>
      <c r="B2899" s="2">
        <v>158980</v>
      </c>
      <c r="C2899" s="2">
        <v>4</v>
      </c>
      <c r="D2899" s="2" t="s">
        <v>229</v>
      </c>
      <c r="E2899" s="2" t="s">
        <v>439</v>
      </c>
      <c r="F2899" s="2" t="s">
        <v>40</v>
      </c>
      <c r="G2899" s="2" t="s">
        <v>22</v>
      </c>
      <c r="H2899" s="2" t="s">
        <v>23</v>
      </c>
      <c r="I2899" s="2" t="s">
        <v>154</v>
      </c>
      <c r="J2899" s="2">
        <v>1</v>
      </c>
      <c r="K2899" s="2" t="s">
        <v>24</v>
      </c>
      <c r="L2899" s="2">
        <v>331</v>
      </c>
      <c r="M2899" s="2" t="s">
        <v>356</v>
      </c>
      <c r="N2899" s="2">
        <v>68</v>
      </c>
      <c r="O2899" s="2">
        <v>439951.17</v>
      </c>
      <c r="P2899" s="2">
        <v>6469.87</v>
      </c>
    </row>
    <row r="2900" spans="1:16" outlineLevel="2" x14ac:dyDescent="0.2">
      <c r="A2900" s="5">
        <v>46146</v>
      </c>
      <c r="B2900" s="2">
        <v>158980</v>
      </c>
      <c r="C2900" s="2">
        <v>5</v>
      </c>
      <c r="D2900" s="2" t="s">
        <v>229</v>
      </c>
      <c r="E2900" s="2" t="s">
        <v>439</v>
      </c>
      <c r="F2900" s="2" t="s">
        <v>40</v>
      </c>
      <c r="G2900" s="2" t="s">
        <v>22</v>
      </c>
      <c r="H2900" s="2" t="s">
        <v>23</v>
      </c>
      <c r="I2900" s="2" t="s">
        <v>79</v>
      </c>
      <c r="J2900" s="2">
        <v>1</v>
      </c>
      <c r="K2900" s="2" t="s">
        <v>24</v>
      </c>
      <c r="L2900" s="2">
        <v>331</v>
      </c>
      <c r="M2900" s="2" t="s">
        <v>356</v>
      </c>
      <c r="N2900" s="2">
        <v>648</v>
      </c>
      <c r="O2900" s="2">
        <v>7005600.7599999998</v>
      </c>
      <c r="P2900" s="2">
        <v>10811.11</v>
      </c>
    </row>
    <row r="2901" spans="1:16" outlineLevel="1" x14ac:dyDescent="0.2">
      <c r="A2901" s="5"/>
      <c r="D2901" s="3" t="s">
        <v>737</v>
      </c>
      <c r="N2901" s="2">
        <f>SUBTOTAL(9,N2897:N2900)</f>
        <v>1198</v>
      </c>
      <c r="O2901" s="2">
        <f>SUBTOTAL(9,O2897:O2900)</f>
        <v>12108599.529999999</v>
      </c>
      <c r="P2901" s="2">
        <f>+O2901/N2901</f>
        <v>10107.345183639398</v>
      </c>
    </row>
    <row r="2902" spans="1:16" outlineLevel="2" x14ac:dyDescent="0.2">
      <c r="A2902" s="5">
        <v>46139</v>
      </c>
      <c r="B2902" s="2">
        <v>159023</v>
      </c>
      <c r="C2902" s="2">
        <v>5</v>
      </c>
      <c r="D2902" s="2" t="s">
        <v>45</v>
      </c>
      <c r="E2902" s="2" t="s">
        <v>125</v>
      </c>
      <c r="F2902" s="2" t="s">
        <v>289</v>
      </c>
      <c r="G2902" s="2" t="s">
        <v>22</v>
      </c>
      <c r="H2902" s="2" t="s">
        <v>23</v>
      </c>
      <c r="I2902" s="2" t="s">
        <v>23</v>
      </c>
      <c r="J2902" s="2">
        <v>2</v>
      </c>
      <c r="K2902" s="2" t="s">
        <v>48</v>
      </c>
      <c r="L2902" s="2">
        <v>106</v>
      </c>
      <c r="M2902" s="2" t="s">
        <v>486</v>
      </c>
      <c r="N2902" s="2">
        <v>168</v>
      </c>
      <c r="O2902" s="2">
        <v>3866413.95</v>
      </c>
      <c r="P2902" s="2">
        <v>23014.37</v>
      </c>
    </row>
    <row r="2903" spans="1:16" outlineLevel="1" x14ac:dyDescent="0.2">
      <c r="A2903" s="5"/>
      <c r="D2903" s="3" t="s">
        <v>733</v>
      </c>
      <c r="N2903" s="2">
        <f>SUBTOTAL(9,N2902:N2902)</f>
        <v>168</v>
      </c>
      <c r="O2903" s="2">
        <f>SUBTOTAL(9,O2902:O2902)</f>
        <v>3866413.95</v>
      </c>
      <c r="P2903" s="2">
        <f>+O2903/N2903</f>
        <v>23014.368750000001</v>
      </c>
    </row>
    <row r="2904" spans="1:16" outlineLevel="2" x14ac:dyDescent="0.2">
      <c r="A2904" s="5">
        <v>46141</v>
      </c>
      <c r="B2904" s="2">
        <v>159025</v>
      </c>
      <c r="C2904" s="2">
        <v>2</v>
      </c>
      <c r="D2904" s="2" t="s">
        <v>197</v>
      </c>
      <c r="E2904" s="2" t="s">
        <v>483</v>
      </c>
      <c r="F2904" s="2" t="s">
        <v>199</v>
      </c>
      <c r="G2904" s="2" t="s">
        <v>22</v>
      </c>
      <c r="H2904" s="2" t="s">
        <v>23</v>
      </c>
      <c r="I2904" s="2" t="s">
        <v>23</v>
      </c>
      <c r="J2904" s="2">
        <v>2</v>
      </c>
      <c r="K2904" s="2" t="s">
        <v>48</v>
      </c>
      <c r="L2904" s="2">
        <v>600</v>
      </c>
      <c r="M2904" s="2" t="s">
        <v>112</v>
      </c>
      <c r="N2904" s="2">
        <v>102</v>
      </c>
      <c r="O2904" s="2">
        <v>2038602.67</v>
      </c>
      <c r="P2904" s="2">
        <v>19986.3</v>
      </c>
    </row>
    <row r="2905" spans="1:16" outlineLevel="1" x14ac:dyDescent="0.2">
      <c r="A2905" s="5"/>
      <c r="D2905" s="3" t="s">
        <v>734</v>
      </c>
      <c r="N2905" s="2">
        <f>SUBTOTAL(9,N2904:N2904)</f>
        <v>102</v>
      </c>
      <c r="O2905" s="2">
        <f>SUBTOTAL(9,O2904:O2904)</f>
        <v>2038602.67</v>
      </c>
      <c r="P2905" s="2">
        <f>+O2905/N2905</f>
        <v>19986.30068627451</v>
      </c>
    </row>
    <row r="2906" spans="1:16" outlineLevel="2" x14ac:dyDescent="0.2">
      <c r="A2906" s="5">
        <v>46139</v>
      </c>
      <c r="B2906" s="2">
        <v>159026</v>
      </c>
      <c r="C2906" s="2">
        <v>4</v>
      </c>
      <c r="D2906" s="2" t="s">
        <v>45</v>
      </c>
      <c r="E2906" s="2" t="s">
        <v>125</v>
      </c>
      <c r="F2906" s="2" t="s">
        <v>289</v>
      </c>
      <c r="G2906" s="2" t="s">
        <v>210</v>
      </c>
      <c r="H2906" s="2" t="s">
        <v>23</v>
      </c>
      <c r="I2906" s="2" t="s">
        <v>23</v>
      </c>
      <c r="J2906" s="2">
        <v>2</v>
      </c>
      <c r="K2906" s="2" t="s">
        <v>48</v>
      </c>
      <c r="L2906" s="2">
        <v>106</v>
      </c>
      <c r="M2906" s="2" t="s">
        <v>486</v>
      </c>
      <c r="N2906" s="2">
        <v>55</v>
      </c>
      <c r="O2906" s="2">
        <v>401488.2</v>
      </c>
      <c r="P2906" s="2">
        <v>7299.79</v>
      </c>
    </row>
    <row r="2907" spans="1:16" outlineLevel="2" x14ac:dyDescent="0.2">
      <c r="A2907" s="5">
        <v>46153</v>
      </c>
      <c r="B2907" s="2">
        <v>159029</v>
      </c>
      <c r="C2907" s="2">
        <v>300</v>
      </c>
      <c r="D2907" s="2" t="s">
        <v>45</v>
      </c>
      <c r="E2907" s="2" t="s">
        <v>125</v>
      </c>
      <c r="F2907" s="2" t="s">
        <v>55</v>
      </c>
      <c r="G2907" s="2" t="s">
        <v>23</v>
      </c>
      <c r="H2907" s="2" t="s">
        <v>23</v>
      </c>
      <c r="I2907" s="2" t="s">
        <v>23</v>
      </c>
      <c r="J2907" s="2">
        <v>2</v>
      </c>
      <c r="K2907" s="2" t="s">
        <v>48</v>
      </c>
      <c r="L2907" s="2">
        <v>773</v>
      </c>
      <c r="M2907" s="2" t="s">
        <v>503</v>
      </c>
      <c r="N2907" s="2">
        <v>5</v>
      </c>
      <c r="O2907" s="2">
        <v>38259.21</v>
      </c>
      <c r="P2907" s="2">
        <v>7651.84</v>
      </c>
    </row>
    <row r="2908" spans="1:16" outlineLevel="1" x14ac:dyDescent="0.2">
      <c r="A2908" s="5"/>
      <c r="D2908" s="3" t="s">
        <v>733</v>
      </c>
      <c r="N2908" s="2">
        <f>SUBTOTAL(9,N2906:N2907)</f>
        <v>60</v>
      </c>
      <c r="O2908" s="2">
        <f>SUBTOTAL(9,O2906:O2907)</f>
        <v>439747.41000000003</v>
      </c>
      <c r="P2908" s="2">
        <f>+O2908/N2908</f>
        <v>7329.1235000000006</v>
      </c>
    </row>
    <row r="2909" spans="1:16" outlineLevel="2" x14ac:dyDescent="0.2">
      <c r="A2909" s="5">
        <v>46168</v>
      </c>
      <c r="B2909" s="2">
        <v>159033</v>
      </c>
      <c r="C2909" s="2">
        <v>4</v>
      </c>
      <c r="D2909" s="2" t="s">
        <v>504</v>
      </c>
      <c r="E2909" s="2" t="s">
        <v>23</v>
      </c>
      <c r="F2909" s="2" t="s">
        <v>31</v>
      </c>
      <c r="G2909" s="2" t="s">
        <v>22</v>
      </c>
      <c r="H2909" s="2" t="s">
        <v>23</v>
      </c>
      <c r="I2909" s="2" t="s">
        <v>23</v>
      </c>
      <c r="J2909" s="2">
        <v>1</v>
      </c>
      <c r="K2909" s="2" t="s">
        <v>24</v>
      </c>
      <c r="L2909" s="2">
        <v>2165</v>
      </c>
      <c r="M2909" s="2" t="s">
        <v>206</v>
      </c>
      <c r="N2909" s="2">
        <v>13</v>
      </c>
      <c r="O2909" s="2">
        <v>194174.13</v>
      </c>
      <c r="P2909" s="2">
        <v>14936.47</v>
      </c>
    </row>
    <row r="2910" spans="1:16" outlineLevel="1" x14ac:dyDescent="0.2">
      <c r="A2910" s="5"/>
      <c r="D2910" s="3" t="s">
        <v>789</v>
      </c>
      <c r="N2910" s="2">
        <f>SUBTOTAL(9,N2909:N2909)</f>
        <v>13</v>
      </c>
      <c r="O2910" s="2">
        <f>SUBTOTAL(9,O2909:O2909)</f>
        <v>194174.13</v>
      </c>
      <c r="P2910" s="2">
        <f>+O2910/N2910</f>
        <v>14936.471538461539</v>
      </c>
    </row>
    <row r="2911" spans="1:16" outlineLevel="2" x14ac:dyDescent="0.2">
      <c r="A2911" s="5">
        <v>46174</v>
      </c>
      <c r="B2911" s="2">
        <v>159034</v>
      </c>
      <c r="C2911" s="2">
        <v>315</v>
      </c>
      <c r="D2911" s="2" t="s">
        <v>26</v>
      </c>
      <c r="E2911" s="2" t="s">
        <v>51</v>
      </c>
      <c r="F2911" s="2" t="s">
        <v>55</v>
      </c>
      <c r="G2911" s="2" t="s">
        <v>55</v>
      </c>
      <c r="H2911" s="2" t="s">
        <v>23</v>
      </c>
      <c r="I2911" s="2" t="s">
        <v>23</v>
      </c>
      <c r="J2911" s="2">
        <v>5</v>
      </c>
      <c r="K2911" s="2" t="s">
        <v>27</v>
      </c>
      <c r="L2911" s="2">
        <v>25114</v>
      </c>
      <c r="M2911" s="2" t="s">
        <v>278</v>
      </c>
      <c r="N2911" s="2">
        <v>5</v>
      </c>
      <c r="O2911" s="2">
        <v>21825.95</v>
      </c>
      <c r="P2911" s="2">
        <v>4365.1899999999996</v>
      </c>
    </row>
    <row r="2912" spans="1:16" outlineLevel="1" x14ac:dyDescent="0.2">
      <c r="A2912" s="5"/>
      <c r="D2912" s="3" t="s">
        <v>711</v>
      </c>
      <c r="N2912" s="2">
        <f>SUBTOTAL(9,N2911:N2911)</f>
        <v>5</v>
      </c>
      <c r="O2912" s="2">
        <f>SUBTOTAL(9,O2911:O2911)</f>
        <v>21825.95</v>
      </c>
      <c r="P2912" s="2">
        <f>+O2912/N2912</f>
        <v>4365.1900000000005</v>
      </c>
    </row>
    <row r="2913" spans="1:16" outlineLevel="2" x14ac:dyDescent="0.2">
      <c r="A2913" s="5">
        <v>46153</v>
      </c>
      <c r="B2913" s="2">
        <v>159035</v>
      </c>
      <c r="C2913" s="2">
        <v>315</v>
      </c>
      <c r="D2913" s="2" t="s">
        <v>54</v>
      </c>
      <c r="E2913" s="2" t="s">
        <v>30</v>
      </c>
      <c r="F2913" s="2" t="s">
        <v>55</v>
      </c>
      <c r="G2913" s="2" t="s">
        <v>23</v>
      </c>
      <c r="H2913" s="2" t="s">
        <v>23</v>
      </c>
      <c r="I2913" s="2" t="s">
        <v>23</v>
      </c>
      <c r="J2913" s="2">
        <v>2</v>
      </c>
      <c r="K2913" s="2" t="s">
        <v>48</v>
      </c>
      <c r="L2913" s="2">
        <v>2316</v>
      </c>
      <c r="M2913" s="2" t="s">
        <v>206</v>
      </c>
      <c r="N2913" s="2">
        <v>2</v>
      </c>
      <c r="O2913" s="2">
        <v>12464.14</v>
      </c>
      <c r="P2913" s="2">
        <v>6232.07</v>
      </c>
    </row>
    <row r="2914" spans="1:16" outlineLevel="1" x14ac:dyDescent="0.2">
      <c r="A2914" s="5"/>
      <c r="D2914" s="3" t="s">
        <v>719</v>
      </c>
      <c r="N2914" s="2">
        <f>SUBTOTAL(9,N2913:N2913)</f>
        <v>2</v>
      </c>
      <c r="O2914" s="2">
        <f>SUBTOTAL(9,O2913:O2913)</f>
        <v>12464.14</v>
      </c>
      <c r="P2914" s="2">
        <f>+O2914/N2914</f>
        <v>6232.07</v>
      </c>
    </row>
    <row r="2915" spans="1:16" outlineLevel="2" x14ac:dyDescent="0.2">
      <c r="A2915" s="5">
        <v>46146</v>
      </c>
      <c r="B2915" s="2">
        <v>159038</v>
      </c>
      <c r="C2915" s="2">
        <v>315</v>
      </c>
      <c r="D2915" s="2" t="s">
        <v>45</v>
      </c>
      <c r="E2915" s="2" t="s">
        <v>55</v>
      </c>
      <c r="F2915" s="2" t="s">
        <v>23</v>
      </c>
      <c r="G2915" s="2" t="s">
        <v>23</v>
      </c>
      <c r="H2915" s="2" t="s">
        <v>23</v>
      </c>
      <c r="I2915" s="2" t="s">
        <v>23</v>
      </c>
      <c r="J2915" s="2">
        <v>2</v>
      </c>
      <c r="K2915" s="2" t="s">
        <v>48</v>
      </c>
      <c r="L2915" s="2">
        <v>1557</v>
      </c>
      <c r="M2915" s="2" t="s">
        <v>98</v>
      </c>
      <c r="N2915" s="2">
        <v>12</v>
      </c>
      <c r="O2915" s="2">
        <v>63583.56</v>
      </c>
      <c r="P2915" s="2">
        <v>5298.63</v>
      </c>
    </row>
    <row r="2916" spans="1:16" outlineLevel="1" x14ac:dyDescent="0.2">
      <c r="A2916" s="5"/>
      <c r="D2916" s="3" t="s">
        <v>733</v>
      </c>
      <c r="N2916" s="2">
        <f>SUBTOTAL(9,N2915:N2915)</f>
        <v>12</v>
      </c>
      <c r="O2916" s="2">
        <f>SUBTOTAL(9,O2915:O2915)</f>
        <v>63583.56</v>
      </c>
      <c r="P2916" s="2">
        <f>+O2916/N2916</f>
        <v>5298.63</v>
      </c>
    </row>
    <row r="2917" spans="1:16" outlineLevel="2" x14ac:dyDescent="0.2">
      <c r="A2917" s="5">
        <v>46150</v>
      </c>
      <c r="B2917" s="2">
        <v>159043</v>
      </c>
      <c r="C2917" s="2">
        <v>1</v>
      </c>
      <c r="D2917" s="2" t="s">
        <v>140</v>
      </c>
      <c r="E2917" s="2" t="s">
        <v>55</v>
      </c>
      <c r="F2917" s="2" t="s">
        <v>23</v>
      </c>
      <c r="G2917" s="2" t="s">
        <v>23</v>
      </c>
      <c r="H2917" s="2" t="s">
        <v>23</v>
      </c>
      <c r="I2917" s="2" t="s">
        <v>23</v>
      </c>
      <c r="J2917" s="2">
        <v>1</v>
      </c>
      <c r="K2917" s="2" t="s">
        <v>24</v>
      </c>
      <c r="L2917" s="2">
        <v>1833</v>
      </c>
      <c r="M2917" s="2" t="s">
        <v>142</v>
      </c>
      <c r="N2917" s="2">
        <v>1</v>
      </c>
      <c r="O2917" s="2">
        <v>9032.39</v>
      </c>
      <c r="P2917" s="2">
        <v>9032.39</v>
      </c>
    </row>
    <row r="2918" spans="1:16" outlineLevel="1" x14ac:dyDescent="0.2">
      <c r="A2918" s="5"/>
      <c r="D2918" s="3" t="s">
        <v>696</v>
      </c>
      <c r="N2918" s="2">
        <f>SUBTOTAL(9,N2917:N2917)</f>
        <v>1</v>
      </c>
      <c r="O2918" s="2">
        <f>SUBTOTAL(9,O2917:O2917)</f>
        <v>9032.39</v>
      </c>
      <c r="P2918" s="2">
        <f>+O2918/N2918</f>
        <v>9032.39</v>
      </c>
    </row>
    <row r="2919" spans="1:16" outlineLevel="2" x14ac:dyDescent="0.2">
      <c r="A2919" s="5">
        <v>46141</v>
      </c>
      <c r="B2919" s="2">
        <v>159048</v>
      </c>
      <c r="C2919" s="2">
        <v>1</v>
      </c>
      <c r="D2919" s="2" t="s">
        <v>83</v>
      </c>
      <c r="E2919" s="2" t="s">
        <v>84</v>
      </c>
      <c r="F2919" s="2" t="s">
        <v>31</v>
      </c>
      <c r="G2919" s="2" t="s">
        <v>337</v>
      </c>
      <c r="H2919" s="2" t="s">
        <v>23</v>
      </c>
      <c r="I2919" s="2" t="s">
        <v>23</v>
      </c>
      <c r="J2919" s="2">
        <v>88</v>
      </c>
      <c r="K2919" s="2" t="s">
        <v>255</v>
      </c>
      <c r="L2919" s="2">
        <v>226</v>
      </c>
      <c r="M2919" s="2" t="s">
        <v>59</v>
      </c>
      <c r="N2919" s="2">
        <v>104</v>
      </c>
      <c r="O2919" s="2">
        <v>2934113.82</v>
      </c>
      <c r="P2919" s="2">
        <v>28212.63</v>
      </c>
    </row>
    <row r="2920" spans="1:16" outlineLevel="1" x14ac:dyDescent="0.2">
      <c r="A2920" s="5"/>
      <c r="D2920" s="3" t="s">
        <v>701</v>
      </c>
      <c r="N2920" s="2">
        <f>SUBTOTAL(9,N2919:N2919)</f>
        <v>104</v>
      </c>
      <c r="O2920" s="2">
        <f>SUBTOTAL(9,O2919:O2919)</f>
        <v>2934113.82</v>
      </c>
      <c r="P2920" s="2">
        <f>+O2920/N2920</f>
        <v>28212.632884615385</v>
      </c>
    </row>
    <row r="2921" spans="1:16" outlineLevel="2" x14ac:dyDescent="0.2">
      <c r="A2921" s="5">
        <v>46141</v>
      </c>
      <c r="B2921" s="2">
        <v>159048</v>
      </c>
      <c r="C2921" s="2">
        <v>2</v>
      </c>
      <c r="D2921" s="2" t="s">
        <v>57</v>
      </c>
      <c r="E2921" s="2" t="s">
        <v>443</v>
      </c>
      <c r="F2921" s="2" t="s">
        <v>31</v>
      </c>
      <c r="G2921" s="2" t="s">
        <v>22</v>
      </c>
      <c r="H2921" s="2" t="s">
        <v>23</v>
      </c>
      <c r="I2921" s="2" t="s">
        <v>23</v>
      </c>
      <c r="J2921" s="2">
        <v>1</v>
      </c>
      <c r="K2921" s="2" t="s">
        <v>24</v>
      </c>
      <c r="L2921" s="2">
        <v>226</v>
      </c>
      <c r="M2921" s="2" t="s">
        <v>59</v>
      </c>
      <c r="N2921" s="2">
        <v>42</v>
      </c>
      <c r="O2921" s="2">
        <v>1515822.29</v>
      </c>
      <c r="P2921" s="2">
        <v>36091.01</v>
      </c>
    </row>
    <row r="2922" spans="1:16" outlineLevel="1" x14ac:dyDescent="0.2">
      <c r="A2922" s="5"/>
      <c r="D2922" s="3" t="s">
        <v>716</v>
      </c>
      <c r="N2922" s="2">
        <f>SUBTOTAL(9,N2921:N2921)</f>
        <v>42</v>
      </c>
      <c r="O2922" s="2">
        <f>SUBTOTAL(9,O2921:O2921)</f>
        <v>1515822.29</v>
      </c>
      <c r="P2922" s="2">
        <f>+O2922/N2922</f>
        <v>36091.006904761904</v>
      </c>
    </row>
    <row r="2923" spans="1:16" outlineLevel="2" x14ac:dyDescent="0.2">
      <c r="A2923" s="5">
        <v>46141</v>
      </c>
      <c r="B2923" s="2">
        <v>159049</v>
      </c>
      <c r="C2923" s="2">
        <v>1</v>
      </c>
      <c r="D2923" s="2" t="s">
        <v>207</v>
      </c>
      <c r="E2923" s="2" t="s">
        <v>23</v>
      </c>
      <c r="F2923" s="2" t="s">
        <v>47</v>
      </c>
      <c r="G2923" s="2" t="s">
        <v>210</v>
      </c>
      <c r="H2923" s="2" t="s">
        <v>23</v>
      </c>
      <c r="I2923" s="2" t="s">
        <v>23</v>
      </c>
      <c r="J2923" s="2">
        <v>1</v>
      </c>
      <c r="K2923" s="2" t="s">
        <v>24</v>
      </c>
      <c r="L2923" s="2">
        <v>25213</v>
      </c>
      <c r="M2923" s="2" t="s">
        <v>130</v>
      </c>
      <c r="N2923" s="2">
        <v>2</v>
      </c>
      <c r="O2923" s="2">
        <v>147181.35</v>
      </c>
      <c r="P2923" s="2">
        <v>73590.679999999993</v>
      </c>
    </row>
    <row r="2924" spans="1:16" outlineLevel="1" x14ac:dyDescent="0.2">
      <c r="A2924" s="5"/>
      <c r="D2924" s="3" t="s">
        <v>699</v>
      </c>
      <c r="N2924" s="2">
        <f>SUBTOTAL(9,N2923:N2923)</f>
        <v>2</v>
      </c>
      <c r="O2924" s="2">
        <f>SUBTOTAL(9,O2923:O2923)</f>
        <v>147181.35</v>
      </c>
      <c r="P2924" s="2">
        <f>+O2924/N2924</f>
        <v>73590.675000000003</v>
      </c>
    </row>
    <row r="2925" spans="1:16" outlineLevel="2" x14ac:dyDescent="0.2">
      <c r="A2925" s="5">
        <v>46141</v>
      </c>
      <c r="B2925" s="2">
        <v>159049</v>
      </c>
      <c r="C2925" s="2">
        <v>2</v>
      </c>
      <c r="D2925" s="2" t="s">
        <v>128</v>
      </c>
      <c r="E2925" s="2" t="s">
        <v>23</v>
      </c>
      <c r="F2925" s="2" t="s">
        <v>47</v>
      </c>
      <c r="G2925" s="2" t="s">
        <v>22</v>
      </c>
      <c r="H2925" s="2" t="s">
        <v>23</v>
      </c>
      <c r="I2925" s="2" t="s">
        <v>23</v>
      </c>
      <c r="J2925" s="2">
        <v>41</v>
      </c>
      <c r="K2925" s="2" t="s">
        <v>129</v>
      </c>
      <c r="L2925" s="2">
        <v>25213</v>
      </c>
      <c r="M2925" s="2" t="s">
        <v>130</v>
      </c>
      <c r="N2925" s="2">
        <v>25</v>
      </c>
      <c r="O2925" s="2">
        <v>95128.25</v>
      </c>
      <c r="P2925" s="2">
        <v>3805.13</v>
      </c>
    </row>
    <row r="2926" spans="1:16" outlineLevel="1" x14ac:dyDescent="0.2">
      <c r="A2926" s="5"/>
      <c r="D2926" s="3" t="s">
        <v>732</v>
      </c>
      <c r="N2926" s="2">
        <f>SUBTOTAL(9,N2925:N2925)</f>
        <v>25</v>
      </c>
      <c r="O2926" s="2">
        <f>SUBTOTAL(9,O2925:O2925)</f>
        <v>95128.25</v>
      </c>
      <c r="P2926" s="2">
        <f>+O2926/N2926</f>
        <v>3805.13</v>
      </c>
    </row>
    <row r="2927" spans="1:16" outlineLevel="2" x14ac:dyDescent="0.2">
      <c r="A2927" s="5">
        <v>46141</v>
      </c>
      <c r="B2927" s="2">
        <v>159049</v>
      </c>
      <c r="C2927" s="2">
        <v>3</v>
      </c>
      <c r="D2927" s="2" t="s">
        <v>207</v>
      </c>
      <c r="E2927" s="2" t="s">
        <v>23</v>
      </c>
      <c r="F2927" s="2" t="s">
        <v>47</v>
      </c>
      <c r="G2927" s="2" t="s">
        <v>22</v>
      </c>
      <c r="H2927" s="2" t="s">
        <v>208</v>
      </c>
      <c r="I2927" s="2" t="s">
        <v>23</v>
      </c>
      <c r="J2927" s="2">
        <v>41</v>
      </c>
      <c r="K2927" s="2" t="s">
        <v>129</v>
      </c>
      <c r="L2927" s="2">
        <v>25213</v>
      </c>
      <c r="M2927" s="2" t="s">
        <v>130</v>
      </c>
      <c r="N2927" s="2">
        <v>25</v>
      </c>
      <c r="O2927" s="2">
        <v>85793.75</v>
      </c>
      <c r="P2927" s="2">
        <v>3431.75</v>
      </c>
    </row>
    <row r="2928" spans="1:16" outlineLevel="2" x14ac:dyDescent="0.2">
      <c r="A2928" s="5">
        <v>46141</v>
      </c>
      <c r="B2928" s="2">
        <v>159049</v>
      </c>
      <c r="C2928" s="2">
        <v>4</v>
      </c>
      <c r="D2928" s="2" t="s">
        <v>207</v>
      </c>
      <c r="E2928" s="2" t="s">
        <v>23</v>
      </c>
      <c r="F2928" s="2" t="s">
        <v>47</v>
      </c>
      <c r="G2928" s="2" t="s">
        <v>22</v>
      </c>
      <c r="H2928" s="2" t="s">
        <v>209</v>
      </c>
      <c r="I2928" s="2" t="s">
        <v>23</v>
      </c>
      <c r="J2928" s="2">
        <v>41</v>
      </c>
      <c r="K2928" s="2" t="s">
        <v>129</v>
      </c>
      <c r="L2928" s="2">
        <v>25213</v>
      </c>
      <c r="M2928" s="2" t="s">
        <v>130</v>
      </c>
      <c r="N2928" s="2">
        <v>25</v>
      </c>
      <c r="O2928" s="2">
        <v>48895.68</v>
      </c>
      <c r="P2928" s="2">
        <v>1955.83</v>
      </c>
    </row>
    <row r="2929" spans="1:16" outlineLevel="1" x14ac:dyDescent="0.2">
      <c r="A2929" s="5"/>
      <c r="D2929" s="3" t="s">
        <v>699</v>
      </c>
      <c r="N2929" s="2">
        <f>SUBTOTAL(9,N2927:N2928)</f>
        <v>50</v>
      </c>
      <c r="O2929" s="2">
        <f>SUBTOTAL(9,O2927:O2928)</f>
        <v>134689.43</v>
      </c>
      <c r="P2929" s="2">
        <f>+O2929/N2929</f>
        <v>2693.7885999999999</v>
      </c>
    </row>
    <row r="2930" spans="1:16" outlineLevel="2" x14ac:dyDescent="0.2">
      <c r="A2930" s="5">
        <v>46141</v>
      </c>
      <c r="B2930" s="2">
        <v>159050</v>
      </c>
      <c r="C2930" s="2">
        <v>1</v>
      </c>
      <c r="D2930" s="2" t="s">
        <v>143</v>
      </c>
      <c r="E2930" s="2" t="s">
        <v>23</v>
      </c>
      <c r="F2930" s="2" t="s">
        <v>144</v>
      </c>
      <c r="G2930" s="2" t="s">
        <v>22</v>
      </c>
      <c r="H2930" s="2" t="s">
        <v>23</v>
      </c>
      <c r="I2930" s="2" t="s">
        <v>23</v>
      </c>
      <c r="J2930" s="2">
        <v>1</v>
      </c>
      <c r="K2930" s="2" t="s">
        <v>24</v>
      </c>
      <c r="L2930" s="2">
        <v>2101</v>
      </c>
      <c r="M2930" s="2" t="s">
        <v>145</v>
      </c>
      <c r="N2930" s="2">
        <v>130</v>
      </c>
      <c r="O2930" s="2">
        <v>1469478.84</v>
      </c>
      <c r="P2930" s="2">
        <v>11303.68</v>
      </c>
    </row>
    <row r="2931" spans="1:16" outlineLevel="1" x14ac:dyDescent="0.2">
      <c r="A2931" s="5"/>
      <c r="D2931" s="3" t="s">
        <v>706</v>
      </c>
      <c r="N2931" s="2">
        <f>SUBTOTAL(9,N2930:N2930)</f>
        <v>130</v>
      </c>
      <c r="O2931" s="2">
        <f>SUBTOTAL(9,O2930:O2930)</f>
        <v>1469478.84</v>
      </c>
      <c r="P2931" s="2">
        <f>+O2931/N2931</f>
        <v>11303.683384615386</v>
      </c>
    </row>
    <row r="2932" spans="1:16" outlineLevel="2" x14ac:dyDescent="0.2">
      <c r="A2932" s="5">
        <v>46141</v>
      </c>
      <c r="B2932" s="2">
        <v>159051</v>
      </c>
      <c r="C2932" s="2">
        <v>1</v>
      </c>
      <c r="D2932" s="2" t="s">
        <v>474</v>
      </c>
      <c r="E2932" s="2" t="s">
        <v>475</v>
      </c>
      <c r="F2932" s="2" t="s">
        <v>47</v>
      </c>
      <c r="G2932" s="2" t="s">
        <v>22</v>
      </c>
      <c r="H2932" s="2" t="s">
        <v>23</v>
      </c>
      <c r="I2932" s="2" t="s">
        <v>23</v>
      </c>
      <c r="J2932" s="2">
        <v>41</v>
      </c>
      <c r="K2932" s="2" t="s">
        <v>129</v>
      </c>
      <c r="L2932" s="2">
        <v>2338</v>
      </c>
      <c r="M2932" s="2" t="s">
        <v>417</v>
      </c>
      <c r="N2932" s="2">
        <v>447</v>
      </c>
      <c r="O2932" s="2">
        <v>532141.59</v>
      </c>
      <c r="P2932" s="2">
        <v>1190.47</v>
      </c>
    </row>
    <row r="2933" spans="1:16" outlineLevel="1" x14ac:dyDescent="0.2">
      <c r="A2933" s="5"/>
      <c r="D2933" s="3" t="s">
        <v>780</v>
      </c>
      <c r="N2933" s="2">
        <f>SUBTOTAL(9,N2932:N2932)</f>
        <v>447</v>
      </c>
      <c r="O2933" s="2">
        <f>SUBTOTAL(9,O2932:O2932)</f>
        <v>532141.59</v>
      </c>
      <c r="P2933" s="2">
        <f>+O2933/N2933</f>
        <v>1190.473355704698</v>
      </c>
    </row>
    <row r="2934" spans="1:16" outlineLevel="2" x14ac:dyDescent="0.2">
      <c r="A2934" s="5">
        <v>46141</v>
      </c>
      <c r="B2934" s="2">
        <v>159051</v>
      </c>
      <c r="C2934" s="2">
        <v>2</v>
      </c>
      <c r="D2934" s="2" t="s">
        <v>470</v>
      </c>
      <c r="E2934" s="2" t="s">
        <v>23</v>
      </c>
      <c r="F2934" s="2" t="s">
        <v>47</v>
      </c>
      <c r="G2934" s="2" t="s">
        <v>22</v>
      </c>
      <c r="H2934" s="2" t="s">
        <v>23</v>
      </c>
      <c r="I2934" s="2" t="s">
        <v>23</v>
      </c>
      <c r="J2934" s="2">
        <v>93</v>
      </c>
      <c r="K2934" s="2" t="s">
        <v>183</v>
      </c>
      <c r="L2934" s="2">
        <v>2338</v>
      </c>
      <c r="M2934" s="2" t="s">
        <v>417</v>
      </c>
      <c r="N2934" s="2">
        <v>5</v>
      </c>
      <c r="O2934" s="2">
        <v>80632.600000000006</v>
      </c>
      <c r="P2934" s="2">
        <v>16126.52</v>
      </c>
    </row>
    <row r="2935" spans="1:16" outlineLevel="1" x14ac:dyDescent="0.2">
      <c r="A2935" s="5"/>
      <c r="D2935" s="3" t="s">
        <v>779</v>
      </c>
      <c r="N2935" s="2">
        <f>SUBTOTAL(9,N2934:N2934)</f>
        <v>5</v>
      </c>
      <c r="O2935" s="2">
        <f>SUBTOTAL(9,O2934:O2934)</f>
        <v>80632.600000000006</v>
      </c>
      <c r="P2935" s="2">
        <f>+O2935/N2935</f>
        <v>16126.52</v>
      </c>
    </row>
    <row r="2936" spans="1:16" outlineLevel="2" x14ac:dyDescent="0.2">
      <c r="A2936" s="5">
        <v>46157</v>
      </c>
      <c r="B2936" s="2">
        <v>159052</v>
      </c>
      <c r="C2936" s="2">
        <v>315</v>
      </c>
      <c r="D2936" s="2" t="s">
        <v>203</v>
      </c>
      <c r="E2936" s="2" t="s">
        <v>125</v>
      </c>
      <c r="F2936" s="2" t="s">
        <v>23</v>
      </c>
      <c r="G2936" s="2" t="s">
        <v>23</v>
      </c>
      <c r="H2936" s="2" t="s">
        <v>23</v>
      </c>
      <c r="I2936" s="2" t="s">
        <v>23</v>
      </c>
      <c r="J2936" s="2">
        <v>2</v>
      </c>
      <c r="K2936" s="2" t="s">
        <v>48</v>
      </c>
      <c r="L2936" s="2">
        <v>626</v>
      </c>
      <c r="M2936" s="2" t="s">
        <v>49</v>
      </c>
      <c r="N2936" s="2">
        <v>6</v>
      </c>
      <c r="O2936" s="2">
        <v>39259.300000000003</v>
      </c>
      <c r="P2936" s="2">
        <v>6543.22</v>
      </c>
    </row>
    <row r="2937" spans="1:16" outlineLevel="1" x14ac:dyDescent="0.2">
      <c r="A2937" s="5"/>
      <c r="D2937" s="3" t="s">
        <v>735</v>
      </c>
      <c r="N2937" s="2">
        <f>SUBTOTAL(9,N2936:N2936)</f>
        <v>6</v>
      </c>
      <c r="O2937" s="2">
        <f>SUBTOTAL(9,O2936:O2936)</f>
        <v>39259.300000000003</v>
      </c>
      <c r="P2937" s="2">
        <f>+O2937/N2937</f>
        <v>6543.2166666666672</v>
      </c>
    </row>
    <row r="2938" spans="1:16" outlineLevel="2" x14ac:dyDescent="0.2">
      <c r="A2938" s="5">
        <v>46155</v>
      </c>
      <c r="B2938" s="2">
        <v>159053</v>
      </c>
      <c r="C2938" s="2">
        <v>315</v>
      </c>
      <c r="D2938" s="2" t="s">
        <v>110</v>
      </c>
      <c r="E2938" s="2" t="s">
        <v>111</v>
      </c>
      <c r="F2938" s="2" t="s">
        <v>47</v>
      </c>
      <c r="G2938" s="2" t="s">
        <v>23</v>
      </c>
      <c r="H2938" s="2" t="s">
        <v>23</v>
      </c>
      <c r="I2938" s="2" t="s">
        <v>23</v>
      </c>
      <c r="J2938" s="2">
        <v>2</v>
      </c>
      <c r="K2938" s="2" t="s">
        <v>48</v>
      </c>
      <c r="L2938" s="2">
        <v>1557</v>
      </c>
      <c r="M2938" s="2" t="s">
        <v>98</v>
      </c>
      <c r="N2938" s="2">
        <v>24</v>
      </c>
      <c r="O2938" s="2">
        <v>112934.64</v>
      </c>
      <c r="P2938" s="2">
        <v>4705.6099999999997</v>
      </c>
    </row>
    <row r="2939" spans="1:16" outlineLevel="1" x14ac:dyDescent="0.2">
      <c r="A2939" s="5"/>
      <c r="D2939" s="3" t="s">
        <v>697</v>
      </c>
      <c r="N2939" s="2">
        <f>SUBTOTAL(9,N2938:N2938)</f>
        <v>24</v>
      </c>
      <c r="O2939" s="2">
        <f>SUBTOTAL(9,O2938:O2938)</f>
        <v>112934.64</v>
      </c>
      <c r="P2939" s="2">
        <f>+O2939/N2939</f>
        <v>4705.6099999999997</v>
      </c>
    </row>
    <row r="2940" spans="1:16" outlineLevel="2" x14ac:dyDescent="0.2">
      <c r="A2940" s="5">
        <v>46155</v>
      </c>
      <c r="B2940" s="2">
        <v>159054</v>
      </c>
      <c r="C2940" s="2">
        <v>315</v>
      </c>
      <c r="D2940" s="2" t="s">
        <v>215</v>
      </c>
      <c r="E2940" s="2" t="s">
        <v>23</v>
      </c>
      <c r="F2940" s="2" t="s">
        <v>23</v>
      </c>
      <c r="G2940" s="2" t="s">
        <v>22</v>
      </c>
      <c r="H2940" s="2" t="s">
        <v>23</v>
      </c>
      <c r="I2940" s="2" t="s">
        <v>23</v>
      </c>
      <c r="J2940" s="2">
        <v>2</v>
      </c>
      <c r="K2940" s="2" t="s">
        <v>48</v>
      </c>
      <c r="L2940" s="2">
        <v>600</v>
      </c>
      <c r="M2940" s="2" t="s">
        <v>112</v>
      </c>
      <c r="N2940" s="2">
        <v>21</v>
      </c>
      <c r="O2940" s="2">
        <v>63665.94</v>
      </c>
      <c r="P2940" s="2">
        <v>3031.71</v>
      </c>
    </row>
    <row r="2941" spans="1:16" outlineLevel="1" x14ac:dyDescent="0.2">
      <c r="A2941" s="5"/>
      <c r="D2941" s="3" t="s">
        <v>727</v>
      </c>
      <c r="N2941" s="2">
        <f>SUBTOTAL(9,N2940:N2940)</f>
        <v>21</v>
      </c>
      <c r="O2941" s="2">
        <f>SUBTOTAL(9,O2940:O2940)</f>
        <v>63665.94</v>
      </c>
      <c r="P2941" s="2">
        <f>+O2941/N2941</f>
        <v>3031.7114285714288</v>
      </c>
    </row>
    <row r="2942" spans="1:16" outlineLevel="2" x14ac:dyDescent="0.2">
      <c r="A2942" s="5">
        <v>46157</v>
      </c>
      <c r="B2942" s="2">
        <v>159055</v>
      </c>
      <c r="C2942" s="2">
        <v>1</v>
      </c>
      <c r="D2942" s="2" t="s">
        <v>203</v>
      </c>
      <c r="E2942" s="2" t="s">
        <v>238</v>
      </c>
      <c r="F2942" s="2" t="s">
        <v>23</v>
      </c>
      <c r="G2942" s="2" t="s">
        <v>23</v>
      </c>
      <c r="H2942" s="2" t="s">
        <v>23</v>
      </c>
      <c r="I2942" s="2" t="s">
        <v>23</v>
      </c>
      <c r="J2942" s="2">
        <v>2</v>
      </c>
      <c r="K2942" s="2" t="s">
        <v>48</v>
      </c>
      <c r="L2942" s="2">
        <v>600</v>
      </c>
      <c r="M2942" s="2" t="s">
        <v>112</v>
      </c>
      <c r="N2942" s="2">
        <v>3</v>
      </c>
      <c r="O2942" s="2">
        <v>12162.13</v>
      </c>
      <c r="P2942" s="2">
        <v>4054.04</v>
      </c>
    </row>
    <row r="2943" spans="1:16" outlineLevel="1" x14ac:dyDescent="0.2">
      <c r="A2943" s="5"/>
      <c r="D2943" s="3" t="s">
        <v>735</v>
      </c>
      <c r="N2943" s="2">
        <f>SUBTOTAL(9,N2942:N2942)</f>
        <v>3</v>
      </c>
      <c r="O2943" s="2">
        <f>SUBTOTAL(9,O2942:O2942)</f>
        <v>12162.13</v>
      </c>
      <c r="P2943" s="2">
        <f>+O2943/N2943</f>
        <v>4054.0433333333331</v>
      </c>
    </row>
    <row r="2944" spans="1:16" outlineLevel="2" x14ac:dyDescent="0.2">
      <c r="A2944" s="5">
        <v>46155</v>
      </c>
      <c r="B2944" s="2">
        <v>159057</v>
      </c>
      <c r="C2944" s="2">
        <v>315</v>
      </c>
      <c r="D2944" s="2" t="s">
        <v>110</v>
      </c>
      <c r="E2944" s="2" t="s">
        <v>111</v>
      </c>
      <c r="F2944" s="2" t="s">
        <v>47</v>
      </c>
      <c r="G2944" s="2" t="s">
        <v>23</v>
      </c>
      <c r="H2944" s="2" t="s">
        <v>23</v>
      </c>
      <c r="I2944" s="2" t="s">
        <v>23</v>
      </c>
      <c r="J2944" s="2">
        <v>2</v>
      </c>
      <c r="K2944" s="2" t="s">
        <v>48</v>
      </c>
      <c r="L2944" s="2">
        <v>1833</v>
      </c>
      <c r="M2944" s="2" t="s">
        <v>142</v>
      </c>
      <c r="N2944" s="2">
        <v>14</v>
      </c>
      <c r="O2944" s="2">
        <v>61112.66</v>
      </c>
      <c r="P2944" s="2">
        <v>4365.1899999999996</v>
      </c>
    </row>
    <row r="2945" spans="1:16" outlineLevel="1" x14ac:dyDescent="0.2">
      <c r="A2945" s="5"/>
      <c r="D2945" s="3" t="s">
        <v>697</v>
      </c>
      <c r="N2945" s="2">
        <f>SUBTOTAL(9,N2944:N2944)</f>
        <v>14</v>
      </c>
      <c r="O2945" s="2">
        <f>SUBTOTAL(9,O2944:O2944)</f>
        <v>61112.66</v>
      </c>
      <c r="P2945" s="2">
        <f>+O2945/N2945</f>
        <v>4365.1900000000005</v>
      </c>
    </row>
    <row r="2946" spans="1:16" outlineLevel="2" x14ac:dyDescent="0.2">
      <c r="A2946" s="5">
        <v>46141</v>
      </c>
      <c r="B2946" s="2">
        <v>159080</v>
      </c>
      <c r="C2946" s="2">
        <v>5</v>
      </c>
      <c r="D2946" s="2" t="s">
        <v>45</v>
      </c>
      <c r="E2946" s="2" t="s">
        <v>125</v>
      </c>
      <c r="F2946" s="2" t="s">
        <v>289</v>
      </c>
      <c r="G2946" s="2" t="s">
        <v>22</v>
      </c>
      <c r="H2946" s="2" t="s">
        <v>23</v>
      </c>
      <c r="I2946" s="2" t="s">
        <v>23</v>
      </c>
      <c r="J2946" s="2">
        <v>2</v>
      </c>
      <c r="K2946" s="2" t="s">
        <v>48</v>
      </c>
      <c r="L2946" s="2">
        <v>106</v>
      </c>
      <c r="M2946" s="2" t="s">
        <v>486</v>
      </c>
      <c r="N2946" s="2">
        <v>53</v>
      </c>
      <c r="O2946" s="2">
        <v>1309477.44</v>
      </c>
      <c r="P2946" s="2">
        <v>24707.119999999999</v>
      </c>
    </row>
    <row r="2947" spans="1:16" outlineLevel="2" x14ac:dyDescent="0.2">
      <c r="A2947" s="5">
        <v>46141</v>
      </c>
      <c r="B2947" s="2">
        <v>159080</v>
      </c>
      <c r="C2947" s="2">
        <v>6</v>
      </c>
      <c r="D2947" s="2" t="s">
        <v>45</v>
      </c>
      <c r="E2947" s="2" t="s">
        <v>125</v>
      </c>
      <c r="F2947" s="2" t="s">
        <v>289</v>
      </c>
      <c r="G2947" s="2" t="s">
        <v>22</v>
      </c>
      <c r="H2947" s="2" t="s">
        <v>23</v>
      </c>
      <c r="I2947" s="2" t="s">
        <v>23</v>
      </c>
      <c r="J2947" s="2">
        <v>2</v>
      </c>
      <c r="K2947" s="2" t="s">
        <v>48</v>
      </c>
      <c r="L2947" s="2">
        <v>106</v>
      </c>
      <c r="M2947" s="2" t="s">
        <v>486</v>
      </c>
      <c r="N2947" s="2">
        <v>56</v>
      </c>
      <c r="O2947" s="2">
        <v>1327240.48</v>
      </c>
      <c r="P2947" s="2">
        <v>23700.720000000001</v>
      </c>
    </row>
    <row r="2948" spans="1:16" outlineLevel="2" x14ac:dyDescent="0.2">
      <c r="A2948" s="5">
        <v>46150</v>
      </c>
      <c r="B2948" s="2">
        <v>159080</v>
      </c>
      <c r="C2948" s="2">
        <v>302</v>
      </c>
      <c r="D2948" s="2" t="s">
        <v>45</v>
      </c>
      <c r="E2948" s="2" t="s">
        <v>125</v>
      </c>
      <c r="F2948" s="2" t="s">
        <v>289</v>
      </c>
      <c r="G2948" s="2" t="s">
        <v>210</v>
      </c>
      <c r="H2948" s="2" t="s">
        <v>23</v>
      </c>
      <c r="I2948" s="2" t="s">
        <v>23</v>
      </c>
      <c r="J2948" s="2">
        <v>2</v>
      </c>
      <c r="K2948" s="2" t="s">
        <v>48</v>
      </c>
      <c r="L2948" s="2">
        <v>106</v>
      </c>
      <c r="M2948" s="2" t="s">
        <v>486</v>
      </c>
      <c r="N2948" s="2">
        <v>14</v>
      </c>
      <c r="O2948" s="2">
        <v>77914.58</v>
      </c>
      <c r="P2948" s="2">
        <v>5565.33</v>
      </c>
    </row>
    <row r="2949" spans="1:16" outlineLevel="2" x14ac:dyDescent="0.2">
      <c r="A2949" s="5">
        <v>46178</v>
      </c>
      <c r="B2949" s="2">
        <v>159080</v>
      </c>
      <c r="C2949" s="2">
        <v>315</v>
      </c>
      <c r="D2949" s="2" t="s">
        <v>45</v>
      </c>
      <c r="E2949" s="2" t="s">
        <v>125</v>
      </c>
      <c r="F2949" s="2" t="s">
        <v>55</v>
      </c>
      <c r="G2949" s="2" t="s">
        <v>23</v>
      </c>
      <c r="H2949" s="2" t="s">
        <v>23</v>
      </c>
      <c r="I2949" s="2" t="s">
        <v>23</v>
      </c>
      <c r="J2949" s="2">
        <v>2</v>
      </c>
      <c r="K2949" s="2" t="s">
        <v>48</v>
      </c>
      <c r="L2949" s="2">
        <v>106</v>
      </c>
      <c r="M2949" s="2" t="s">
        <v>486</v>
      </c>
      <c r="N2949" s="2">
        <v>27</v>
      </c>
      <c r="O2949" s="2">
        <v>291479.86</v>
      </c>
      <c r="P2949" s="2">
        <v>10795.55</v>
      </c>
    </row>
    <row r="2950" spans="1:16" outlineLevel="1" x14ac:dyDescent="0.2">
      <c r="A2950" s="5"/>
      <c r="D2950" s="3" t="s">
        <v>733</v>
      </c>
      <c r="N2950" s="2">
        <f>SUBTOTAL(9,N2946:N2949)</f>
        <v>150</v>
      </c>
      <c r="O2950" s="2">
        <f>SUBTOTAL(9,O2946:O2949)</f>
        <v>3006112.36</v>
      </c>
      <c r="P2950" s="2">
        <f>+O2950/N2950</f>
        <v>20040.749066666667</v>
      </c>
    </row>
    <row r="2951" spans="1:16" outlineLevel="2" x14ac:dyDescent="0.2">
      <c r="A2951" s="5">
        <v>46146</v>
      </c>
      <c r="B2951" s="2">
        <v>159082</v>
      </c>
      <c r="C2951" s="2">
        <v>302</v>
      </c>
      <c r="D2951" s="2" t="s">
        <v>54</v>
      </c>
      <c r="E2951" s="2" t="s">
        <v>30</v>
      </c>
      <c r="F2951" s="2" t="s">
        <v>55</v>
      </c>
      <c r="G2951" s="2" t="s">
        <v>23</v>
      </c>
      <c r="H2951" s="2" t="s">
        <v>23</v>
      </c>
      <c r="I2951" s="2" t="s">
        <v>23</v>
      </c>
      <c r="J2951" s="2">
        <v>2</v>
      </c>
      <c r="K2951" s="2" t="s">
        <v>48</v>
      </c>
      <c r="L2951" s="2">
        <v>801</v>
      </c>
      <c r="M2951" s="2" t="s">
        <v>56</v>
      </c>
      <c r="N2951" s="2">
        <v>4</v>
      </c>
      <c r="O2951" s="2">
        <v>17460.759999999998</v>
      </c>
      <c r="P2951" s="2">
        <v>4365.1899999999996</v>
      </c>
    </row>
    <row r="2952" spans="1:16" outlineLevel="1" x14ac:dyDescent="0.2">
      <c r="A2952" s="5"/>
      <c r="D2952" s="3" t="s">
        <v>719</v>
      </c>
      <c r="N2952" s="2">
        <f>SUBTOTAL(9,N2951:N2951)</f>
        <v>4</v>
      </c>
      <c r="O2952" s="2">
        <f>SUBTOTAL(9,O2951:O2951)</f>
        <v>17460.759999999998</v>
      </c>
      <c r="P2952" s="2">
        <f>+O2952/N2952</f>
        <v>4365.1899999999996</v>
      </c>
    </row>
    <row r="2953" spans="1:16" outlineLevel="2" x14ac:dyDescent="0.2">
      <c r="A2953" s="5">
        <v>46150</v>
      </c>
      <c r="B2953" s="2">
        <v>159084</v>
      </c>
      <c r="C2953" s="2">
        <v>3</v>
      </c>
      <c r="D2953" s="2" t="s">
        <v>197</v>
      </c>
      <c r="E2953" s="2" t="s">
        <v>465</v>
      </c>
      <c r="F2953" s="2" t="s">
        <v>63</v>
      </c>
      <c r="G2953" s="2" t="s">
        <v>22</v>
      </c>
      <c r="H2953" s="2" t="s">
        <v>23</v>
      </c>
      <c r="I2953" s="2" t="s">
        <v>23</v>
      </c>
      <c r="J2953" s="2">
        <v>1</v>
      </c>
      <c r="K2953" s="2" t="s">
        <v>24</v>
      </c>
      <c r="L2953" s="2">
        <v>2014</v>
      </c>
      <c r="M2953" s="2" t="s">
        <v>437</v>
      </c>
      <c r="N2953" s="2">
        <v>1200</v>
      </c>
      <c r="O2953" s="2">
        <v>93761025.200000003</v>
      </c>
      <c r="P2953" s="2">
        <v>78134.19</v>
      </c>
    </row>
    <row r="2954" spans="1:16" outlineLevel="1" x14ac:dyDescent="0.2">
      <c r="A2954" s="5"/>
      <c r="D2954" s="3" t="s">
        <v>734</v>
      </c>
      <c r="N2954" s="2">
        <f>SUBTOTAL(9,N2953:N2953)</f>
        <v>1200</v>
      </c>
      <c r="O2954" s="2">
        <f>SUBTOTAL(9,O2953:O2953)</f>
        <v>93761025.200000003</v>
      </c>
      <c r="P2954" s="2">
        <f>+O2954/N2954</f>
        <v>78134.187666666665</v>
      </c>
    </row>
    <row r="2955" spans="1:16" outlineLevel="2" x14ac:dyDescent="0.2">
      <c r="A2955" s="5">
        <v>46153</v>
      </c>
      <c r="B2955" s="2">
        <v>159085</v>
      </c>
      <c r="C2955" s="2">
        <v>1</v>
      </c>
      <c r="D2955" s="2" t="s">
        <v>38</v>
      </c>
      <c r="E2955" s="2" t="s">
        <v>39</v>
      </c>
      <c r="F2955" s="2" t="s">
        <v>40</v>
      </c>
      <c r="G2955" s="2" t="s">
        <v>41</v>
      </c>
      <c r="H2955" s="2" t="s">
        <v>23</v>
      </c>
      <c r="I2955" s="2" t="s">
        <v>445</v>
      </c>
      <c r="J2955" s="2">
        <v>40</v>
      </c>
      <c r="K2955" s="2" t="s">
        <v>43</v>
      </c>
      <c r="L2955" s="2">
        <v>2579</v>
      </c>
      <c r="M2955" s="2" t="s">
        <v>44</v>
      </c>
      <c r="N2955" s="2">
        <v>288</v>
      </c>
      <c r="O2955" s="2">
        <v>8213109.1500000004</v>
      </c>
      <c r="P2955" s="2">
        <v>28517.74</v>
      </c>
    </row>
    <row r="2956" spans="1:16" outlineLevel="2" x14ac:dyDescent="0.2">
      <c r="A2956" s="5">
        <v>46153</v>
      </c>
      <c r="B2956" s="2">
        <v>159085</v>
      </c>
      <c r="C2956" s="2">
        <v>2</v>
      </c>
      <c r="D2956" s="2" t="s">
        <v>38</v>
      </c>
      <c r="E2956" s="2" t="s">
        <v>39</v>
      </c>
      <c r="F2956" s="2" t="s">
        <v>40</v>
      </c>
      <c r="G2956" s="2" t="s">
        <v>22</v>
      </c>
      <c r="H2956" s="2" t="s">
        <v>41</v>
      </c>
      <c r="I2956" s="2" t="s">
        <v>410</v>
      </c>
      <c r="J2956" s="2">
        <v>40</v>
      </c>
      <c r="K2956" s="2" t="s">
        <v>43</v>
      </c>
      <c r="L2956" s="2">
        <v>2579</v>
      </c>
      <c r="M2956" s="2" t="s">
        <v>44</v>
      </c>
      <c r="N2956" s="2">
        <v>225</v>
      </c>
      <c r="O2956" s="2">
        <v>6348907.7400000002</v>
      </c>
      <c r="P2956" s="2">
        <v>28217.37</v>
      </c>
    </row>
    <row r="2957" spans="1:16" outlineLevel="2" x14ac:dyDescent="0.2">
      <c r="A2957" s="5">
        <v>46160</v>
      </c>
      <c r="B2957" s="2">
        <v>159085</v>
      </c>
      <c r="C2957" s="2">
        <v>3</v>
      </c>
      <c r="D2957" s="2" t="s">
        <v>38</v>
      </c>
      <c r="E2957" s="2" t="s">
        <v>39</v>
      </c>
      <c r="F2957" s="2" t="s">
        <v>40</v>
      </c>
      <c r="G2957" s="2" t="s">
        <v>41</v>
      </c>
      <c r="H2957" s="2" t="s">
        <v>23</v>
      </c>
      <c r="I2957" s="2" t="s">
        <v>334</v>
      </c>
      <c r="J2957" s="2">
        <v>40</v>
      </c>
      <c r="K2957" s="2" t="s">
        <v>43</v>
      </c>
      <c r="L2957" s="2">
        <v>2579</v>
      </c>
      <c r="M2957" s="2" t="s">
        <v>44</v>
      </c>
      <c r="N2957" s="2">
        <v>58</v>
      </c>
      <c r="O2957" s="2">
        <v>1658940.5</v>
      </c>
      <c r="P2957" s="2">
        <v>28602.42</v>
      </c>
    </row>
    <row r="2958" spans="1:16" outlineLevel="2" x14ac:dyDescent="0.2">
      <c r="A2958" s="5">
        <v>46146</v>
      </c>
      <c r="B2958" s="2">
        <v>159085</v>
      </c>
      <c r="C2958" s="2">
        <v>4</v>
      </c>
      <c r="D2958" s="2" t="s">
        <v>38</v>
      </c>
      <c r="E2958" s="2" t="s">
        <v>39</v>
      </c>
      <c r="F2958" s="2" t="s">
        <v>40</v>
      </c>
      <c r="G2958" s="2" t="s">
        <v>41</v>
      </c>
      <c r="H2958" s="2" t="s">
        <v>23</v>
      </c>
      <c r="I2958" s="2" t="s">
        <v>124</v>
      </c>
      <c r="J2958" s="2">
        <v>40</v>
      </c>
      <c r="K2958" s="2" t="s">
        <v>43</v>
      </c>
      <c r="L2958" s="2">
        <v>2579</v>
      </c>
      <c r="M2958" s="2" t="s">
        <v>44</v>
      </c>
      <c r="N2958" s="2">
        <v>210</v>
      </c>
      <c r="O2958" s="2">
        <v>5538967.7999999998</v>
      </c>
      <c r="P2958" s="2">
        <v>26376.04</v>
      </c>
    </row>
    <row r="2959" spans="1:16" outlineLevel="2" x14ac:dyDescent="0.2">
      <c r="A2959" s="5">
        <v>46146</v>
      </c>
      <c r="B2959" s="2">
        <v>159085</v>
      </c>
      <c r="C2959" s="2">
        <v>5</v>
      </c>
      <c r="D2959" s="2" t="s">
        <v>38</v>
      </c>
      <c r="E2959" s="2" t="s">
        <v>39</v>
      </c>
      <c r="F2959" s="2" t="s">
        <v>40</v>
      </c>
      <c r="G2959" s="2" t="s">
        <v>41</v>
      </c>
      <c r="H2959" s="2" t="s">
        <v>23</v>
      </c>
      <c r="I2959" s="2" t="s">
        <v>42</v>
      </c>
      <c r="J2959" s="2">
        <v>40</v>
      </c>
      <c r="K2959" s="2" t="s">
        <v>43</v>
      </c>
      <c r="L2959" s="2">
        <v>2579</v>
      </c>
      <c r="M2959" s="2" t="s">
        <v>44</v>
      </c>
      <c r="N2959" s="2">
        <v>288</v>
      </c>
      <c r="O2959" s="2">
        <v>7081835.5199999996</v>
      </c>
      <c r="P2959" s="2">
        <v>24589.71</v>
      </c>
    </row>
    <row r="2960" spans="1:16" outlineLevel="2" x14ac:dyDescent="0.2">
      <c r="A2960" s="5">
        <v>46157</v>
      </c>
      <c r="B2960" s="2">
        <v>159085</v>
      </c>
      <c r="C2960" s="2">
        <v>200</v>
      </c>
      <c r="D2960" s="2" t="s">
        <v>38</v>
      </c>
      <c r="E2960" s="2" t="s">
        <v>39</v>
      </c>
      <c r="F2960" s="2" t="s">
        <v>40</v>
      </c>
      <c r="G2960" s="2" t="s">
        <v>22</v>
      </c>
      <c r="H2960" s="2" t="s">
        <v>23</v>
      </c>
      <c r="I2960" s="2" t="s">
        <v>23</v>
      </c>
      <c r="J2960" s="2">
        <v>1</v>
      </c>
      <c r="K2960" s="2" t="s">
        <v>24</v>
      </c>
      <c r="L2960" s="2">
        <v>2579</v>
      </c>
      <c r="M2960" s="2" t="s">
        <v>44</v>
      </c>
      <c r="N2960" s="2">
        <v>41</v>
      </c>
      <c r="O2960" s="2">
        <v>293785.90999999997</v>
      </c>
      <c r="P2960" s="2">
        <v>7165.51</v>
      </c>
    </row>
    <row r="2961" spans="1:16" outlineLevel="2" x14ac:dyDescent="0.2">
      <c r="A2961" s="5">
        <v>46157</v>
      </c>
      <c r="B2961" s="2">
        <v>159085</v>
      </c>
      <c r="C2961" s="2">
        <v>300</v>
      </c>
      <c r="D2961" s="2" t="s">
        <v>38</v>
      </c>
      <c r="E2961" s="2" t="s">
        <v>39</v>
      </c>
      <c r="F2961" s="2" t="s">
        <v>40</v>
      </c>
      <c r="G2961" s="2" t="s">
        <v>22</v>
      </c>
      <c r="H2961" s="2" t="s">
        <v>23</v>
      </c>
      <c r="I2961" s="2" t="s">
        <v>23</v>
      </c>
      <c r="J2961" s="2">
        <v>94</v>
      </c>
      <c r="K2961" s="2" t="s">
        <v>147</v>
      </c>
      <c r="L2961" s="2">
        <v>2579</v>
      </c>
      <c r="M2961" s="2" t="s">
        <v>44</v>
      </c>
      <c r="N2961" s="2">
        <v>2</v>
      </c>
      <c r="O2961" s="2">
        <v>18064.78</v>
      </c>
      <c r="P2961" s="2">
        <v>9032.39</v>
      </c>
    </row>
    <row r="2962" spans="1:16" outlineLevel="1" x14ac:dyDescent="0.2">
      <c r="A2962" s="5"/>
      <c r="D2962" s="3" t="s">
        <v>721</v>
      </c>
      <c r="N2962" s="2">
        <f>SUBTOTAL(9,N2955:N2961)</f>
        <v>1112</v>
      </c>
      <c r="O2962" s="2">
        <f>SUBTOTAL(9,O2955:O2961)</f>
        <v>29153611.400000002</v>
      </c>
      <c r="P2962" s="2">
        <f>+O2962/N2962</f>
        <v>26217.276438848923</v>
      </c>
    </row>
    <row r="2963" spans="1:16" outlineLevel="2" x14ac:dyDescent="0.2">
      <c r="A2963" s="5">
        <v>46150</v>
      </c>
      <c r="B2963" s="2">
        <v>159086</v>
      </c>
      <c r="C2963" s="2">
        <v>1</v>
      </c>
      <c r="D2963" s="2" t="s">
        <v>19</v>
      </c>
      <c r="E2963" s="2" t="s">
        <v>20</v>
      </c>
      <c r="F2963" s="2" t="s">
        <v>21</v>
      </c>
      <c r="G2963" s="2" t="s">
        <v>22</v>
      </c>
      <c r="H2963" s="2" t="s">
        <v>23</v>
      </c>
      <c r="I2963" s="2" t="s">
        <v>23</v>
      </c>
      <c r="J2963" s="2">
        <v>1</v>
      </c>
      <c r="K2963" s="2" t="s">
        <v>24</v>
      </c>
      <c r="L2963" s="2">
        <v>25205</v>
      </c>
      <c r="M2963" s="2" t="s">
        <v>171</v>
      </c>
      <c r="N2963" s="2">
        <v>225</v>
      </c>
      <c r="O2963" s="2">
        <v>14674887.560000001</v>
      </c>
      <c r="P2963" s="2">
        <v>65221.72</v>
      </c>
    </row>
    <row r="2964" spans="1:16" outlineLevel="1" x14ac:dyDescent="0.2">
      <c r="A2964" s="5"/>
      <c r="D2964" s="3" t="s">
        <v>704</v>
      </c>
      <c r="N2964" s="2">
        <f>SUBTOTAL(9,N2963:N2963)</f>
        <v>225</v>
      </c>
      <c r="O2964" s="2">
        <f>SUBTOTAL(9,O2963:O2963)</f>
        <v>14674887.560000001</v>
      </c>
      <c r="P2964" s="2">
        <f>+O2964/N2964</f>
        <v>65221.722488888889</v>
      </c>
    </row>
    <row r="2965" spans="1:16" outlineLevel="2" x14ac:dyDescent="0.2">
      <c r="A2965" s="5">
        <v>46150</v>
      </c>
      <c r="B2965" s="2">
        <v>159087</v>
      </c>
      <c r="C2965" s="2">
        <v>300</v>
      </c>
      <c r="D2965" s="2" t="s">
        <v>83</v>
      </c>
      <c r="E2965" s="2" t="s">
        <v>55</v>
      </c>
      <c r="F2965" s="2" t="s">
        <v>23</v>
      </c>
      <c r="G2965" s="2" t="s">
        <v>23</v>
      </c>
      <c r="H2965" s="2" t="s">
        <v>23</v>
      </c>
      <c r="I2965" s="2" t="s">
        <v>23</v>
      </c>
      <c r="J2965" s="2">
        <v>40</v>
      </c>
      <c r="K2965" s="2" t="s">
        <v>43</v>
      </c>
      <c r="L2965" s="2">
        <v>792</v>
      </c>
      <c r="M2965" s="2" t="s">
        <v>127</v>
      </c>
      <c r="N2965" s="2">
        <v>55</v>
      </c>
      <c r="O2965" s="2">
        <v>617194.92000000004</v>
      </c>
      <c r="P2965" s="2">
        <v>11221.73</v>
      </c>
    </row>
    <row r="2966" spans="1:16" outlineLevel="1" x14ac:dyDescent="0.2">
      <c r="A2966" s="5"/>
      <c r="D2966" s="3" t="s">
        <v>701</v>
      </c>
      <c r="N2966" s="2">
        <f>SUBTOTAL(9,N2965:N2965)</f>
        <v>55</v>
      </c>
      <c r="O2966" s="2">
        <f>SUBTOTAL(9,O2965:O2965)</f>
        <v>617194.92000000004</v>
      </c>
      <c r="P2966" s="2">
        <f>+O2966/N2966</f>
        <v>11221.72581818182</v>
      </c>
    </row>
    <row r="2967" spans="1:16" outlineLevel="2" x14ac:dyDescent="0.2">
      <c r="A2967" s="5">
        <v>46146</v>
      </c>
      <c r="B2967" s="2">
        <v>159095</v>
      </c>
      <c r="C2967" s="2">
        <v>1</v>
      </c>
      <c r="D2967" s="2" t="s">
        <v>474</v>
      </c>
      <c r="E2967" s="2" t="s">
        <v>475</v>
      </c>
      <c r="F2967" s="2" t="s">
        <v>47</v>
      </c>
      <c r="G2967" s="2" t="s">
        <v>22</v>
      </c>
      <c r="H2967" s="2" t="s">
        <v>23</v>
      </c>
      <c r="I2967" s="2" t="s">
        <v>23</v>
      </c>
      <c r="J2967" s="2">
        <v>41</v>
      </c>
      <c r="K2967" s="2" t="s">
        <v>129</v>
      </c>
      <c r="L2967" s="2">
        <v>2338</v>
      </c>
      <c r="M2967" s="2" t="s">
        <v>417</v>
      </c>
      <c r="N2967" s="2">
        <v>320</v>
      </c>
      <c r="O2967" s="2">
        <v>410590.62</v>
      </c>
      <c r="P2967" s="2">
        <v>1283.0999999999999</v>
      </c>
    </row>
    <row r="2968" spans="1:16" outlineLevel="1" x14ac:dyDescent="0.2">
      <c r="A2968" s="5"/>
      <c r="D2968" s="3" t="s">
        <v>780</v>
      </c>
      <c r="N2968" s="2">
        <f>SUBTOTAL(9,N2967:N2967)</f>
        <v>320</v>
      </c>
      <c r="O2968" s="2">
        <f>SUBTOTAL(9,O2967:O2967)</f>
        <v>410590.62</v>
      </c>
      <c r="P2968" s="2">
        <f>+O2968/N2968</f>
        <v>1283.0956874999999</v>
      </c>
    </row>
    <row r="2969" spans="1:16" outlineLevel="2" x14ac:dyDescent="0.2">
      <c r="A2969" s="5">
        <v>46146</v>
      </c>
      <c r="B2969" s="2">
        <v>159095</v>
      </c>
      <c r="C2969" s="2">
        <v>2</v>
      </c>
      <c r="D2969" s="2" t="s">
        <v>470</v>
      </c>
      <c r="E2969" s="2" t="s">
        <v>23</v>
      </c>
      <c r="F2969" s="2" t="s">
        <v>47</v>
      </c>
      <c r="G2969" s="2" t="s">
        <v>22</v>
      </c>
      <c r="H2969" s="2" t="s">
        <v>23</v>
      </c>
      <c r="I2969" s="2" t="s">
        <v>23</v>
      </c>
      <c r="J2969" s="2">
        <v>86</v>
      </c>
      <c r="K2969" s="2" t="s">
        <v>73</v>
      </c>
      <c r="L2969" s="2">
        <v>2338</v>
      </c>
      <c r="M2969" s="2" t="s">
        <v>417</v>
      </c>
      <c r="N2969" s="2">
        <v>9</v>
      </c>
      <c r="O2969" s="2">
        <v>135430.89000000001</v>
      </c>
      <c r="P2969" s="2">
        <v>15047.88</v>
      </c>
    </row>
    <row r="2970" spans="1:16" outlineLevel="1" x14ac:dyDescent="0.2">
      <c r="A2970" s="5"/>
      <c r="D2970" s="3" t="s">
        <v>779</v>
      </c>
      <c r="N2970" s="2">
        <f>SUBTOTAL(9,N2969:N2969)</f>
        <v>9</v>
      </c>
      <c r="O2970" s="2">
        <f>SUBTOTAL(9,O2969:O2969)</f>
        <v>135430.89000000001</v>
      </c>
      <c r="P2970" s="2">
        <f>+O2970/N2970</f>
        <v>15047.876666666669</v>
      </c>
    </row>
    <row r="2971" spans="1:16" outlineLevel="2" x14ac:dyDescent="0.2">
      <c r="A2971" s="5">
        <v>46146</v>
      </c>
      <c r="B2971" s="2">
        <v>159096</v>
      </c>
      <c r="C2971" s="2">
        <v>1</v>
      </c>
      <c r="D2971" s="2" t="s">
        <v>26</v>
      </c>
      <c r="E2971" s="2" t="s">
        <v>51</v>
      </c>
      <c r="F2971" s="2" t="s">
        <v>52</v>
      </c>
      <c r="G2971" s="2" t="s">
        <v>22</v>
      </c>
      <c r="H2971" s="2" t="s">
        <v>23</v>
      </c>
      <c r="I2971" s="2" t="s">
        <v>23</v>
      </c>
      <c r="J2971" s="2">
        <v>5</v>
      </c>
      <c r="K2971" s="2" t="s">
        <v>27</v>
      </c>
      <c r="L2971" s="2">
        <v>3048</v>
      </c>
      <c r="M2971" s="2" t="s">
        <v>53</v>
      </c>
      <c r="N2971" s="2">
        <v>106</v>
      </c>
      <c r="O2971" s="2">
        <v>710071.74</v>
      </c>
      <c r="P2971" s="2">
        <v>6698.79</v>
      </c>
    </row>
    <row r="2972" spans="1:16" outlineLevel="1" x14ac:dyDescent="0.2">
      <c r="A2972" s="5"/>
      <c r="D2972" s="3" t="s">
        <v>711</v>
      </c>
      <c r="N2972" s="2">
        <f>SUBTOTAL(9,N2971:N2971)</f>
        <v>106</v>
      </c>
      <c r="O2972" s="2">
        <f>SUBTOTAL(9,O2971:O2971)</f>
        <v>710071.74</v>
      </c>
      <c r="P2972" s="2">
        <f>+O2972/N2972</f>
        <v>6698.79</v>
      </c>
    </row>
    <row r="2973" spans="1:16" outlineLevel="2" x14ac:dyDescent="0.2">
      <c r="A2973" s="5">
        <v>46146</v>
      </c>
      <c r="B2973" s="2">
        <v>159097</v>
      </c>
      <c r="C2973" s="2">
        <v>1</v>
      </c>
      <c r="D2973" s="2" t="s">
        <v>60</v>
      </c>
      <c r="E2973" s="2" t="s">
        <v>346</v>
      </c>
      <c r="F2973" s="2" t="s">
        <v>31</v>
      </c>
      <c r="G2973" s="2" t="s">
        <v>22</v>
      </c>
      <c r="H2973" s="2" t="s">
        <v>505</v>
      </c>
      <c r="I2973" s="2" t="s">
        <v>23</v>
      </c>
      <c r="J2973" s="2">
        <v>78</v>
      </c>
      <c r="K2973" s="2" t="s">
        <v>212</v>
      </c>
      <c r="L2973" s="2">
        <v>226</v>
      </c>
      <c r="M2973" s="2" t="s">
        <v>59</v>
      </c>
      <c r="N2973" s="2">
        <v>91</v>
      </c>
      <c r="O2973" s="2">
        <v>1988746.58</v>
      </c>
      <c r="P2973" s="2">
        <v>21854.36</v>
      </c>
    </row>
    <row r="2974" spans="1:16" outlineLevel="1" x14ac:dyDescent="0.2">
      <c r="A2974" s="5"/>
      <c r="D2974" s="3" t="s">
        <v>728</v>
      </c>
      <c r="N2974" s="2">
        <f>SUBTOTAL(9,N2973:N2973)</f>
        <v>91</v>
      </c>
      <c r="O2974" s="2">
        <f>SUBTOTAL(9,O2973:O2973)</f>
        <v>1988746.58</v>
      </c>
      <c r="P2974" s="2">
        <f>+O2974/N2974</f>
        <v>21854.358021978023</v>
      </c>
    </row>
    <row r="2975" spans="1:16" outlineLevel="2" x14ac:dyDescent="0.2">
      <c r="A2975" s="5">
        <v>46146</v>
      </c>
      <c r="B2975" s="2">
        <v>159097</v>
      </c>
      <c r="C2975" s="2">
        <v>2</v>
      </c>
      <c r="D2975" s="2" t="s">
        <v>83</v>
      </c>
      <c r="E2975" s="2" t="s">
        <v>84</v>
      </c>
      <c r="F2975" s="2" t="s">
        <v>31</v>
      </c>
      <c r="G2975" s="2" t="s">
        <v>337</v>
      </c>
      <c r="H2975" s="2" t="s">
        <v>23</v>
      </c>
      <c r="I2975" s="2" t="s">
        <v>23</v>
      </c>
      <c r="J2975" s="2">
        <v>1</v>
      </c>
      <c r="K2975" s="2" t="s">
        <v>24</v>
      </c>
      <c r="L2975" s="2">
        <v>226</v>
      </c>
      <c r="M2975" s="2" t="s">
        <v>59</v>
      </c>
      <c r="N2975" s="2">
        <v>104</v>
      </c>
      <c r="O2975" s="2">
        <v>2998311.86</v>
      </c>
      <c r="P2975" s="2">
        <v>28829.919999999998</v>
      </c>
    </row>
    <row r="2976" spans="1:16" outlineLevel="1" x14ac:dyDescent="0.2">
      <c r="A2976" s="5"/>
      <c r="D2976" s="3" t="s">
        <v>701</v>
      </c>
      <c r="N2976" s="2">
        <f>SUBTOTAL(9,N2975:N2975)</f>
        <v>104</v>
      </c>
      <c r="O2976" s="2">
        <f>SUBTOTAL(9,O2975:O2975)</f>
        <v>2998311.86</v>
      </c>
      <c r="P2976" s="2">
        <f>+O2976/N2976</f>
        <v>28829.921730769231</v>
      </c>
    </row>
    <row r="2977" spans="1:16" outlineLevel="2" x14ac:dyDescent="0.2">
      <c r="A2977" s="5">
        <v>46146</v>
      </c>
      <c r="B2977" s="2">
        <v>159097</v>
      </c>
      <c r="C2977" s="2">
        <v>3</v>
      </c>
      <c r="D2977" s="2" t="s">
        <v>434</v>
      </c>
      <c r="E2977" s="2" t="s">
        <v>435</v>
      </c>
      <c r="F2977" s="2" t="s">
        <v>31</v>
      </c>
      <c r="G2977" s="2" t="s">
        <v>23</v>
      </c>
      <c r="H2977" s="2" t="s">
        <v>23</v>
      </c>
      <c r="I2977" s="2" t="s">
        <v>23</v>
      </c>
      <c r="J2977" s="2">
        <v>11</v>
      </c>
      <c r="K2977" s="2" t="s">
        <v>257</v>
      </c>
      <c r="L2977" s="2">
        <v>226</v>
      </c>
      <c r="M2977" s="2" t="s">
        <v>59</v>
      </c>
      <c r="N2977" s="2">
        <v>42</v>
      </c>
      <c r="O2977" s="2">
        <v>1101485.31</v>
      </c>
      <c r="P2977" s="2">
        <v>26225.84</v>
      </c>
    </row>
    <row r="2978" spans="1:16" outlineLevel="1" x14ac:dyDescent="0.2">
      <c r="A2978" s="5"/>
      <c r="D2978" s="3" t="s">
        <v>773</v>
      </c>
      <c r="N2978" s="2">
        <f>SUBTOTAL(9,N2977:N2977)</f>
        <v>42</v>
      </c>
      <c r="O2978" s="2">
        <f>SUBTOTAL(9,O2977:O2977)</f>
        <v>1101485.31</v>
      </c>
      <c r="P2978" s="2">
        <f>+O2978/N2978</f>
        <v>26225.840714285714</v>
      </c>
    </row>
    <row r="2979" spans="1:16" outlineLevel="2" x14ac:dyDescent="0.2">
      <c r="A2979" s="5">
        <v>46146</v>
      </c>
      <c r="B2979" s="2">
        <v>159097</v>
      </c>
      <c r="C2979" s="2">
        <v>4</v>
      </c>
      <c r="D2979" s="2" t="s">
        <v>60</v>
      </c>
      <c r="E2979" s="2" t="s">
        <v>364</v>
      </c>
      <c r="F2979" s="2" t="s">
        <v>31</v>
      </c>
      <c r="G2979" s="2" t="s">
        <v>22</v>
      </c>
      <c r="H2979" s="2" t="s">
        <v>23</v>
      </c>
      <c r="I2979" s="2" t="s">
        <v>23</v>
      </c>
      <c r="J2979" s="2">
        <v>1</v>
      </c>
      <c r="K2979" s="2" t="s">
        <v>24</v>
      </c>
      <c r="L2979" s="2">
        <v>226</v>
      </c>
      <c r="M2979" s="2" t="s">
        <v>59</v>
      </c>
      <c r="N2979" s="2">
        <v>56</v>
      </c>
      <c r="O2979" s="2">
        <v>2281214.52</v>
      </c>
      <c r="P2979" s="2">
        <v>40735.97</v>
      </c>
    </row>
    <row r="2980" spans="1:16" outlineLevel="1" x14ac:dyDescent="0.2">
      <c r="A2980" s="5"/>
      <c r="D2980" s="3" t="s">
        <v>728</v>
      </c>
      <c r="N2980" s="2">
        <f>SUBTOTAL(9,N2979:N2979)</f>
        <v>56</v>
      </c>
      <c r="O2980" s="2">
        <f>SUBTOTAL(9,O2979:O2979)</f>
        <v>2281214.52</v>
      </c>
      <c r="P2980" s="2">
        <f>+O2980/N2980</f>
        <v>40735.973571428571</v>
      </c>
    </row>
    <row r="2981" spans="1:16" outlineLevel="2" x14ac:dyDescent="0.2">
      <c r="A2981" s="5">
        <v>46146</v>
      </c>
      <c r="B2981" s="2">
        <v>159098</v>
      </c>
      <c r="C2981" s="2">
        <v>1</v>
      </c>
      <c r="D2981" s="2" t="s">
        <v>143</v>
      </c>
      <c r="E2981" s="2" t="s">
        <v>23</v>
      </c>
      <c r="F2981" s="2" t="s">
        <v>144</v>
      </c>
      <c r="G2981" s="2" t="s">
        <v>22</v>
      </c>
      <c r="H2981" s="2" t="s">
        <v>23</v>
      </c>
      <c r="I2981" s="2" t="s">
        <v>23</v>
      </c>
      <c r="J2981" s="2">
        <v>1</v>
      </c>
      <c r="K2981" s="2" t="s">
        <v>24</v>
      </c>
      <c r="L2981" s="2">
        <v>2101</v>
      </c>
      <c r="M2981" s="2" t="s">
        <v>145</v>
      </c>
      <c r="N2981" s="2">
        <v>143</v>
      </c>
      <c r="O2981" s="2">
        <v>2042720.09</v>
      </c>
      <c r="P2981" s="2">
        <v>14284.76</v>
      </c>
    </row>
    <row r="2982" spans="1:16" outlineLevel="1" x14ac:dyDescent="0.2">
      <c r="A2982" s="5"/>
      <c r="D2982" s="3" t="s">
        <v>706</v>
      </c>
      <c r="N2982" s="2">
        <f>SUBTOTAL(9,N2981:N2981)</f>
        <v>143</v>
      </c>
      <c r="O2982" s="2">
        <f>SUBTOTAL(9,O2981:O2981)</f>
        <v>2042720.09</v>
      </c>
      <c r="P2982" s="2">
        <f>+O2982/N2982</f>
        <v>14284.755874125874</v>
      </c>
    </row>
    <row r="2983" spans="1:16" outlineLevel="2" x14ac:dyDescent="0.2">
      <c r="A2983" s="5">
        <v>46146</v>
      </c>
      <c r="B2983" s="2">
        <v>159100</v>
      </c>
      <c r="C2983" s="2">
        <v>1</v>
      </c>
      <c r="D2983" s="2" t="s">
        <v>207</v>
      </c>
      <c r="E2983" s="2" t="s">
        <v>23</v>
      </c>
      <c r="F2983" s="2" t="s">
        <v>47</v>
      </c>
      <c r="G2983" s="2" t="s">
        <v>22</v>
      </c>
      <c r="H2983" s="2" t="s">
        <v>208</v>
      </c>
      <c r="I2983" s="2" t="s">
        <v>23</v>
      </c>
      <c r="J2983" s="2">
        <v>41</v>
      </c>
      <c r="K2983" s="2" t="s">
        <v>129</v>
      </c>
      <c r="L2983" s="2">
        <v>25213</v>
      </c>
      <c r="M2983" s="2" t="s">
        <v>130</v>
      </c>
      <c r="N2983" s="2">
        <v>50</v>
      </c>
      <c r="O2983" s="2">
        <v>171587.5</v>
      </c>
      <c r="P2983" s="2">
        <v>3431.75</v>
      </c>
    </row>
    <row r="2984" spans="1:16" outlineLevel="2" x14ac:dyDescent="0.2">
      <c r="A2984" s="5">
        <v>46146</v>
      </c>
      <c r="B2984" s="2">
        <v>159100</v>
      </c>
      <c r="C2984" s="2">
        <v>2</v>
      </c>
      <c r="D2984" s="2" t="s">
        <v>207</v>
      </c>
      <c r="E2984" s="2" t="s">
        <v>23</v>
      </c>
      <c r="F2984" s="2" t="s">
        <v>47</v>
      </c>
      <c r="G2984" s="2" t="s">
        <v>22</v>
      </c>
      <c r="H2984" s="2" t="s">
        <v>209</v>
      </c>
      <c r="I2984" s="2" t="s">
        <v>23</v>
      </c>
      <c r="J2984" s="2">
        <v>41</v>
      </c>
      <c r="K2984" s="2" t="s">
        <v>129</v>
      </c>
      <c r="L2984" s="2">
        <v>25213</v>
      </c>
      <c r="M2984" s="2" t="s">
        <v>130</v>
      </c>
      <c r="N2984" s="2">
        <v>25</v>
      </c>
      <c r="O2984" s="2">
        <v>75965.42</v>
      </c>
      <c r="P2984" s="2">
        <v>3038.62</v>
      </c>
    </row>
    <row r="2985" spans="1:16" outlineLevel="1" x14ac:dyDescent="0.2">
      <c r="A2985" s="5"/>
      <c r="D2985" s="3" t="s">
        <v>699</v>
      </c>
      <c r="N2985" s="2">
        <f>SUBTOTAL(9,N2983:N2984)</f>
        <v>75</v>
      </c>
      <c r="O2985" s="2">
        <f>SUBTOTAL(9,O2983:O2984)</f>
        <v>247552.91999999998</v>
      </c>
      <c r="P2985" s="2">
        <f>+O2985/N2985</f>
        <v>3300.7055999999998</v>
      </c>
    </row>
    <row r="2986" spans="1:16" outlineLevel="2" x14ac:dyDescent="0.2">
      <c r="A2986" s="5">
        <v>46146</v>
      </c>
      <c r="B2986" s="2">
        <v>159100</v>
      </c>
      <c r="C2986" s="2">
        <v>3</v>
      </c>
      <c r="D2986" s="2" t="s">
        <v>128</v>
      </c>
      <c r="E2986" s="2" t="s">
        <v>23</v>
      </c>
      <c r="F2986" s="2" t="s">
        <v>47</v>
      </c>
      <c r="G2986" s="2" t="s">
        <v>22</v>
      </c>
      <c r="H2986" s="2" t="s">
        <v>23</v>
      </c>
      <c r="I2986" s="2" t="s">
        <v>23</v>
      </c>
      <c r="J2986" s="2">
        <v>41</v>
      </c>
      <c r="K2986" s="2" t="s">
        <v>129</v>
      </c>
      <c r="L2986" s="2">
        <v>25213</v>
      </c>
      <c r="M2986" s="2" t="s">
        <v>130</v>
      </c>
      <c r="N2986" s="2">
        <v>50</v>
      </c>
      <c r="O2986" s="2">
        <v>184469.11</v>
      </c>
      <c r="P2986" s="2">
        <v>3689.38</v>
      </c>
    </row>
    <row r="2987" spans="1:16" outlineLevel="1" x14ac:dyDescent="0.2">
      <c r="A2987" s="5"/>
      <c r="D2987" s="3" t="s">
        <v>732</v>
      </c>
      <c r="N2987" s="2">
        <f>SUBTOTAL(9,N2986:N2986)</f>
        <v>50</v>
      </c>
      <c r="O2987" s="2">
        <f>SUBTOTAL(9,O2986:O2986)</f>
        <v>184469.11</v>
      </c>
      <c r="P2987" s="2">
        <f>+O2987/N2987</f>
        <v>3689.3821999999996</v>
      </c>
    </row>
    <row r="2988" spans="1:16" outlineLevel="2" x14ac:dyDescent="0.2">
      <c r="A2988" s="5">
        <v>46146</v>
      </c>
      <c r="B2988" s="2">
        <v>159100</v>
      </c>
      <c r="C2988" s="2">
        <v>4</v>
      </c>
      <c r="D2988" s="2" t="s">
        <v>207</v>
      </c>
      <c r="E2988" s="2" t="s">
        <v>23</v>
      </c>
      <c r="F2988" s="2" t="s">
        <v>47</v>
      </c>
      <c r="G2988" s="2" t="s">
        <v>22</v>
      </c>
      <c r="H2988" s="2" t="s">
        <v>23</v>
      </c>
      <c r="I2988" s="2" t="s">
        <v>23</v>
      </c>
      <c r="J2988" s="2">
        <v>1</v>
      </c>
      <c r="K2988" s="2" t="s">
        <v>24</v>
      </c>
      <c r="L2988" s="2">
        <v>25213</v>
      </c>
      <c r="M2988" s="2" t="s">
        <v>130</v>
      </c>
      <c r="N2988" s="2">
        <v>6</v>
      </c>
      <c r="O2988" s="2">
        <v>491043.72</v>
      </c>
      <c r="P2988" s="2">
        <v>81840.62</v>
      </c>
    </row>
    <row r="2989" spans="1:16" outlineLevel="1" x14ac:dyDescent="0.2">
      <c r="A2989" s="5"/>
      <c r="D2989" s="3" t="s">
        <v>699</v>
      </c>
      <c r="N2989" s="2">
        <f>SUBTOTAL(9,N2988:N2988)</f>
        <v>6</v>
      </c>
      <c r="O2989" s="2">
        <f>SUBTOTAL(9,O2988:O2988)</f>
        <v>491043.72</v>
      </c>
      <c r="P2989" s="2">
        <f>+O2989/N2989</f>
        <v>81840.62</v>
      </c>
    </row>
    <row r="2990" spans="1:16" outlineLevel="2" x14ac:dyDescent="0.2">
      <c r="A2990" s="5">
        <v>46146</v>
      </c>
      <c r="B2990" s="2">
        <v>159100</v>
      </c>
      <c r="C2990" s="2">
        <v>5</v>
      </c>
      <c r="D2990" s="2" t="s">
        <v>128</v>
      </c>
      <c r="E2990" s="2" t="s">
        <v>23</v>
      </c>
      <c r="F2990" s="2" t="s">
        <v>47</v>
      </c>
      <c r="G2990" s="2" t="s">
        <v>22</v>
      </c>
      <c r="H2990" s="2" t="s">
        <v>23</v>
      </c>
      <c r="I2990" s="2" t="s">
        <v>23</v>
      </c>
      <c r="J2990" s="2">
        <v>1</v>
      </c>
      <c r="K2990" s="2" t="s">
        <v>24</v>
      </c>
      <c r="L2990" s="2">
        <v>25213</v>
      </c>
      <c r="M2990" s="2" t="s">
        <v>130</v>
      </c>
      <c r="N2990" s="2">
        <v>6</v>
      </c>
      <c r="O2990" s="2">
        <v>532115.05000000005</v>
      </c>
      <c r="P2990" s="2">
        <v>88685.84</v>
      </c>
    </row>
    <row r="2991" spans="1:16" outlineLevel="1" x14ac:dyDescent="0.2">
      <c r="A2991" s="5"/>
      <c r="D2991" s="3" t="s">
        <v>732</v>
      </c>
      <c r="N2991" s="2">
        <f>SUBTOTAL(9,N2990:N2990)</f>
        <v>6</v>
      </c>
      <c r="O2991" s="2">
        <f>SUBTOTAL(9,O2990:O2990)</f>
        <v>532115.05000000005</v>
      </c>
      <c r="P2991" s="2">
        <f>+O2991/N2991</f>
        <v>88685.841666666674</v>
      </c>
    </row>
    <row r="2992" spans="1:16" outlineLevel="2" x14ac:dyDescent="0.2">
      <c r="A2992" s="5">
        <v>46150</v>
      </c>
      <c r="B2992" s="2">
        <v>159103</v>
      </c>
      <c r="C2992" s="2">
        <v>303</v>
      </c>
      <c r="D2992" s="2" t="s">
        <v>45</v>
      </c>
      <c r="E2992" s="2" t="s">
        <v>46</v>
      </c>
      <c r="F2992" s="2" t="s">
        <v>55</v>
      </c>
      <c r="G2992" s="2" t="s">
        <v>23</v>
      </c>
      <c r="H2992" s="2" t="s">
        <v>23</v>
      </c>
      <c r="I2992" s="2" t="s">
        <v>23</v>
      </c>
      <c r="J2992" s="2">
        <v>40</v>
      </c>
      <c r="K2992" s="2" t="s">
        <v>43</v>
      </c>
      <c r="L2992" s="2">
        <v>2316</v>
      </c>
      <c r="M2992" s="2" t="s">
        <v>206</v>
      </c>
      <c r="N2992" s="2">
        <v>5</v>
      </c>
      <c r="O2992" s="2">
        <v>30238.69</v>
      </c>
      <c r="P2992" s="2">
        <v>6047.74</v>
      </c>
    </row>
    <row r="2993" spans="1:16" outlineLevel="2" x14ac:dyDescent="0.2">
      <c r="A2993" s="5">
        <v>46153</v>
      </c>
      <c r="B2993" s="2">
        <v>159104</v>
      </c>
      <c r="C2993" s="2">
        <v>1</v>
      </c>
      <c r="D2993" s="2" t="s">
        <v>45</v>
      </c>
      <c r="E2993" s="2" t="s">
        <v>46</v>
      </c>
      <c r="F2993" s="2" t="s">
        <v>55</v>
      </c>
      <c r="G2993" s="2" t="s">
        <v>23</v>
      </c>
      <c r="H2993" s="2" t="s">
        <v>23</v>
      </c>
      <c r="I2993" s="2" t="s">
        <v>23</v>
      </c>
      <c r="J2993" s="2">
        <v>2</v>
      </c>
      <c r="K2993" s="2" t="s">
        <v>48</v>
      </c>
      <c r="L2993" s="2">
        <v>600</v>
      </c>
      <c r="M2993" s="2" t="s">
        <v>112</v>
      </c>
      <c r="N2993" s="2">
        <v>25</v>
      </c>
      <c r="O2993" s="2">
        <v>208074.32</v>
      </c>
      <c r="P2993" s="2">
        <v>8322.9699999999993</v>
      </c>
    </row>
    <row r="2994" spans="1:16" outlineLevel="2" x14ac:dyDescent="0.2">
      <c r="A2994" s="5">
        <v>46162</v>
      </c>
      <c r="B2994" s="2">
        <v>159104</v>
      </c>
      <c r="C2994" s="2">
        <v>315</v>
      </c>
      <c r="D2994" s="2" t="s">
        <v>45</v>
      </c>
      <c r="E2994" s="2" t="s">
        <v>46</v>
      </c>
      <c r="F2994" s="2" t="s">
        <v>289</v>
      </c>
      <c r="G2994" s="2" t="s">
        <v>22</v>
      </c>
      <c r="H2994" s="2" t="s">
        <v>23</v>
      </c>
      <c r="I2994" s="2" t="s">
        <v>23</v>
      </c>
      <c r="J2994" s="2">
        <v>2</v>
      </c>
      <c r="K2994" s="2" t="s">
        <v>48</v>
      </c>
      <c r="L2994" s="2">
        <v>2316</v>
      </c>
      <c r="M2994" s="2" t="s">
        <v>206</v>
      </c>
      <c r="N2994" s="2">
        <v>3</v>
      </c>
      <c r="O2994" s="2">
        <v>34564.67</v>
      </c>
      <c r="P2994" s="2">
        <v>11521.56</v>
      </c>
    </row>
    <row r="2995" spans="1:16" outlineLevel="1" x14ac:dyDescent="0.2">
      <c r="A2995" s="5"/>
      <c r="D2995" s="3" t="s">
        <v>733</v>
      </c>
      <c r="N2995" s="2">
        <f>SUBTOTAL(9,N2992:N2994)</f>
        <v>33</v>
      </c>
      <c r="O2995" s="2">
        <f>SUBTOTAL(9,O2992:O2994)</f>
        <v>272877.68</v>
      </c>
      <c r="P2995" s="2">
        <f>+O2995/N2995</f>
        <v>8269.0206060606051</v>
      </c>
    </row>
    <row r="2996" spans="1:16" outlineLevel="2" x14ac:dyDescent="0.2">
      <c r="A2996" s="5">
        <v>46146</v>
      </c>
      <c r="B2996" s="2">
        <v>159112</v>
      </c>
      <c r="C2996" s="2">
        <v>1</v>
      </c>
      <c r="D2996" s="2" t="s">
        <v>470</v>
      </c>
      <c r="E2996" s="2" t="s">
        <v>23</v>
      </c>
      <c r="F2996" s="2" t="s">
        <v>23</v>
      </c>
      <c r="G2996" s="2" t="s">
        <v>22</v>
      </c>
      <c r="H2996" s="2" t="s">
        <v>23</v>
      </c>
      <c r="I2996" s="2" t="s">
        <v>23</v>
      </c>
      <c r="J2996" s="2">
        <v>1</v>
      </c>
      <c r="K2996" s="2" t="s">
        <v>24</v>
      </c>
      <c r="L2996" s="2">
        <v>1795</v>
      </c>
      <c r="M2996" s="2" t="s">
        <v>506</v>
      </c>
      <c r="N2996" s="2">
        <v>1</v>
      </c>
      <c r="O2996" s="2">
        <v>18366.77</v>
      </c>
      <c r="P2996" s="2">
        <v>18366.77</v>
      </c>
    </row>
    <row r="2997" spans="1:16" outlineLevel="1" x14ac:dyDescent="0.2">
      <c r="A2997" s="5"/>
      <c r="D2997" s="3" t="s">
        <v>779</v>
      </c>
      <c r="N2997" s="2">
        <f>SUBTOTAL(9,N2996:N2996)</f>
        <v>1</v>
      </c>
      <c r="O2997" s="2">
        <f>SUBTOTAL(9,O2996:O2996)</f>
        <v>18366.77</v>
      </c>
      <c r="P2997" s="2">
        <f>+O2997/N2997</f>
        <v>18366.77</v>
      </c>
    </row>
    <row r="2998" spans="1:16" outlineLevel="2" x14ac:dyDescent="0.2">
      <c r="A2998" s="5">
        <v>46150</v>
      </c>
      <c r="B2998" s="2">
        <v>159114</v>
      </c>
      <c r="C2998" s="2">
        <v>1</v>
      </c>
      <c r="D2998" s="2" t="s">
        <v>140</v>
      </c>
      <c r="E2998" s="2" t="s">
        <v>55</v>
      </c>
      <c r="F2998" s="2" t="s">
        <v>23</v>
      </c>
      <c r="G2998" s="2" t="s">
        <v>23</v>
      </c>
      <c r="H2998" s="2" t="s">
        <v>23</v>
      </c>
      <c r="I2998" s="2" t="s">
        <v>23</v>
      </c>
      <c r="J2998" s="2">
        <v>1</v>
      </c>
      <c r="K2998" s="2" t="s">
        <v>24</v>
      </c>
      <c r="L2998" s="2">
        <v>1833</v>
      </c>
      <c r="M2998" s="2" t="s">
        <v>142</v>
      </c>
      <c r="N2998" s="2">
        <v>8</v>
      </c>
      <c r="O2998" s="2">
        <v>70392.240000000005</v>
      </c>
      <c r="P2998" s="2">
        <v>8799.0300000000007</v>
      </c>
    </row>
    <row r="2999" spans="1:16" outlineLevel="2" x14ac:dyDescent="0.2">
      <c r="A2999" s="5">
        <v>46157</v>
      </c>
      <c r="B2999" s="2">
        <v>159114</v>
      </c>
      <c r="C2999" s="2">
        <v>2</v>
      </c>
      <c r="D2999" s="2" t="s">
        <v>140</v>
      </c>
      <c r="E2999" s="2" t="s">
        <v>141</v>
      </c>
      <c r="F2999" s="2" t="s">
        <v>55</v>
      </c>
      <c r="G2999" s="2" t="s">
        <v>23</v>
      </c>
      <c r="H2999" s="2" t="s">
        <v>23</v>
      </c>
      <c r="I2999" s="2" t="s">
        <v>23</v>
      </c>
      <c r="J2999" s="2">
        <v>1</v>
      </c>
      <c r="K2999" s="2" t="s">
        <v>24</v>
      </c>
      <c r="L2999" s="2">
        <v>1833</v>
      </c>
      <c r="M2999" s="2" t="s">
        <v>142</v>
      </c>
      <c r="N2999" s="2">
        <v>2</v>
      </c>
      <c r="O2999" s="2">
        <v>27399.16</v>
      </c>
      <c r="P2999" s="2">
        <v>13699.58</v>
      </c>
    </row>
    <row r="3000" spans="1:16" outlineLevel="1" x14ac:dyDescent="0.2">
      <c r="A3000" s="5"/>
      <c r="D3000" s="3" t="s">
        <v>696</v>
      </c>
      <c r="N3000" s="2">
        <f>SUBTOTAL(9,N2998:N2999)</f>
        <v>10</v>
      </c>
      <c r="O3000" s="2">
        <f>SUBTOTAL(9,O2998:O2999)</f>
        <v>97791.400000000009</v>
      </c>
      <c r="P3000" s="2">
        <f>+O3000/N3000</f>
        <v>9779.1400000000012</v>
      </c>
    </row>
    <row r="3001" spans="1:16" outlineLevel="2" x14ac:dyDescent="0.2">
      <c r="A3001" s="5">
        <v>46150</v>
      </c>
      <c r="B3001" s="2">
        <v>159115</v>
      </c>
      <c r="C3001" s="2">
        <v>300</v>
      </c>
      <c r="D3001" s="2" t="s">
        <v>110</v>
      </c>
      <c r="E3001" s="2" t="s">
        <v>111</v>
      </c>
      <c r="F3001" s="2" t="s">
        <v>55</v>
      </c>
      <c r="G3001" s="2" t="s">
        <v>23</v>
      </c>
      <c r="H3001" s="2" t="s">
        <v>23</v>
      </c>
      <c r="I3001" s="2" t="s">
        <v>23</v>
      </c>
      <c r="J3001" s="2">
        <v>2</v>
      </c>
      <c r="K3001" s="2" t="s">
        <v>48</v>
      </c>
      <c r="L3001" s="2">
        <v>25115</v>
      </c>
      <c r="M3001" s="2" t="s">
        <v>331</v>
      </c>
      <c r="N3001" s="2">
        <v>2</v>
      </c>
      <c r="O3001" s="2">
        <v>4996.6400000000003</v>
      </c>
      <c r="P3001" s="2">
        <v>2498.3200000000002</v>
      </c>
    </row>
    <row r="3002" spans="1:16" outlineLevel="1" x14ac:dyDescent="0.2">
      <c r="A3002" s="5"/>
      <c r="D3002" s="3" t="s">
        <v>697</v>
      </c>
      <c r="N3002" s="2">
        <f>SUBTOTAL(9,N3001:N3001)</f>
        <v>2</v>
      </c>
      <c r="O3002" s="2">
        <f>SUBTOTAL(9,O3001:O3001)</f>
        <v>4996.6400000000003</v>
      </c>
      <c r="P3002" s="2">
        <f>+O3002/N3002</f>
        <v>2498.3200000000002</v>
      </c>
    </row>
    <row r="3003" spans="1:16" outlineLevel="2" x14ac:dyDescent="0.2">
      <c r="A3003" s="5">
        <v>46206</v>
      </c>
      <c r="B3003" s="2">
        <v>159117</v>
      </c>
      <c r="C3003" s="2">
        <v>3</v>
      </c>
      <c r="D3003" s="2" t="s">
        <v>434</v>
      </c>
      <c r="E3003" s="2" t="s">
        <v>23</v>
      </c>
      <c r="F3003" s="2" t="s">
        <v>23</v>
      </c>
      <c r="G3003" s="2" t="s">
        <v>22</v>
      </c>
      <c r="H3003" s="2" t="s">
        <v>23</v>
      </c>
      <c r="I3003" s="2" t="s">
        <v>23</v>
      </c>
      <c r="J3003" s="2">
        <v>1</v>
      </c>
      <c r="K3003" s="2" t="s">
        <v>24</v>
      </c>
      <c r="L3003" s="2">
        <v>226</v>
      </c>
      <c r="M3003" s="2" t="s">
        <v>59</v>
      </c>
      <c r="N3003" s="2">
        <v>11</v>
      </c>
      <c r="O3003" s="2">
        <v>27481.52</v>
      </c>
      <c r="P3003" s="2">
        <v>2498.3200000000002</v>
      </c>
    </row>
    <row r="3004" spans="1:16" outlineLevel="1" x14ac:dyDescent="0.2">
      <c r="A3004" s="5"/>
      <c r="D3004" s="3" t="s">
        <v>773</v>
      </c>
      <c r="N3004" s="2">
        <f>SUBTOTAL(9,N3003:N3003)</f>
        <v>11</v>
      </c>
      <c r="O3004" s="2">
        <f>SUBTOTAL(9,O3003:O3003)</f>
        <v>27481.52</v>
      </c>
      <c r="P3004" s="2">
        <f>+O3004/N3004</f>
        <v>2498.3200000000002</v>
      </c>
    </row>
    <row r="3005" spans="1:16" outlineLevel="2" x14ac:dyDescent="0.2">
      <c r="A3005" s="5">
        <v>46148</v>
      </c>
      <c r="B3005" s="2">
        <v>159118</v>
      </c>
      <c r="C3005" s="2">
        <v>1</v>
      </c>
      <c r="D3005" s="2" t="s">
        <v>33</v>
      </c>
      <c r="E3005" s="2" t="s">
        <v>34</v>
      </c>
      <c r="F3005" s="2" t="s">
        <v>35</v>
      </c>
      <c r="G3005" s="2" t="s">
        <v>22</v>
      </c>
      <c r="H3005" s="2" t="s">
        <v>23</v>
      </c>
      <c r="I3005" s="2" t="s">
        <v>101</v>
      </c>
      <c r="J3005" s="2">
        <v>1</v>
      </c>
      <c r="K3005" s="2" t="s">
        <v>24</v>
      </c>
      <c r="L3005" s="2">
        <v>2520</v>
      </c>
      <c r="M3005" s="2" t="s">
        <v>37</v>
      </c>
      <c r="N3005" s="2">
        <v>891</v>
      </c>
      <c r="O3005" s="2">
        <v>18366012.890000001</v>
      </c>
      <c r="P3005" s="2">
        <v>20612.810000000001</v>
      </c>
    </row>
    <row r="3006" spans="1:16" outlineLevel="1" x14ac:dyDescent="0.2">
      <c r="A3006" s="5"/>
      <c r="D3006" s="3" t="s">
        <v>705</v>
      </c>
      <c r="N3006" s="2">
        <f>SUBTOTAL(9,N3005:N3005)</f>
        <v>891</v>
      </c>
      <c r="O3006" s="2">
        <f>SUBTOTAL(9,O3005:O3005)</f>
        <v>18366012.890000001</v>
      </c>
      <c r="P3006" s="2">
        <f>+O3006/N3006</f>
        <v>20612.809079685747</v>
      </c>
    </row>
    <row r="3007" spans="1:16" outlineLevel="2" x14ac:dyDescent="0.2">
      <c r="A3007" s="5">
        <v>46148</v>
      </c>
      <c r="B3007" s="2">
        <v>159124</v>
      </c>
      <c r="C3007" s="2">
        <v>315</v>
      </c>
      <c r="D3007" s="2" t="s">
        <v>54</v>
      </c>
      <c r="E3007" s="2" t="s">
        <v>20</v>
      </c>
      <c r="F3007" s="2" t="s">
        <v>55</v>
      </c>
      <c r="G3007" s="2" t="s">
        <v>23</v>
      </c>
      <c r="H3007" s="2" t="s">
        <v>23</v>
      </c>
      <c r="I3007" s="2" t="s">
        <v>23</v>
      </c>
      <c r="J3007" s="2">
        <v>2</v>
      </c>
      <c r="K3007" s="2" t="s">
        <v>48</v>
      </c>
      <c r="L3007" s="2">
        <v>25095</v>
      </c>
      <c r="M3007" s="2" t="s">
        <v>216</v>
      </c>
      <c r="N3007" s="2">
        <v>37</v>
      </c>
      <c r="O3007" s="2">
        <v>133508.92000000001</v>
      </c>
      <c r="P3007" s="2">
        <v>3608.35</v>
      </c>
    </row>
    <row r="3008" spans="1:16" outlineLevel="2" x14ac:dyDescent="0.2">
      <c r="A3008" s="5">
        <v>46155</v>
      </c>
      <c r="B3008" s="2">
        <v>159124</v>
      </c>
      <c r="C3008" s="2">
        <v>316</v>
      </c>
      <c r="D3008" s="2" t="s">
        <v>54</v>
      </c>
      <c r="E3008" s="2" t="s">
        <v>30</v>
      </c>
      <c r="F3008" s="2" t="s">
        <v>23</v>
      </c>
      <c r="G3008" s="2" t="s">
        <v>23</v>
      </c>
      <c r="H3008" s="2" t="s">
        <v>23</v>
      </c>
      <c r="I3008" s="2" t="s">
        <v>23</v>
      </c>
      <c r="J3008" s="2">
        <v>2</v>
      </c>
      <c r="K3008" s="2" t="s">
        <v>48</v>
      </c>
      <c r="L3008" s="2">
        <v>25095</v>
      </c>
      <c r="M3008" s="2" t="s">
        <v>216</v>
      </c>
      <c r="N3008" s="2">
        <v>10</v>
      </c>
      <c r="O3008" s="2">
        <v>54853.18</v>
      </c>
      <c r="P3008" s="2">
        <v>5485.32</v>
      </c>
    </row>
    <row r="3009" spans="1:16" outlineLevel="1" x14ac:dyDescent="0.2">
      <c r="A3009" s="5"/>
      <c r="D3009" s="3" t="s">
        <v>719</v>
      </c>
      <c r="N3009" s="2">
        <f>SUBTOTAL(9,N3007:N3008)</f>
        <v>47</v>
      </c>
      <c r="O3009" s="2">
        <f>SUBTOTAL(9,O3007:O3008)</f>
        <v>188362.1</v>
      </c>
      <c r="P3009" s="2">
        <f>+O3009/N3009</f>
        <v>4007.7042553191491</v>
      </c>
    </row>
    <row r="3010" spans="1:16" outlineLevel="2" x14ac:dyDescent="0.2">
      <c r="A3010" s="5">
        <v>46148</v>
      </c>
      <c r="B3010" s="2">
        <v>159125</v>
      </c>
      <c r="C3010" s="2">
        <v>1</v>
      </c>
      <c r="D3010" s="2" t="s">
        <v>140</v>
      </c>
      <c r="E3010" s="2" t="s">
        <v>23</v>
      </c>
      <c r="F3010" s="2" t="s">
        <v>55</v>
      </c>
      <c r="G3010" s="2" t="s">
        <v>23</v>
      </c>
      <c r="H3010" s="2" t="s">
        <v>23</v>
      </c>
      <c r="I3010" s="2" t="s">
        <v>23</v>
      </c>
      <c r="J3010" s="2">
        <v>1</v>
      </c>
      <c r="K3010" s="2" t="s">
        <v>24</v>
      </c>
      <c r="L3010" s="2">
        <v>1833</v>
      </c>
      <c r="M3010" s="2" t="s">
        <v>142</v>
      </c>
      <c r="N3010" s="2">
        <v>2</v>
      </c>
      <c r="O3010" s="2">
        <v>18064.78</v>
      </c>
      <c r="P3010" s="2">
        <v>9032.39</v>
      </c>
    </row>
    <row r="3011" spans="1:16" outlineLevel="1" x14ac:dyDescent="0.2">
      <c r="A3011" s="5"/>
      <c r="D3011" s="3" t="s">
        <v>696</v>
      </c>
      <c r="N3011" s="2">
        <f>SUBTOTAL(9,N3010:N3010)</f>
        <v>2</v>
      </c>
      <c r="O3011" s="2">
        <f>SUBTOTAL(9,O3010:O3010)</f>
        <v>18064.78</v>
      </c>
      <c r="P3011" s="2">
        <f>+O3011/N3011</f>
        <v>9032.39</v>
      </c>
    </row>
    <row r="3012" spans="1:16" outlineLevel="2" x14ac:dyDescent="0.2">
      <c r="A3012" s="5">
        <v>46146</v>
      </c>
      <c r="B3012" s="2">
        <v>159128</v>
      </c>
      <c r="C3012" s="2">
        <v>1</v>
      </c>
      <c r="D3012" s="2" t="s">
        <v>38</v>
      </c>
      <c r="E3012" s="2" t="s">
        <v>39</v>
      </c>
      <c r="F3012" s="2" t="s">
        <v>63</v>
      </c>
      <c r="G3012" s="2" t="s">
        <v>22</v>
      </c>
      <c r="H3012" s="2" t="s">
        <v>23</v>
      </c>
      <c r="I3012" s="2" t="s">
        <v>243</v>
      </c>
      <c r="J3012" s="2">
        <v>1</v>
      </c>
      <c r="K3012" s="2" t="s">
        <v>24</v>
      </c>
      <c r="L3012" s="2">
        <v>1846</v>
      </c>
      <c r="M3012" s="2" t="s">
        <v>134</v>
      </c>
      <c r="N3012" s="2">
        <v>328</v>
      </c>
      <c r="O3012" s="2">
        <v>29295484.460000001</v>
      </c>
      <c r="P3012" s="2">
        <v>89315.5</v>
      </c>
    </row>
    <row r="3013" spans="1:16" outlineLevel="2" x14ac:dyDescent="0.2">
      <c r="A3013" s="5">
        <v>46148</v>
      </c>
      <c r="B3013" s="2">
        <v>159128</v>
      </c>
      <c r="C3013" s="2">
        <v>2</v>
      </c>
      <c r="D3013" s="2" t="s">
        <v>38</v>
      </c>
      <c r="E3013" s="2" t="s">
        <v>39</v>
      </c>
      <c r="F3013" s="2" t="s">
        <v>63</v>
      </c>
      <c r="G3013" s="2" t="s">
        <v>22</v>
      </c>
      <c r="H3013" s="2" t="s">
        <v>23</v>
      </c>
      <c r="I3013" s="2" t="s">
        <v>116</v>
      </c>
      <c r="J3013" s="2">
        <v>1</v>
      </c>
      <c r="K3013" s="2" t="s">
        <v>24</v>
      </c>
      <c r="L3013" s="2">
        <v>1846</v>
      </c>
      <c r="M3013" s="2" t="s">
        <v>134</v>
      </c>
      <c r="N3013" s="2">
        <v>179</v>
      </c>
      <c r="O3013" s="2">
        <v>17311858.949999999</v>
      </c>
      <c r="P3013" s="2">
        <v>96714.3</v>
      </c>
    </row>
    <row r="3014" spans="1:16" outlineLevel="2" x14ac:dyDescent="0.2">
      <c r="A3014" s="5">
        <v>46146</v>
      </c>
      <c r="B3014" s="2">
        <v>159128</v>
      </c>
      <c r="C3014" s="2">
        <v>3</v>
      </c>
      <c r="D3014" s="2" t="s">
        <v>38</v>
      </c>
      <c r="E3014" s="2" t="s">
        <v>39</v>
      </c>
      <c r="F3014" s="2" t="s">
        <v>63</v>
      </c>
      <c r="G3014" s="2" t="s">
        <v>22</v>
      </c>
      <c r="H3014" s="2" t="s">
        <v>23</v>
      </c>
      <c r="I3014" s="2" t="s">
        <v>135</v>
      </c>
      <c r="J3014" s="2">
        <v>1</v>
      </c>
      <c r="K3014" s="2" t="s">
        <v>24</v>
      </c>
      <c r="L3014" s="2">
        <v>1846</v>
      </c>
      <c r="M3014" s="2" t="s">
        <v>134</v>
      </c>
      <c r="N3014" s="2">
        <v>264</v>
      </c>
      <c r="O3014" s="2">
        <v>24283466.34</v>
      </c>
      <c r="P3014" s="2">
        <v>91982.83</v>
      </c>
    </row>
    <row r="3015" spans="1:16" outlineLevel="2" x14ac:dyDescent="0.2">
      <c r="A3015" s="5">
        <v>46146</v>
      </c>
      <c r="B3015" s="2">
        <v>159128</v>
      </c>
      <c r="C3015" s="2">
        <v>4</v>
      </c>
      <c r="D3015" s="2" t="s">
        <v>38</v>
      </c>
      <c r="E3015" s="2" t="s">
        <v>39</v>
      </c>
      <c r="F3015" s="2" t="s">
        <v>63</v>
      </c>
      <c r="G3015" s="2" t="s">
        <v>22</v>
      </c>
      <c r="H3015" s="2" t="s">
        <v>23</v>
      </c>
      <c r="I3015" s="2" t="s">
        <v>133</v>
      </c>
      <c r="J3015" s="2">
        <v>1</v>
      </c>
      <c r="K3015" s="2" t="s">
        <v>24</v>
      </c>
      <c r="L3015" s="2">
        <v>1846</v>
      </c>
      <c r="M3015" s="2" t="s">
        <v>134</v>
      </c>
      <c r="N3015" s="2">
        <v>440</v>
      </c>
      <c r="O3015" s="2">
        <v>31811486.989999998</v>
      </c>
      <c r="P3015" s="2">
        <v>72298.83</v>
      </c>
    </row>
    <row r="3016" spans="1:16" outlineLevel="1" x14ac:dyDescent="0.2">
      <c r="A3016" s="5"/>
      <c r="D3016" s="3" t="s">
        <v>721</v>
      </c>
      <c r="N3016" s="2">
        <f>SUBTOTAL(9,N3012:N3015)</f>
        <v>1211</v>
      </c>
      <c r="O3016" s="2">
        <f>SUBTOTAL(9,O3012:O3015)</f>
        <v>102702296.73999999</v>
      </c>
      <c r="P3016" s="2">
        <f>+O3016/N3016</f>
        <v>84807.842064409575</v>
      </c>
    </row>
    <row r="3017" spans="1:16" outlineLevel="2" x14ac:dyDescent="0.2">
      <c r="A3017" s="5">
        <v>46146</v>
      </c>
      <c r="B3017" s="2">
        <v>159129</v>
      </c>
      <c r="C3017" s="2">
        <v>1</v>
      </c>
      <c r="D3017" s="2" t="s">
        <v>75</v>
      </c>
      <c r="E3017" s="2" t="s">
        <v>412</v>
      </c>
      <c r="F3017" s="2" t="s">
        <v>108</v>
      </c>
      <c r="G3017" s="2" t="s">
        <v>22</v>
      </c>
      <c r="H3017" s="2" t="s">
        <v>23</v>
      </c>
      <c r="I3017" s="2" t="s">
        <v>100</v>
      </c>
      <c r="J3017" s="2">
        <v>1</v>
      </c>
      <c r="K3017" s="2" t="s">
        <v>24</v>
      </c>
      <c r="L3017" s="2">
        <v>2024</v>
      </c>
      <c r="M3017" s="2" t="s">
        <v>76</v>
      </c>
      <c r="N3017" s="2">
        <v>320</v>
      </c>
      <c r="O3017" s="2">
        <v>9593033.9600000009</v>
      </c>
      <c r="P3017" s="2">
        <v>29978.23</v>
      </c>
    </row>
    <row r="3018" spans="1:16" outlineLevel="2" x14ac:dyDescent="0.2">
      <c r="A3018" s="5">
        <v>46146</v>
      </c>
      <c r="B3018" s="2">
        <v>159129</v>
      </c>
      <c r="C3018" s="2">
        <v>2</v>
      </c>
      <c r="D3018" s="2" t="s">
        <v>75</v>
      </c>
      <c r="E3018" s="2" t="s">
        <v>412</v>
      </c>
      <c r="F3018" s="2" t="s">
        <v>108</v>
      </c>
      <c r="G3018" s="2" t="s">
        <v>22</v>
      </c>
      <c r="H3018" s="2" t="s">
        <v>23</v>
      </c>
      <c r="I3018" s="2" t="s">
        <v>109</v>
      </c>
      <c r="J3018" s="2">
        <v>1</v>
      </c>
      <c r="K3018" s="2" t="s">
        <v>24</v>
      </c>
      <c r="L3018" s="2">
        <v>2024</v>
      </c>
      <c r="M3018" s="2" t="s">
        <v>76</v>
      </c>
      <c r="N3018" s="2">
        <v>317</v>
      </c>
      <c r="O3018" s="2">
        <v>9181332.5099999998</v>
      </c>
      <c r="P3018" s="2">
        <v>28963.19</v>
      </c>
    </row>
    <row r="3019" spans="1:16" outlineLevel="2" x14ac:dyDescent="0.2">
      <c r="A3019" s="5">
        <v>46148</v>
      </c>
      <c r="B3019" s="2">
        <v>159129</v>
      </c>
      <c r="C3019" s="2">
        <v>3</v>
      </c>
      <c r="D3019" s="2" t="s">
        <v>75</v>
      </c>
      <c r="E3019" s="2" t="s">
        <v>412</v>
      </c>
      <c r="F3019" s="2" t="s">
        <v>108</v>
      </c>
      <c r="G3019" s="2" t="s">
        <v>22</v>
      </c>
      <c r="H3019" s="2" t="s">
        <v>23</v>
      </c>
      <c r="I3019" s="2" t="s">
        <v>101</v>
      </c>
      <c r="J3019" s="2">
        <v>1</v>
      </c>
      <c r="K3019" s="2" t="s">
        <v>24</v>
      </c>
      <c r="L3019" s="2">
        <v>2024</v>
      </c>
      <c r="M3019" s="2" t="s">
        <v>76</v>
      </c>
      <c r="N3019" s="2">
        <v>80</v>
      </c>
      <c r="O3019" s="2">
        <v>2196766.09</v>
      </c>
      <c r="P3019" s="2">
        <v>27459.58</v>
      </c>
    </row>
    <row r="3020" spans="1:16" outlineLevel="1" x14ac:dyDescent="0.2">
      <c r="A3020" s="5"/>
      <c r="D3020" s="3" t="s">
        <v>729</v>
      </c>
      <c r="N3020" s="2">
        <f>SUBTOTAL(9,N3017:N3019)</f>
        <v>717</v>
      </c>
      <c r="O3020" s="2">
        <f>SUBTOTAL(9,O3017:O3019)</f>
        <v>20971132.559999999</v>
      </c>
      <c r="P3020" s="2">
        <f>+O3020/N3020</f>
        <v>29248.441506276147</v>
      </c>
    </row>
    <row r="3021" spans="1:16" outlineLevel="2" x14ac:dyDescent="0.2">
      <c r="A3021" s="5">
        <v>46170</v>
      </c>
      <c r="B3021" s="2">
        <v>159131</v>
      </c>
      <c r="C3021" s="2">
        <v>1</v>
      </c>
      <c r="D3021" s="2" t="s">
        <v>92</v>
      </c>
      <c r="E3021" s="2" t="s">
        <v>93</v>
      </c>
      <c r="F3021" s="2" t="s">
        <v>40</v>
      </c>
      <c r="G3021" s="2" t="s">
        <v>22</v>
      </c>
      <c r="H3021" s="2" t="s">
        <v>23</v>
      </c>
      <c r="I3021" s="2" t="s">
        <v>23</v>
      </c>
      <c r="J3021" s="2">
        <v>5</v>
      </c>
      <c r="K3021" s="2" t="s">
        <v>27</v>
      </c>
      <c r="L3021" s="2">
        <v>2521</v>
      </c>
      <c r="M3021" s="2" t="s">
        <v>82</v>
      </c>
      <c r="N3021" s="2">
        <v>60</v>
      </c>
      <c r="O3021" s="2">
        <v>1320834.57</v>
      </c>
      <c r="P3021" s="2">
        <v>22013.91</v>
      </c>
    </row>
    <row r="3022" spans="1:16" outlineLevel="1" x14ac:dyDescent="0.2">
      <c r="A3022" s="5"/>
      <c r="D3022" s="3" t="s">
        <v>702</v>
      </c>
      <c r="N3022" s="2">
        <f>SUBTOTAL(9,N3021:N3021)</f>
        <v>60</v>
      </c>
      <c r="O3022" s="2">
        <f>SUBTOTAL(9,O3021:O3021)</f>
        <v>1320834.57</v>
      </c>
      <c r="P3022" s="2">
        <f>+O3022/N3022</f>
        <v>22013.909500000002</v>
      </c>
    </row>
    <row r="3023" spans="1:16" outlineLevel="2" x14ac:dyDescent="0.2">
      <c r="A3023" s="5">
        <v>46155</v>
      </c>
      <c r="B3023" s="2">
        <v>159131</v>
      </c>
      <c r="C3023" s="2">
        <v>2</v>
      </c>
      <c r="D3023" s="2" t="s">
        <v>175</v>
      </c>
      <c r="E3023" s="2" t="s">
        <v>224</v>
      </c>
      <c r="F3023" s="2" t="s">
        <v>40</v>
      </c>
      <c r="G3023" s="2" t="s">
        <v>22</v>
      </c>
      <c r="H3023" s="2" t="s">
        <v>23</v>
      </c>
      <c r="I3023" s="2" t="s">
        <v>23</v>
      </c>
      <c r="J3023" s="2">
        <v>6</v>
      </c>
      <c r="K3023" s="2" t="s">
        <v>479</v>
      </c>
      <c r="L3023" s="2">
        <v>2521</v>
      </c>
      <c r="M3023" s="2" t="s">
        <v>82</v>
      </c>
      <c r="N3023" s="2">
        <v>40</v>
      </c>
      <c r="O3023" s="2">
        <v>1096845.52</v>
      </c>
      <c r="P3023" s="2">
        <v>27421.14</v>
      </c>
    </row>
    <row r="3024" spans="1:16" outlineLevel="2" x14ac:dyDescent="0.2">
      <c r="A3024" s="5">
        <v>46157</v>
      </c>
      <c r="B3024" s="2">
        <v>159131</v>
      </c>
      <c r="C3024" s="2">
        <v>3</v>
      </c>
      <c r="D3024" s="2" t="s">
        <v>175</v>
      </c>
      <c r="E3024" s="2" t="s">
        <v>497</v>
      </c>
      <c r="F3024" s="2" t="s">
        <v>40</v>
      </c>
      <c r="G3024" s="2" t="s">
        <v>22</v>
      </c>
      <c r="H3024" s="2" t="s">
        <v>23</v>
      </c>
      <c r="I3024" s="2" t="s">
        <v>23</v>
      </c>
      <c r="J3024" s="2">
        <v>5</v>
      </c>
      <c r="K3024" s="2" t="s">
        <v>27</v>
      </c>
      <c r="L3024" s="2">
        <v>2521</v>
      </c>
      <c r="M3024" s="2" t="s">
        <v>82</v>
      </c>
      <c r="N3024" s="2">
        <v>110</v>
      </c>
      <c r="O3024" s="2">
        <v>2998891.86</v>
      </c>
      <c r="P3024" s="2">
        <v>27262.65</v>
      </c>
    </row>
    <row r="3025" spans="1:16" outlineLevel="1" x14ac:dyDescent="0.2">
      <c r="A3025" s="5"/>
      <c r="D3025" s="3" t="s">
        <v>725</v>
      </c>
      <c r="N3025" s="2">
        <f>SUBTOTAL(9,N3023:N3024)</f>
        <v>150</v>
      </c>
      <c r="O3025" s="2">
        <f>SUBTOTAL(9,O3023:O3024)</f>
        <v>4095737.38</v>
      </c>
      <c r="P3025" s="2">
        <f>+O3025/N3025</f>
        <v>27304.915866666666</v>
      </c>
    </row>
    <row r="3026" spans="1:16" outlineLevel="2" x14ac:dyDescent="0.2">
      <c r="A3026" s="5">
        <v>46164</v>
      </c>
      <c r="B3026" s="2">
        <v>159136</v>
      </c>
      <c r="C3026" s="2">
        <v>1</v>
      </c>
      <c r="D3026" s="2" t="s">
        <v>38</v>
      </c>
      <c r="E3026" s="2" t="s">
        <v>39</v>
      </c>
      <c r="F3026" s="2" t="s">
        <v>40</v>
      </c>
      <c r="G3026" s="2" t="s">
        <v>22</v>
      </c>
      <c r="H3026" s="2" t="s">
        <v>23</v>
      </c>
      <c r="I3026" s="2" t="s">
        <v>507</v>
      </c>
      <c r="J3026" s="2">
        <v>40</v>
      </c>
      <c r="K3026" s="2" t="s">
        <v>43</v>
      </c>
      <c r="L3026" s="2">
        <v>2579</v>
      </c>
      <c r="M3026" s="2" t="s">
        <v>44</v>
      </c>
      <c r="N3026" s="2">
        <v>48</v>
      </c>
      <c r="O3026" s="2">
        <v>1425800.48</v>
      </c>
      <c r="P3026" s="2">
        <v>29704.18</v>
      </c>
    </row>
    <row r="3027" spans="1:16" outlineLevel="2" x14ac:dyDescent="0.2">
      <c r="A3027" s="5">
        <v>46160</v>
      </c>
      <c r="B3027" s="2">
        <v>159136</v>
      </c>
      <c r="C3027" s="2">
        <v>2</v>
      </c>
      <c r="D3027" s="2" t="s">
        <v>38</v>
      </c>
      <c r="E3027" s="2" t="s">
        <v>39</v>
      </c>
      <c r="F3027" s="2" t="s">
        <v>40</v>
      </c>
      <c r="G3027" s="2" t="s">
        <v>41</v>
      </c>
      <c r="H3027" s="2" t="s">
        <v>23</v>
      </c>
      <c r="I3027" s="2" t="s">
        <v>410</v>
      </c>
      <c r="J3027" s="2">
        <v>40</v>
      </c>
      <c r="K3027" s="2" t="s">
        <v>43</v>
      </c>
      <c r="L3027" s="2">
        <v>2579</v>
      </c>
      <c r="M3027" s="2" t="s">
        <v>44</v>
      </c>
      <c r="N3027" s="2">
        <v>170</v>
      </c>
      <c r="O3027" s="2">
        <v>4822104.42</v>
      </c>
      <c r="P3027" s="2">
        <v>28365.32</v>
      </c>
    </row>
    <row r="3028" spans="1:16" outlineLevel="2" x14ac:dyDescent="0.2">
      <c r="A3028" s="5">
        <v>46160</v>
      </c>
      <c r="B3028" s="2">
        <v>159136</v>
      </c>
      <c r="C3028" s="2">
        <v>3</v>
      </c>
      <c r="D3028" s="2" t="s">
        <v>38</v>
      </c>
      <c r="E3028" s="2" t="s">
        <v>39</v>
      </c>
      <c r="F3028" s="2" t="s">
        <v>40</v>
      </c>
      <c r="G3028" s="2" t="s">
        <v>41</v>
      </c>
      <c r="H3028" s="2" t="s">
        <v>23</v>
      </c>
      <c r="I3028" s="2" t="s">
        <v>334</v>
      </c>
      <c r="J3028" s="2">
        <v>40</v>
      </c>
      <c r="K3028" s="2" t="s">
        <v>43</v>
      </c>
      <c r="L3028" s="2">
        <v>2579</v>
      </c>
      <c r="M3028" s="2" t="s">
        <v>44</v>
      </c>
      <c r="N3028" s="2">
        <v>127</v>
      </c>
      <c r="O3028" s="2">
        <v>3313625.68</v>
      </c>
      <c r="P3028" s="2">
        <v>26091.54</v>
      </c>
    </row>
    <row r="3029" spans="1:16" outlineLevel="2" x14ac:dyDescent="0.2">
      <c r="A3029" s="5">
        <v>46153</v>
      </c>
      <c r="B3029" s="2">
        <v>159136</v>
      </c>
      <c r="C3029" s="2">
        <v>5</v>
      </c>
      <c r="D3029" s="2" t="s">
        <v>38</v>
      </c>
      <c r="E3029" s="2" t="s">
        <v>39</v>
      </c>
      <c r="F3029" s="2" t="s">
        <v>40</v>
      </c>
      <c r="G3029" s="2" t="s">
        <v>41</v>
      </c>
      <c r="H3029" s="2" t="s">
        <v>23</v>
      </c>
      <c r="I3029" s="2" t="s">
        <v>42</v>
      </c>
      <c r="J3029" s="2">
        <v>40</v>
      </c>
      <c r="K3029" s="2" t="s">
        <v>43</v>
      </c>
      <c r="L3029" s="2">
        <v>2579</v>
      </c>
      <c r="M3029" s="2" t="s">
        <v>44</v>
      </c>
      <c r="N3029" s="2">
        <v>384</v>
      </c>
      <c r="O3029" s="2">
        <v>8717164.1899999995</v>
      </c>
      <c r="P3029" s="2">
        <v>22700.95</v>
      </c>
    </row>
    <row r="3030" spans="1:16" outlineLevel="1" x14ac:dyDescent="0.2">
      <c r="A3030" s="5"/>
      <c r="D3030" s="3" t="s">
        <v>721</v>
      </c>
      <c r="N3030" s="2">
        <f>SUBTOTAL(9,N3026:N3029)</f>
        <v>729</v>
      </c>
      <c r="O3030" s="2">
        <f>SUBTOTAL(9,O3026:O3029)</f>
        <v>18278694.77</v>
      </c>
      <c r="P3030" s="2">
        <f>+O3030/N3030</f>
        <v>25073.655377229079</v>
      </c>
    </row>
    <row r="3031" spans="1:16" outlineLevel="2" x14ac:dyDescent="0.2">
      <c r="A3031" s="5">
        <v>46146</v>
      </c>
      <c r="B3031" s="2">
        <v>159169</v>
      </c>
      <c r="C3031" s="2">
        <v>1</v>
      </c>
      <c r="D3031" s="2" t="s">
        <v>83</v>
      </c>
      <c r="E3031" s="2" t="s">
        <v>508</v>
      </c>
      <c r="F3031" s="2" t="s">
        <v>63</v>
      </c>
      <c r="G3031" s="2" t="s">
        <v>22</v>
      </c>
      <c r="H3031" s="2" t="s">
        <v>23</v>
      </c>
      <c r="I3031" s="2" t="s">
        <v>23</v>
      </c>
      <c r="J3031" s="2">
        <v>1</v>
      </c>
      <c r="K3031" s="2" t="s">
        <v>24</v>
      </c>
      <c r="L3031" s="2">
        <v>2573</v>
      </c>
      <c r="M3031" s="2" t="s">
        <v>509</v>
      </c>
      <c r="N3031" s="2">
        <v>312</v>
      </c>
      <c r="O3031" s="2">
        <v>10313081.08</v>
      </c>
      <c r="P3031" s="2">
        <v>33054.75</v>
      </c>
    </row>
    <row r="3032" spans="1:16" outlineLevel="2" x14ac:dyDescent="0.2">
      <c r="A3032" s="5">
        <v>46162</v>
      </c>
      <c r="B3032" s="2">
        <v>159170</v>
      </c>
      <c r="C3032" s="2">
        <v>1</v>
      </c>
      <c r="D3032" s="2" t="s">
        <v>83</v>
      </c>
      <c r="E3032" s="2" t="s">
        <v>508</v>
      </c>
      <c r="F3032" s="2" t="s">
        <v>63</v>
      </c>
      <c r="G3032" s="2" t="s">
        <v>22</v>
      </c>
      <c r="H3032" s="2" t="s">
        <v>23</v>
      </c>
      <c r="I3032" s="2" t="s">
        <v>510</v>
      </c>
      <c r="J3032" s="2">
        <v>40</v>
      </c>
      <c r="K3032" s="2" t="s">
        <v>43</v>
      </c>
      <c r="L3032" s="2">
        <v>2573</v>
      </c>
      <c r="M3032" s="2" t="s">
        <v>509</v>
      </c>
      <c r="N3032" s="2">
        <v>104</v>
      </c>
      <c r="O3032" s="2">
        <v>4010548.91</v>
      </c>
      <c r="P3032" s="2">
        <v>38562.97</v>
      </c>
    </row>
    <row r="3033" spans="1:16" outlineLevel="2" x14ac:dyDescent="0.2">
      <c r="A3033" s="5">
        <v>46180</v>
      </c>
      <c r="B3033" s="2">
        <v>159170</v>
      </c>
      <c r="C3033" s="2">
        <v>2</v>
      </c>
      <c r="D3033" s="2" t="s">
        <v>83</v>
      </c>
      <c r="E3033" s="2" t="s">
        <v>508</v>
      </c>
      <c r="F3033" s="2" t="s">
        <v>63</v>
      </c>
      <c r="G3033" s="2" t="s">
        <v>22</v>
      </c>
      <c r="H3033" s="2" t="s">
        <v>23</v>
      </c>
      <c r="I3033" s="2" t="s">
        <v>23</v>
      </c>
      <c r="J3033" s="2">
        <v>1</v>
      </c>
      <c r="K3033" s="2" t="s">
        <v>24</v>
      </c>
      <c r="L3033" s="2">
        <v>2573</v>
      </c>
      <c r="M3033" s="2" t="s">
        <v>509</v>
      </c>
      <c r="N3033" s="2">
        <v>104</v>
      </c>
      <c r="O3033" s="2">
        <v>3480720.67</v>
      </c>
      <c r="P3033" s="2">
        <v>33468.47</v>
      </c>
    </row>
    <row r="3034" spans="1:16" outlineLevel="1" x14ac:dyDescent="0.2">
      <c r="A3034" s="5"/>
      <c r="D3034" s="3" t="s">
        <v>701</v>
      </c>
      <c r="N3034" s="2">
        <f>SUBTOTAL(9,N3031:N3033)</f>
        <v>520</v>
      </c>
      <c r="O3034" s="2">
        <f>SUBTOTAL(9,O3031:O3033)</f>
        <v>17804350.66</v>
      </c>
      <c r="P3034" s="2">
        <f>+O3034/N3034</f>
        <v>34239.135884615382</v>
      </c>
    </row>
    <row r="3035" spans="1:16" outlineLevel="2" x14ac:dyDescent="0.2">
      <c r="A3035" s="5">
        <v>46168</v>
      </c>
      <c r="B3035" s="2">
        <v>159172</v>
      </c>
      <c r="C3035" s="2">
        <v>1</v>
      </c>
      <c r="D3035" s="2" t="s">
        <v>38</v>
      </c>
      <c r="E3035" s="2" t="s">
        <v>39</v>
      </c>
      <c r="F3035" s="2" t="s">
        <v>21</v>
      </c>
      <c r="G3035" s="2" t="s">
        <v>22</v>
      </c>
      <c r="H3035" s="2" t="s">
        <v>23</v>
      </c>
      <c r="I3035" s="2" t="s">
        <v>135</v>
      </c>
      <c r="J3035" s="2">
        <v>1</v>
      </c>
      <c r="K3035" s="2" t="s">
        <v>24</v>
      </c>
      <c r="L3035" s="2">
        <v>25186</v>
      </c>
      <c r="M3035" s="2" t="s">
        <v>418</v>
      </c>
      <c r="N3035" s="2">
        <v>96</v>
      </c>
      <c r="O3035" s="2">
        <v>3411547.28</v>
      </c>
      <c r="P3035" s="2">
        <v>35536.949999999997</v>
      </c>
    </row>
    <row r="3036" spans="1:16" outlineLevel="1" x14ac:dyDescent="0.2">
      <c r="A3036" s="5"/>
      <c r="D3036" s="3" t="s">
        <v>721</v>
      </c>
      <c r="N3036" s="2">
        <f>SUBTOTAL(9,N3035:N3035)</f>
        <v>96</v>
      </c>
      <c r="O3036" s="2">
        <f>SUBTOTAL(9,O3035:O3035)</f>
        <v>3411547.28</v>
      </c>
      <c r="P3036" s="2">
        <f>+O3036/N3036</f>
        <v>35536.950833333329</v>
      </c>
    </row>
    <row r="3037" spans="1:16" outlineLevel="2" x14ac:dyDescent="0.2">
      <c r="A3037" s="5">
        <v>46164</v>
      </c>
      <c r="B3037" s="2">
        <v>159173</v>
      </c>
      <c r="C3037" s="2">
        <v>1</v>
      </c>
      <c r="D3037" s="2" t="s">
        <v>511</v>
      </c>
      <c r="E3037" s="2" t="s">
        <v>23</v>
      </c>
      <c r="F3037" s="2" t="s">
        <v>40</v>
      </c>
      <c r="G3037" s="2" t="s">
        <v>22</v>
      </c>
      <c r="H3037" s="2" t="s">
        <v>23</v>
      </c>
      <c r="I3037" s="2" t="s">
        <v>23</v>
      </c>
      <c r="J3037" s="2">
        <v>1</v>
      </c>
      <c r="K3037" s="2" t="s">
        <v>24</v>
      </c>
      <c r="L3037" s="2">
        <v>2521</v>
      </c>
      <c r="M3037" s="2" t="s">
        <v>82</v>
      </c>
      <c r="N3037" s="2">
        <v>47</v>
      </c>
      <c r="O3037" s="2">
        <v>1028970.41</v>
      </c>
      <c r="P3037" s="2">
        <v>21892.99</v>
      </c>
    </row>
    <row r="3038" spans="1:16" outlineLevel="1" x14ac:dyDescent="0.2">
      <c r="A3038" s="5"/>
      <c r="D3038" s="3" t="s">
        <v>790</v>
      </c>
      <c r="N3038" s="2">
        <f>SUBTOTAL(9,N3037:N3037)</f>
        <v>47</v>
      </c>
      <c r="O3038" s="2">
        <f>SUBTOTAL(9,O3037:O3037)</f>
        <v>1028970.41</v>
      </c>
      <c r="P3038" s="2">
        <f>+O3038/N3038</f>
        <v>21892.987446808511</v>
      </c>
    </row>
    <row r="3039" spans="1:16" outlineLevel="2" x14ac:dyDescent="0.2">
      <c r="A3039" s="5">
        <v>46146</v>
      </c>
      <c r="B3039" s="2">
        <v>159173</v>
      </c>
      <c r="C3039" s="2">
        <v>2</v>
      </c>
      <c r="D3039" s="2" t="s">
        <v>131</v>
      </c>
      <c r="E3039" s="2" t="s">
        <v>132</v>
      </c>
      <c r="F3039" s="2" t="s">
        <v>40</v>
      </c>
      <c r="G3039" s="2" t="s">
        <v>22</v>
      </c>
      <c r="H3039" s="2" t="s">
        <v>23</v>
      </c>
      <c r="I3039" s="2" t="s">
        <v>23</v>
      </c>
      <c r="J3039" s="2">
        <v>1</v>
      </c>
      <c r="K3039" s="2" t="s">
        <v>24</v>
      </c>
      <c r="L3039" s="2">
        <v>2521</v>
      </c>
      <c r="M3039" s="2" t="s">
        <v>82</v>
      </c>
      <c r="N3039" s="2">
        <v>259</v>
      </c>
      <c r="O3039" s="2">
        <v>9755454.8000000007</v>
      </c>
      <c r="P3039" s="2">
        <v>37665.85</v>
      </c>
    </row>
    <row r="3040" spans="1:16" outlineLevel="1" x14ac:dyDescent="0.2">
      <c r="A3040" s="5"/>
      <c r="D3040" s="3" t="s">
        <v>713</v>
      </c>
      <c r="N3040" s="2">
        <f>SUBTOTAL(9,N3039:N3039)</f>
        <v>259</v>
      </c>
      <c r="O3040" s="2">
        <f>SUBTOTAL(9,O3039:O3039)</f>
        <v>9755454.8000000007</v>
      </c>
      <c r="P3040" s="2">
        <f>+O3040/N3040</f>
        <v>37665.848648648651</v>
      </c>
    </row>
    <row r="3041" spans="1:16" outlineLevel="2" x14ac:dyDescent="0.2">
      <c r="A3041" s="5">
        <v>46153</v>
      </c>
      <c r="B3041" s="2">
        <v>159173</v>
      </c>
      <c r="C3041" s="2">
        <v>3</v>
      </c>
      <c r="D3041" s="2" t="s">
        <v>81</v>
      </c>
      <c r="E3041" s="2" t="s">
        <v>23</v>
      </c>
      <c r="F3041" s="2" t="s">
        <v>40</v>
      </c>
      <c r="G3041" s="2" t="s">
        <v>22</v>
      </c>
      <c r="H3041" s="2" t="s">
        <v>23</v>
      </c>
      <c r="I3041" s="2" t="s">
        <v>23</v>
      </c>
      <c r="J3041" s="2">
        <v>1</v>
      </c>
      <c r="K3041" s="2" t="s">
        <v>24</v>
      </c>
      <c r="L3041" s="2">
        <v>2521</v>
      </c>
      <c r="M3041" s="2" t="s">
        <v>82</v>
      </c>
      <c r="N3041" s="2">
        <v>47</v>
      </c>
      <c r="O3041" s="2">
        <v>1953495.17</v>
      </c>
      <c r="P3041" s="2">
        <v>41563.730000000003</v>
      </c>
    </row>
    <row r="3042" spans="1:16" outlineLevel="1" x14ac:dyDescent="0.2">
      <c r="A3042" s="5"/>
      <c r="D3042" s="3" t="s">
        <v>693</v>
      </c>
      <c r="N3042" s="2">
        <f>SUBTOTAL(9,N3041:N3041)</f>
        <v>47</v>
      </c>
      <c r="O3042" s="2">
        <f>SUBTOTAL(9,O3041:O3041)</f>
        <v>1953495.17</v>
      </c>
      <c r="P3042" s="2">
        <f>+O3042/N3042</f>
        <v>41563.727021276594</v>
      </c>
    </row>
    <row r="3043" spans="1:16" outlineLevel="2" x14ac:dyDescent="0.2">
      <c r="A3043" s="5">
        <v>46164</v>
      </c>
      <c r="B3043" s="2">
        <v>159174</v>
      </c>
      <c r="C3043" s="2">
        <v>1</v>
      </c>
      <c r="D3043" s="2" t="s">
        <v>38</v>
      </c>
      <c r="E3043" s="2" t="s">
        <v>39</v>
      </c>
      <c r="F3043" s="2" t="s">
        <v>40</v>
      </c>
      <c r="G3043" s="2" t="s">
        <v>22</v>
      </c>
      <c r="H3043" s="2" t="s">
        <v>23</v>
      </c>
      <c r="I3043" s="2" t="s">
        <v>507</v>
      </c>
      <c r="J3043" s="2">
        <v>40</v>
      </c>
      <c r="K3043" s="2" t="s">
        <v>43</v>
      </c>
      <c r="L3043" s="2">
        <v>2579</v>
      </c>
      <c r="M3043" s="2" t="s">
        <v>44</v>
      </c>
      <c r="N3043" s="2">
        <v>93</v>
      </c>
      <c r="O3043" s="2">
        <v>1916212.51</v>
      </c>
      <c r="P3043" s="2">
        <v>20604.439999999999</v>
      </c>
    </row>
    <row r="3044" spans="1:16" outlineLevel="2" x14ac:dyDescent="0.2">
      <c r="A3044" s="5">
        <v>46164</v>
      </c>
      <c r="B3044" s="2">
        <v>159174</v>
      </c>
      <c r="C3044" s="2">
        <v>2</v>
      </c>
      <c r="D3044" s="2" t="s">
        <v>38</v>
      </c>
      <c r="E3044" s="2" t="s">
        <v>39</v>
      </c>
      <c r="F3044" s="2" t="s">
        <v>40</v>
      </c>
      <c r="G3044" s="2" t="s">
        <v>22</v>
      </c>
      <c r="H3044" s="2" t="s">
        <v>23</v>
      </c>
      <c r="I3044" s="2" t="s">
        <v>410</v>
      </c>
      <c r="J3044" s="2">
        <v>40</v>
      </c>
      <c r="K3044" s="2" t="s">
        <v>43</v>
      </c>
      <c r="L3044" s="2">
        <v>2579</v>
      </c>
      <c r="M3044" s="2" t="s">
        <v>44</v>
      </c>
      <c r="N3044" s="2">
        <v>53</v>
      </c>
      <c r="O3044" s="2">
        <v>1328603.1399999999</v>
      </c>
      <c r="P3044" s="2">
        <v>25067.98</v>
      </c>
    </row>
    <row r="3045" spans="1:16" outlineLevel="2" x14ac:dyDescent="0.2">
      <c r="A3045" s="5">
        <v>46160</v>
      </c>
      <c r="B3045" s="2">
        <v>159174</v>
      </c>
      <c r="C3045" s="2">
        <v>5</v>
      </c>
      <c r="D3045" s="2" t="s">
        <v>38</v>
      </c>
      <c r="E3045" s="2" t="s">
        <v>39</v>
      </c>
      <c r="F3045" s="2" t="s">
        <v>40</v>
      </c>
      <c r="G3045" s="2" t="s">
        <v>41</v>
      </c>
      <c r="H3045" s="2" t="s">
        <v>23</v>
      </c>
      <c r="I3045" s="2" t="s">
        <v>42</v>
      </c>
      <c r="J3045" s="2">
        <v>40</v>
      </c>
      <c r="K3045" s="2" t="s">
        <v>43</v>
      </c>
      <c r="L3045" s="2">
        <v>2579</v>
      </c>
      <c r="M3045" s="2" t="s">
        <v>44</v>
      </c>
      <c r="N3045" s="2">
        <v>362</v>
      </c>
      <c r="O3045" s="2">
        <v>7882782.1699999999</v>
      </c>
      <c r="P3045" s="2">
        <v>21775.64</v>
      </c>
    </row>
    <row r="3046" spans="1:16" outlineLevel="2" x14ac:dyDescent="0.2">
      <c r="A3046" s="5">
        <v>46157</v>
      </c>
      <c r="B3046" s="2">
        <v>159174</v>
      </c>
      <c r="C3046" s="2">
        <v>300</v>
      </c>
      <c r="D3046" s="2" t="s">
        <v>38</v>
      </c>
      <c r="E3046" s="2" t="s">
        <v>39</v>
      </c>
      <c r="F3046" s="2" t="s">
        <v>40</v>
      </c>
      <c r="G3046" s="2" t="s">
        <v>22</v>
      </c>
      <c r="H3046" s="2" t="s">
        <v>23</v>
      </c>
      <c r="I3046" s="2" t="s">
        <v>23</v>
      </c>
      <c r="J3046" s="2">
        <v>94</v>
      </c>
      <c r="K3046" s="2" t="s">
        <v>147</v>
      </c>
      <c r="L3046" s="2">
        <v>2579</v>
      </c>
      <c r="M3046" s="2" t="s">
        <v>44</v>
      </c>
      <c r="N3046" s="2">
        <v>92</v>
      </c>
      <c r="O3046" s="2">
        <v>646158.73</v>
      </c>
      <c r="P3046" s="2">
        <v>7023.46</v>
      </c>
    </row>
    <row r="3047" spans="1:16" outlineLevel="1" x14ac:dyDescent="0.2">
      <c r="A3047" s="5"/>
      <c r="D3047" s="3" t="s">
        <v>721</v>
      </c>
      <c r="N3047" s="2">
        <f>SUBTOTAL(9,N3043:N3046)</f>
        <v>600</v>
      </c>
      <c r="O3047" s="2">
        <f>SUBTOTAL(9,O3043:O3046)</f>
        <v>11773756.550000001</v>
      </c>
      <c r="P3047" s="2">
        <f>+O3047/N3047</f>
        <v>19622.927583333334</v>
      </c>
    </row>
    <row r="3048" spans="1:16" outlineLevel="2" x14ac:dyDescent="0.2">
      <c r="A3048" s="5">
        <v>46146</v>
      </c>
      <c r="B3048" s="2">
        <v>159175</v>
      </c>
      <c r="C3048" s="2">
        <v>1</v>
      </c>
      <c r="D3048" s="2" t="s">
        <v>150</v>
      </c>
      <c r="E3048" s="2" t="s">
        <v>151</v>
      </c>
      <c r="F3048" s="2" t="s">
        <v>40</v>
      </c>
      <c r="G3048" s="2" t="s">
        <v>22</v>
      </c>
      <c r="H3048" s="2" t="s">
        <v>23</v>
      </c>
      <c r="I3048" s="2" t="s">
        <v>109</v>
      </c>
      <c r="J3048" s="2">
        <v>1</v>
      </c>
      <c r="K3048" s="2" t="s">
        <v>24</v>
      </c>
      <c r="L3048" s="2">
        <v>2120</v>
      </c>
      <c r="M3048" s="2" t="s">
        <v>196</v>
      </c>
      <c r="N3048" s="2">
        <v>120</v>
      </c>
      <c r="O3048" s="2">
        <v>3783035.13</v>
      </c>
      <c r="P3048" s="2">
        <v>31525.29</v>
      </c>
    </row>
    <row r="3049" spans="1:16" outlineLevel="2" x14ac:dyDescent="0.2">
      <c r="A3049" s="5">
        <v>46148</v>
      </c>
      <c r="B3049" s="2">
        <v>159175</v>
      </c>
      <c r="C3049" s="2">
        <v>2</v>
      </c>
      <c r="D3049" s="2" t="s">
        <v>150</v>
      </c>
      <c r="E3049" s="2" t="s">
        <v>151</v>
      </c>
      <c r="F3049" s="2" t="s">
        <v>40</v>
      </c>
      <c r="G3049" s="2" t="s">
        <v>22</v>
      </c>
      <c r="H3049" s="2" t="s">
        <v>23</v>
      </c>
      <c r="I3049" s="2" t="s">
        <v>101</v>
      </c>
      <c r="J3049" s="2">
        <v>1</v>
      </c>
      <c r="K3049" s="2" t="s">
        <v>24</v>
      </c>
      <c r="L3049" s="2">
        <v>2120</v>
      </c>
      <c r="M3049" s="2" t="s">
        <v>196</v>
      </c>
      <c r="N3049" s="2">
        <v>114</v>
      </c>
      <c r="O3049" s="2">
        <v>3358622.89</v>
      </c>
      <c r="P3049" s="2">
        <v>29461.599999999999</v>
      </c>
    </row>
    <row r="3050" spans="1:16" outlineLevel="1" x14ac:dyDescent="0.2">
      <c r="A3050" s="5"/>
      <c r="D3050" s="3" t="s">
        <v>718</v>
      </c>
      <c r="N3050" s="2">
        <f>SUBTOTAL(9,N3048:N3049)</f>
        <v>234</v>
      </c>
      <c r="O3050" s="2">
        <f>SUBTOTAL(9,O3048:O3049)</f>
        <v>7141658.0199999996</v>
      </c>
      <c r="P3050" s="2">
        <f>+O3050/N3050</f>
        <v>30519.906068376065</v>
      </c>
    </row>
    <row r="3051" spans="1:16" outlineLevel="2" x14ac:dyDescent="0.2">
      <c r="A3051" s="5">
        <v>46148</v>
      </c>
      <c r="B3051" s="2">
        <v>159176</v>
      </c>
      <c r="C3051" s="2">
        <v>1</v>
      </c>
      <c r="D3051" s="2" t="s">
        <v>119</v>
      </c>
      <c r="E3051" s="2" t="s">
        <v>120</v>
      </c>
      <c r="F3051" s="2" t="s">
        <v>63</v>
      </c>
      <c r="G3051" s="2" t="s">
        <v>22</v>
      </c>
      <c r="H3051" s="2" t="s">
        <v>23</v>
      </c>
      <c r="I3051" s="2" t="s">
        <v>512</v>
      </c>
      <c r="J3051" s="2">
        <v>40</v>
      </c>
      <c r="K3051" s="2" t="s">
        <v>43</v>
      </c>
      <c r="L3051" s="2">
        <v>1779</v>
      </c>
      <c r="M3051" s="2" t="s">
        <v>502</v>
      </c>
      <c r="N3051" s="2">
        <v>292</v>
      </c>
      <c r="O3051" s="2">
        <v>13086305.890000001</v>
      </c>
      <c r="P3051" s="2">
        <v>44816.12</v>
      </c>
    </row>
    <row r="3052" spans="1:16" outlineLevel="2" x14ac:dyDescent="0.2">
      <c r="A3052" s="5">
        <v>46148</v>
      </c>
      <c r="B3052" s="2">
        <v>159176</v>
      </c>
      <c r="C3052" s="2">
        <v>2</v>
      </c>
      <c r="D3052" s="2" t="s">
        <v>119</v>
      </c>
      <c r="E3052" s="2" t="s">
        <v>120</v>
      </c>
      <c r="F3052" s="2" t="s">
        <v>63</v>
      </c>
      <c r="G3052" s="2" t="s">
        <v>22</v>
      </c>
      <c r="H3052" s="2" t="s">
        <v>23</v>
      </c>
      <c r="I3052" s="2" t="s">
        <v>501</v>
      </c>
      <c r="J3052" s="2">
        <v>1</v>
      </c>
      <c r="K3052" s="2" t="s">
        <v>24</v>
      </c>
      <c r="L3052" s="2">
        <v>1779</v>
      </c>
      <c r="M3052" s="2" t="s">
        <v>502</v>
      </c>
      <c r="N3052" s="2">
        <v>104</v>
      </c>
      <c r="O3052" s="2">
        <v>4175957.51</v>
      </c>
      <c r="P3052" s="2">
        <v>40153.440000000002</v>
      </c>
    </row>
    <row r="3053" spans="1:16" outlineLevel="2" x14ac:dyDescent="0.2">
      <c r="A3053" s="5">
        <v>46174</v>
      </c>
      <c r="B3053" s="2">
        <v>159176</v>
      </c>
      <c r="C3053" s="2">
        <v>4</v>
      </c>
      <c r="D3053" s="2" t="s">
        <v>119</v>
      </c>
      <c r="E3053" s="2" t="s">
        <v>120</v>
      </c>
      <c r="F3053" s="2" t="s">
        <v>63</v>
      </c>
      <c r="G3053" s="2" t="s">
        <v>22</v>
      </c>
      <c r="H3053" s="2" t="s">
        <v>23</v>
      </c>
      <c r="I3053" s="2" t="s">
        <v>513</v>
      </c>
      <c r="J3053" s="2">
        <v>1</v>
      </c>
      <c r="K3053" s="2" t="s">
        <v>24</v>
      </c>
      <c r="L3053" s="2">
        <v>1779</v>
      </c>
      <c r="M3053" s="2" t="s">
        <v>502</v>
      </c>
      <c r="N3053" s="2">
        <v>104</v>
      </c>
      <c r="O3053" s="2">
        <v>3914707.98</v>
      </c>
      <c r="P3053" s="2">
        <v>37641.42</v>
      </c>
    </row>
    <row r="3054" spans="1:16" outlineLevel="1" x14ac:dyDescent="0.2">
      <c r="A3054" s="5"/>
      <c r="D3054" s="3" t="s">
        <v>708</v>
      </c>
      <c r="N3054" s="2">
        <f>SUBTOTAL(9,N3051:N3053)</f>
        <v>500</v>
      </c>
      <c r="O3054" s="2">
        <f>SUBTOTAL(9,O3051:O3053)</f>
        <v>21176971.379999999</v>
      </c>
      <c r="P3054" s="2">
        <f>+O3054/N3054</f>
        <v>42353.942759999998</v>
      </c>
    </row>
    <row r="3055" spans="1:16" outlineLevel="2" x14ac:dyDescent="0.2">
      <c r="A3055" s="5">
        <v>46148</v>
      </c>
      <c r="B3055" s="2">
        <v>159179</v>
      </c>
      <c r="C3055" s="2">
        <v>305</v>
      </c>
      <c r="D3055" s="2" t="s">
        <v>45</v>
      </c>
      <c r="E3055" s="2" t="s">
        <v>228</v>
      </c>
      <c r="F3055" s="2" t="s">
        <v>55</v>
      </c>
      <c r="G3055" s="2" t="s">
        <v>23</v>
      </c>
      <c r="H3055" s="2" t="s">
        <v>23</v>
      </c>
      <c r="I3055" s="2" t="s">
        <v>23</v>
      </c>
      <c r="J3055" s="2">
        <v>2</v>
      </c>
      <c r="K3055" s="2" t="s">
        <v>48</v>
      </c>
      <c r="L3055" s="2">
        <v>1964</v>
      </c>
      <c r="M3055" s="2" t="s">
        <v>49</v>
      </c>
      <c r="N3055" s="2">
        <v>13</v>
      </c>
      <c r="O3055" s="2">
        <v>264904.46000000002</v>
      </c>
      <c r="P3055" s="2">
        <v>20377.27</v>
      </c>
    </row>
    <row r="3056" spans="1:16" outlineLevel="1" x14ac:dyDescent="0.2">
      <c r="A3056" s="5"/>
      <c r="D3056" s="3" t="s">
        <v>733</v>
      </c>
      <c r="N3056" s="2">
        <f>SUBTOTAL(9,N3055:N3055)</f>
        <v>13</v>
      </c>
      <c r="O3056" s="2">
        <f>SUBTOTAL(9,O3055:O3055)</f>
        <v>264904.46000000002</v>
      </c>
      <c r="P3056" s="2">
        <f>+O3056/N3056</f>
        <v>20377.266153846154</v>
      </c>
    </row>
    <row r="3057" spans="1:16" outlineLevel="2" x14ac:dyDescent="0.2">
      <c r="A3057" s="5">
        <v>46150</v>
      </c>
      <c r="B3057" s="2">
        <v>159179</v>
      </c>
      <c r="C3057" s="2">
        <v>306</v>
      </c>
      <c r="D3057" s="2" t="s">
        <v>54</v>
      </c>
      <c r="E3057" s="2" t="s">
        <v>20</v>
      </c>
      <c r="F3057" s="2" t="s">
        <v>55</v>
      </c>
      <c r="G3057" s="2" t="s">
        <v>23</v>
      </c>
      <c r="H3057" s="2" t="s">
        <v>23</v>
      </c>
      <c r="I3057" s="2" t="s">
        <v>23</v>
      </c>
      <c r="J3057" s="2">
        <v>2</v>
      </c>
      <c r="K3057" s="2" t="s">
        <v>48</v>
      </c>
      <c r="L3057" s="2">
        <v>1964</v>
      </c>
      <c r="M3057" s="2" t="s">
        <v>49</v>
      </c>
      <c r="N3057" s="2">
        <v>4</v>
      </c>
      <c r="O3057" s="2">
        <v>9993.2800000000007</v>
      </c>
      <c r="P3057" s="2">
        <v>2498.3200000000002</v>
      </c>
    </row>
    <row r="3058" spans="1:16" outlineLevel="1" x14ac:dyDescent="0.2">
      <c r="A3058" s="5"/>
      <c r="D3058" s="3" t="s">
        <v>719</v>
      </c>
      <c r="N3058" s="2">
        <f>SUBTOTAL(9,N3057:N3057)</f>
        <v>4</v>
      </c>
      <c r="O3058" s="2">
        <f>SUBTOTAL(9,O3057:O3057)</f>
        <v>9993.2800000000007</v>
      </c>
      <c r="P3058" s="2">
        <f>+O3058/N3058</f>
        <v>2498.3200000000002</v>
      </c>
    </row>
    <row r="3059" spans="1:16" outlineLevel="2" x14ac:dyDescent="0.2">
      <c r="A3059" s="5">
        <v>46146</v>
      </c>
      <c r="B3059" s="2">
        <v>159181</v>
      </c>
      <c r="C3059" s="2">
        <v>5</v>
      </c>
      <c r="D3059" s="2" t="s">
        <v>45</v>
      </c>
      <c r="E3059" s="2" t="s">
        <v>125</v>
      </c>
      <c r="F3059" s="2" t="s">
        <v>289</v>
      </c>
      <c r="G3059" s="2" t="s">
        <v>22</v>
      </c>
      <c r="H3059" s="2" t="s">
        <v>23</v>
      </c>
      <c r="I3059" s="2" t="s">
        <v>23</v>
      </c>
      <c r="J3059" s="2">
        <v>2</v>
      </c>
      <c r="K3059" s="2" t="s">
        <v>48</v>
      </c>
      <c r="L3059" s="2">
        <v>106</v>
      </c>
      <c r="M3059" s="2" t="s">
        <v>486</v>
      </c>
      <c r="N3059" s="2">
        <v>112</v>
      </c>
      <c r="O3059" s="2">
        <v>3327489.81</v>
      </c>
      <c r="P3059" s="2">
        <v>29709.73</v>
      </c>
    </row>
    <row r="3060" spans="1:16" outlineLevel="1" x14ac:dyDescent="0.2">
      <c r="A3060" s="5"/>
      <c r="D3060" s="3" t="s">
        <v>733</v>
      </c>
      <c r="N3060" s="2">
        <f>SUBTOTAL(9,N3059:N3059)</f>
        <v>112</v>
      </c>
      <c r="O3060" s="2">
        <f>SUBTOTAL(9,O3059:O3059)</f>
        <v>3327489.81</v>
      </c>
      <c r="P3060" s="2">
        <f>+O3060/N3060</f>
        <v>29709.730446428573</v>
      </c>
    </row>
    <row r="3061" spans="1:16" outlineLevel="2" x14ac:dyDescent="0.2">
      <c r="A3061" s="5">
        <v>46150</v>
      </c>
      <c r="B3061" s="2">
        <v>159182</v>
      </c>
      <c r="C3061" s="2">
        <v>301</v>
      </c>
      <c r="D3061" s="2" t="s">
        <v>54</v>
      </c>
      <c r="E3061" s="2" t="s">
        <v>30</v>
      </c>
      <c r="F3061" s="2" t="s">
        <v>55</v>
      </c>
      <c r="G3061" s="2" t="s">
        <v>23</v>
      </c>
      <c r="H3061" s="2" t="s">
        <v>23</v>
      </c>
      <c r="I3061" s="2" t="s">
        <v>23</v>
      </c>
      <c r="J3061" s="2">
        <v>2</v>
      </c>
      <c r="K3061" s="2" t="s">
        <v>48</v>
      </c>
      <c r="L3061" s="2">
        <v>801</v>
      </c>
      <c r="M3061" s="2" t="s">
        <v>56</v>
      </c>
      <c r="N3061" s="2">
        <v>5</v>
      </c>
      <c r="O3061" s="2">
        <v>30226.91</v>
      </c>
      <c r="P3061" s="2">
        <v>6045.38</v>
      </c>
    </row>
    <row r="3062" spans="1:16" outlineLevel="1" x14ac:dyDescent="0.2">
      <c r="A3062" s="5"/>
      <c r="D3062" s="3" t="s">
        <v>719</v>
      </c>
      <c r="N3062" s="2">
        <f>SUBTOTAL(9,N3061:N3061)</f>
        <v>5</v>
      </c>
      <c r="O3062" s="2">
        <f>SUBTOTAL(9,O3061:O3061)</f>
        <v>30226.91</v>
      </c>
      <c r="P3062" s="2">
        <f>+O3062/N3062</f>
        <v>6045.3819999999996</v>
      </c>
    </row>
    <row r="3063" spans="1:16" outlineLevel="2" x14ac:dyDescent="0.2">
      <c r="A3063" s="5">
        <v>46146</v>
      </c>
      <c r="B3063" s="2">
        <v>159183</v>
      </c>
      <c r="C3063" s="2">
        <v>1</v>
      </c>
      <c r="D3063" s="2" t="s">
        <v>197</v>
      </c>
      <c r="E3063" s="2" t="s">
        <v>198</v>
      </c>
      <c r="F3063" s="2" t="s">
        <v>199</v>
      </c>
      <c r="G3063" s="2" t="s">
        <v>22</v>
      </c>
      <c r="H3063" s="2" t="s">
        <v>23</v>
      </c>
      <c r="I3063" s="2" t="s">
        <v>23</v>
      </c>
      <c r="J3063" s="2">
        <v>2</v>
      </c>
      <c r="K3063" s="2" t="s">
        <v>48</v>
      </c>
      <c r="L3063" s="2">
        <v>182</v>
      </c>
      <c r="M3063" s="2" t="s">
        <v>263</v>
      </c>
      <c r="N3063" s="2">
        <v>23</v>
      </c>
      <c r="O3063" s="2">
        <v>554352.73</v>
      </c>
      <c r="P3063" s="2">
        <v>24102.29</v>
      </c>
    </row>
    <row r="3064" spans="1:16" outlineLevel="2" x14ac:dyDescent="0.2">
      <c r="A3064" s="5">
        <v>46146</v>
      </c>
      <c r="B3064" s="2">
        <v>159185</v>
      </c>
      <c r="C3064" s="2">
        <v>1</v>
      </c>
      <c r="D3064" s="2" t="s">
        <v>197</v>
      </c>
      <c r="E3064" s="2" t="s">
        <v>284</v>
      </c>
      <c r="F3064" s="2" t="s">
        <v>199</v>
      </c>
      <c r="G3064" s="2" t="s">
        <v>22</v>
      </c>
      <c r="H3064" s="2" t="s">
        <v>23</v>
      </c>
      <c r="I3064" s="2" t="s">
        <v>23</v>
      </c>
      <c r="J3064" s="2">
        <v>2</v>
      </c>
      <c r="K3064" s="2" t="s">
        <v>48</v>
      </c>
      <c r="L3064" s="2">
        <v>183</v>
      </c>
      <c r="M3064" s="2" t="s">
        <v>381</v>
      </c>
      <c r="N3064" s="2">
        <v>147</v>
      </c>
      <c r="O3064" s="2">
        <v>3292247.14</v>
      </c>
      <c r="P3064" s="2">
        <v>22396.240000000002</v>
      </c>
    </row>
    <row r="3065" spans="1:16" outlineLevel="1" x14ac:dyDescent="0.2">
      <c r="A3065" s="5"/>
      <c r="D3065" s="3" t="s">
        <v>734</v>
      </c>
      <c r="N3065" s="2">
        <f>SUBTOTAL(9,N3063:N3064)</f>
        <v>170</v>
      </c>
      <c r="O3065" s="2">
        <f>SUBTOTAL(9,O3063:O3064)</f>
        <v>3846599.87</v>
      </c>
      <c r="P3065" s="2">
        <f>+O3065/N3065</f>
        <v>22627.058058823532</v>
      </c>
    </row>
    <row r="3066" spans="1:16" outlineLevel="2" x14ac:dyDescent="0.2">
      <c r="A3066" s="5">
        <v>46157</v>
      </c>
      <c r="B3066" s="2">
        <v>159195</v>
      </c>
      <c r="C3066" s="2">
        <v>1</v>
      </c>
      <c r="D3066" s="2" t="s">
        <v>140</v>
      </c>
      <c r="E3066" s="2" t="s">
        <v>141</v>
      </c>
      <c r="F3066" s="2" t="s">
        <v>55</v>
      </c>
      <c r="G3066" s="2" t="s">
        <v>23</v>
      </c>
      <c r="H3066" s="2" t="s">
        <v>23</v>
      </c>
      <c r="I3066" s="2" t="s">
        <v>23</v>
      </c>
      <c r="J3066" s="2">
        <v>1</v>
      </c>
      <c r="K3066" s="2" t="s">
        <v>24</v>
      </c>
      <c r="L3066" s="2">
        <v>1833</v>
      </c>
      <c r="M3066" s="2" t="s">
        <v>142</v>
      </c>
      <c r="N3066" s="2">
        <v>10</v>
      </c>
      <c r="O3066" s="2">
        <v>108992.65</v>
      </c>
      <c r="P3066" s="2">
        <v>10899.27</v>
      </c>
    </row>
    <row r="3067" spans="1:16" outlineLevel="1" x14ac:dyDescent="0.2">
      <c r="A3067" s="5"/>
      <c r="D3067" s="3" t="s">
        <v>696</v>
      </c>
      <c r="N3067" s="2">
        <f>SUBTOTAL(9,N3066:N3066)</f>
        <v>10</v>
      </c>
      <c r="O3067" s="2">
        <f>SUBTOTAL(9,O3066:O3066)</f>
        <v>108992.65</v>
      </c>
      <c r="P3067" s="2">
        <f>+O3067/N3067</f>
        <v>10899.264999999999</v>
      </c>
    </row>
    <row r="3068" spans="1:16" outlineLevel="2" x14ac:dyDescent="0.2">
      <c r="A3068" s="5">
        <v>46150</v>
      </c>
      <c r="B3068" s="2">
        <v>159196</v>
      </c>
      <c r="C3068" s="2">
        <v>302</v>
      </c>
      <c r="D3068" s="2" t="s">
        <v>54</v>
      </c>
      <c r="E3068" s="2" t="s">
        <v>20</v>
      </c>
      <c r="F3068" s="2" t="s">
        <v>55</v>
      </c>
      <c r="G3068" s="2" t="s">
        <v>23</v>
      </c>
      <c r="H3068" s="2" t="s">
        <v>23</v>
      </c>
      <c r="I3068" s="2" t="s">
        <v>23</v>
      </c>
      <c r="J3068" s="2">
        <v>2</v>
      </c>
      <c r="K3068" s="2" t="s">
        <v>48</v>
      </c>
      <c r="L3068" s="2">
        <v>25095</v>
      </c>
      <c r="M3068" s="2" t="s">
        <v>216</v>
      </c>
      <c r="N3068" s="2">
        <v>23</v>
      </c>
      <c r="O3068" s="2">
        <v>112973.45</v>
      </c>
      <c r="P3068" s="2">
        <v>4911.8900000000003</v>
      </c>
    </row>
    <row r="3069" spans="1:16" outlineLevel="1" x14ac:dyDescent="0.2">
      <c r="A3069" s="5"/>
      <c r="D3069" s="3" t="s">
        <v>719</v>
      </c>
      <c r="N3069" s="2">
        <f>SUBTOTAL(9,N3068:N3068)</f>
        <v>23</v>
      </c>
      <c r="O3069" s="2">
        <f>SUBTOTAL(9,O3068:O3068)</f>
        <v>112973.45</v>
      </c>
      <c r="P3069" s="2">
        <f>+O3069/N3069</f>
        <v>4911.8891304347826</v>
      </c>
    </row>
    <row r="3070" spans="1:16" outlineLevel="2" x14ac:dyDescent="0.2">
      <c r="A3070" s="5">
        <v>46148</v>
      </c>
      <c r="B3070" s="2">
        <v>159201</v>
      </c>
      <c r="C3070" s="2">
        <v>1</v>
      </c>
      <c r="D3070" s="2" t="s">
        <v>362</v>
      </c>
      <c r="E3070" s="2" t="s">
        <v>141</v>
      </c>
      <c r="F3070" s="2" t="s">
        <v>108</v>
      </c>
      <c r="G3070" s="2" t="s">
        <v>22</v>
      </c>
      <c r="H3070" s="2" t="s">
        <v>23</v>
      </c>
      <c r="I3070" s="2" t="s">
        <v>23</v>
      </c>
      <c r="J3070" s="2">
        <v>1</v>
      </c>
      <c r="K3070" s="2" t="s">
        <v>24</v>
      </c>
      <c r="L3070" s="2">
        <v>1833</v>
      </c>
      <c r="M3070" s="2" t="s">
        <v>142</v>
      </c>
      <c r="N3070" s="2">
        <v>21</v>
      </c>
      <c r="O3070" s="2">
        <v>562122.34</v>
      </c>
      <c r="P3070" s="2">
        <v>26767.73</v>
      </c>
    </row>
    <row r="3071" spans="1:16" outlineLevel="2" x14ac:dyDescent="0.2">
      <c r="A3071" s="5">
        <v>46148</v>
      </c>
      <c r="B3071" s="2">
        <v>159201</v>
      </c>
      <c r="C3071" s="2">
        <v>2</v>
      </c>
      <c r="D3071" s="2" t="s">
        <v>362</v>
      </c>
      <c r="E3071" s="2" t="s">
        <v>23</v>
      </c>
      <c r="F3071" s="2" t="s">
        <v>108</v>
      </c>
      <c r="G3071" s="2" t="s">
        <v>22</v>
      </c>
      <c r="H3071" s="2" t="s">
        <v>23</v>
      </c>
      <c r="I3071" s="2" t="s">
        <v>23</v>
      </c>
      <c r="J3071" s="2">
        <v>1</v>
      </c>
      <c r="K3071" s="2" t="s">
        <v>24</v>
      </c>
      <c r="L3071" s="2">
        <v>1833</v>
      </c>
      <c r="M3071" s="2" t="s">
        <v>142</v>
      </c>
      <c r="N3071" s="2">
        <v>17</v>
      </c>
      <c r="O3071" s="2">
        <v>162884.97</v>
      </c>
      <c r="P3071" s="2">
        <v>9581.4699999999993</v>
      </c>
    </row>
    <row r="3072" spans="1:16" outlineLevel="1" x14ac:dyDescent="0.2">
      <c r="A3072" s="5"/>
      <c r="D3072" s="3" t="s">
        <v>762</v>
      </c>
      <c r="N3072" s="2">
        <f>SUBTOTAL(9,N3070:N3071)</f>
        <v>38</v>
      </c>
      <c r="O3072" s="2">
        <f>SUBTOTAL(9,O3070:O3071)</f>
        <v>725007.30999999994</v>
      </c>
      <c r="P3072" s="2">
        <f>+O3072/N3072</f>
        <v>19079.139736842102</v>
      </c>
    </row>
    <row r="3073" spans="1:16" outlineLevel="2" x14ac:dyDescent="0.2">
      <c r="A3073" s="5">
        <v>46148</v>
      </c>
      <c r="B3073" s="2">
        <v>159202</v>
      </c>
      <c r="C3073" s="2">
        <v>1</v>
      </c>
      <c r="D3073" s="2" t="s">
        <v>474</v>
      </c>
      <c r="E3073" s="2" t="s">
        <v>475</v>
      </c>
      <c r="F3073" s="2" t="s">
        <v>47</v>
      </c>
      <c r="G3073" s="2" t="s">
        <v>22</v>
      </c>
      <c r="H3073" s="2" t="s">
        <v>23</v>
      </c>
      <c r="I3073" s="2" t="s">
        <v>23</v>
      </c>
      <c r="J3073" s="2">
        <v>41</v>
      </c>
      <c r="K3073" s="2" t="s">
        <v>129</v>
      </c>
      <c r="L3073" s="2">
        <v>2338</v>
      </c>
      <c r="M3073" s="2" t="s">
        <v>417</v>
      </c>
      <c r="N3073" s="2">
        <v>126</v>
      </c>
      <c r="O3073" s="2">
        <v>209079.24</v>
      </c>
      <c r="P3073" s="2">
        <v>1659.36</v>
      </c>
    </row>
    <row r="3074" spans="1:16" outlineLevel="1" x14ac:dyDescent="0.2">
      <c r="A3074" s="5"/>
      <c r="D3074" s="3" t="s">
        <v>780</v>
      </c>
      <c r="N3074" s="2">
        <f>SUBTOTAL(9,N3073:N3073)</f>
        <v>126</v>
      </c>
      <c r="O3074" s="2">
        <f>SUBTOTAL(9,O3073:O3073)</f>
        <v>209079.24</v>
      </c>
      <c r="P3074" s="2">
        <f>+O3074/N3074</f>
        <v>1659.3590476190475</v>
      </c>
    </row>
    <row r="3075" spans="1:16" outlineLevel="2" x14ac:dyDescent="0.2">
      <c r="A3075" s="5">
        <v>46148</v>
      </c>
      <c r="B3075" s="2">
        <v>159202</v>
      </c>
      <c r="C3075" s="2">
        <v>2</v>
      </c>
      <c r="D3075" s="2" t="s">
        <v>470</v>
      </c>
      <c r="E3075" s="2" t="s">
        <v>23</v>
      </c>
      <c r="F3075" s="2" t="s">
        <v>47</v>
      </c>
      <c r="G3075" s="2" t="s">
        <v>22</v>
      </c>
      <c r="H3075" s="2" t="s">
        <v>23</v>
      </c>
      <c r="I3075" s="2" t="s">
        <v>23</v>
      </c>
      <c r="J3075" s="2">
        <v>86</v>
      </c>
      <c r="K3075" s="2" t="s">
        <v>73</v>
      </c>
      <c r="L3075" s="2">
        <v>2338</v>
      </c>
      <c r="M3075" s="2" t="s">
        <v>417</v>
      </c>
      <c r="N3075" s="2">
        <v>7</v>
      </c>
      <c r="O3075" s="2">
        <v>104298.02</v>
      </c>
      <c r="P3075" s="2">
        <v>14899.72</v>
      </c>
    </row>
    <row r="3076" spans="1:16" outlineLevel="1" x14ac:dyDescent="0.2">
      <c r="A3076" s="5"/>
      <c r="D3076" s="3" t="s">
        <v>779</v>
      </c>
      <c r="N3076" s="2">
        <f>SUBTOTAL(9,N3075:N3075)</f>
        <v>7</v>
      </c>
      <c r="O3076" s="2">
        <f>SUBTOTAL(9,O3075:O3075)</f>
        <v>104298.02</v>
      </c>
      <c r="P3076" s="2">
        <f>+O3076/N3076</f>
        <v>14899.717142857144</v>
      </c>
    </row>
    <row r="3077" spans="1:16" outlineLevel="2" x14ac:dyDescent="0.2">
      <c r="A3077" s="5">
        <v>46148</v>
      </c>
      <c r="B3077" s="2">
        <v>159203</v>
      </c>
      <c r="C3077" s="2">
        <v>1</v>
      </c>
      <c r="D3077" s="2" t="s">
        <v>207</v>
      </c>
      <c r="E3077" s="2" t="s">
        <v>23</v>
      </c>
      <c r="F3077" s="2" t="s">
        <v>47</v>
      </c>
      <c r="G3077" s="2" t="s">
        <v>22</v>
      </c>
      <c r="H3077" s="2" t="s">
        <v>209</v>
      </c>
      <c r="I3077" s="2" t="s">
        <v>23</v>
      </c>
      <c r="J3077" s="2">
        <v>41</v>
      </c>
      <c r="K3077" s="2" t="s">
        <v>129</v>
      </c>
      <c r="L3077" s="2">
        <v>25213</v>
      </c>
      <c r="M3077" s="2" t="s">
        <v>130</v>
      </c>
      <c r="N3077" s="2">
        <v>25</v>
      </c>
      <c r="O3077" s="2">
        <v>76542</v>
      </c>
      <c r="P3077" s="2">
        <v>3061.68</v>
      </c>
    </row>
    <row r="3078" spans="1:16" outlineLevel="2" x14ac:dyDescent="0.2">
      <c r="A3078" s="5">
        <v>46148</v>
      </c>
      <c r="B3078" s="2">
        <v>159203</v>
      </c>
      <c r="C3078" s="2">
        <v>2</v>
      </c>
      <c r="D3078" s="2" t="s">
        <v>207</v>
      </c>
      <c r="E3078" s="2" t="s">
        <v>23</v>
      </c>
      <c r="F3078" s="2" t="s">
        <v>47</v>
      </c>
      <c r="G3078" s="2" t="s">
        <v>22</v>
      </c>
      <c r="H3078" s="2" t="s">
        <v>208</v>
      </c>
      <c r="I3078" s="2" t="s">
        <v>23</v>
      </c>
      <c r="J3078" s="2">
        <v>41</v>
      </c>
      <c r="K3078" s="2" t="s">
        <v>129</v>
      </c>
      <c r="L3078" s="2">
        <v>25213</v>
      </c>
      <c r="M3078" s="2" t="s">
        <v>130</v>
      </c>
      <c r="N3078" s="2">
        <v>50</v>
      </c>
      <c r="O3078" s="2">
        <v>171960.88</v>
      </c>
      <c r="P3078" s="2">
        <v>3439.22</v>
      </c>
    </row>
    <row r="3079" spans="1:16" outlineLevel="1" x14ac:dyDescent="0.2">
      <c r="A3079" s="5"/>
      <c r="D3079" s="3" t="s">
        <v>699</v>
      </c>
      <c r="N3079" s="2">
        <f>SUBTOTAL(9,N3077:N3078)</f>
        <v>75</v>
      </c>
      <c r="O3079" s="2">
        <f>SUBTOTAL(9,O3077:O3078)</f>
        <v>248502.88</v>
      </c>
      <c r="P3079" s="2">
        <f>+O3079/N3079</f>
        <v>3313.3717333333334</v>
      </c>
    </row>
    <row r="3080" spans="1:16" outlineLevel="2" x14ac:dyDescent="0.2">
      <c r="A3080" s="5">
        <v>46148</v>
      </c>
      <c r="B3080" s="2">
        <v>159203</v>
      </c>
      <c r="C3080" s="2">
        <v>3</v>
      </c>
      <c r="D3080" s="2" t="s">
        <v>128</v>
      </c>
      <c r="E3080" s="2" t="s">
        <v>23</v>
      </c>
      <c r="F3080" s="2" t="s">
        <v>47</v>
      </c>
      <c r="G3080" s="2" t="s">
        <v>22</v>
      </c>
      <c r="H3080" s="2" t="s">
        <v>23</v>
      </c>
      <c r="I3080" s="2" t="s">
        <v>23</v>
      </c>
      <c r="J3080" s="2">
        <v>41</v>
      </c>
      <c r="K3080" s="2" t="s">
        <v>129</v>
      </c>
      <c r="L3080" s="2">
        <v>25213</v>
      </c>
      <c r="M3080" s="2" t="s">
        <v>130</v>
      </c>
      <c r="N3080" s="2">
        <v>49</v>
      </c>
      <c r="O3080" s="2">
        <v>179818.42</v>
      </c>
      <c r="P3080" s="2">
        <v>3669.76</v>
      </c>
    </row>
    <row r="3081" spans="1:16" outlineLevel="1" x14ac:dyDescent="0.2">
      <c r="A3081" s="5"/>
      <c r="D3081" s="3" t="s">
        <v>732</v>
      </c>
      <c r="N3081" s="2">
        <f>SUBTOTAL(9,N3080:N3080)</f>
        <v>49</v>
      </c>
      <c r="O3081" s="2">
        <f>SUBTOTAL(9,O3080:O3080)</f>
        <v>179818.42</v>
      </c>
      <c r="P3081" s="2">
        <f>+O3081/N3081</f>
        <v>3669.7636734693879</v>
      </c>
    </row>
    <row r="3082" spans="1:16" outlineLevel="2" x14ac:dyDescent="0.2">
      <c r="A3082" s="5">
        <v>46148</v>
      </c>
      <c r="B3082" s="2">
        <v>159203</v>
      </c>
      <c r="C3082" s="2">
        <v>4</v>
      </c>
      <c r="D3082" s="2" t="s">
        <v>207</v>
      </c>
      <c r="E3082" s="2" t="s">
        <v>23</v>
      </c>
      <c r="F3082" s="2" t="s">
        <v>47</v>
      </c>
      <c r="G3082" s="2" t="s">
        <v>210</v>
      </c>
      <c r="H3082" s="2" t="s">
        <v>23</v>
      </c>
      <c r="I3082" s="2" t="s">
        <v>23</v>
      </c>
      <c r="J3082" s="2">
        <v>1</v>
      </c>
      <c r="K3082" s="2" t="s">
        <v>24</v>
      </c>
      <c r="L3082" s="2">
        <v>25213</v>
      </c>
      <c r="M3082" s="2" t="s">
        <v>130</v>
      </c>
      <c r="N3082" s="2">
        <v>2</v>
      </c>
      <c r="O3082" s="2">
        <v>130077.46</v>
      </c>
      <c r="P3082" s="2">
        <v>65038.73</v>
      </c>
    </row>
    <row r="3083" spans="1:16" outlineLevel="1" x14ac:dyDescent="0.2">
      <c r="A3083" s="5"/>
      <c r="D3083" s="3" t="s">
        <v>699</v>
      </c>
      <c r="N3083" s="2">
        <f>SUBTOTAL(9,N3082:N3082)</f>
        <v>2</v>
      </c>
      <c r="O3083" s="2">
        <f>SUBTOTAL(9,O3082:O3082)</f>
        <v>130077.46</v>
      </c>
      <c r="P3083" s="2">
        <f>+O3083/N3083</f>
        <v>65038.73</v>
      </c>
    </row>
    <row r="3084" spans="1:16" outlineLevel="2" x14ac:dyDescent="0.2">
      <c r="A3084" s="5">
        <v>46148</v>
      </c>
      <c r="B3084" s="2">
        <v>159203</v>
      </c>
      <c r="C3084" s="2">
        <v>5</v>
      </c>
      <c r="D3084" s="2" t="s">
        <v>128</v>
      </c>
      <c r="E3084" s="2" t="s">
        <v>23</v>
      </c>
      <c r="F3084" s="2" t="s">
        <v>47</v>
      </c>
      <c r="G3084" s="2" t="s">
        <v>22</v>
      </c>
      <c r="H3084" s="2" t="s">
        <v>23</v>
      </c>
      <c r="I3084" s="2" t="s">
        <v>23</v>
      </c>
      <c r="J3084" s="2">
        <v>1</v>
      </c>
      <c r="K3084" s="2" t="s">
        <v>24</v>
      </c>
      <c r="L3084" s="2">
        <v>25213</v>
      </c>
      <c r="M3084" s="2" t="s">
        <v>130</v>
      </c>
      <c r="N3084" s="2">
        <v>5</v>
      </c>
      <c r="O3084" s="2">
        <v>356183.79</v>
      </c>
      <c r="P3084" s="2">
        <v>71236.759999999995</v>
      </c>
    </row>
    <row r="3085" spans="1:16" outlineLevel="1" x14ac:dyDescent="0.2">
      <c r="A3085" s="5"/>
      <c r="D3085" s="3" t="s">
        <v>732</v>
      </c>
      <c r="N3085" s="2">
        <f>SUBTOTAL(9,N3084:N3084)</f>
        <v>5</v>
      </c>
      <c r="O3085" s="2">
        <f>SUBTOTAL(9,O3084:O3084)</f>
        <v>356183.79</v>
      </c>
      <c r="P3085" s="2">
        <f>+O3085/N3085</f>
        <v>71236.758000000002</v>
      </c>
    </row>
    <row r="3086" spans="1:16" outlineLevel="2" x14ac:dyDescent="0.2">
      <c r="A3086" s="5">
        <v>46162</v>
      </c>
      <c r="B3086" s="2">
        <v>159208</v>
      </c>
      <c r="C3086" s="2">
        <v>315</v>
      </c>
      <c r="D3086" s="2" t="s">
        <v>45</v>
      </c>
      <c r="E3086" s="2" t="s">
        <v>46</v>
      </c>
      <c r="F3086" s="2" t="s">
        <v>289</v>
      </c>
      <c r="G3086" s="2" t="s">
        <v>22</v>
      </c>
      <c r="H3086" s="2" t="s">
        <v>23</v>
      </c>
      <c r="I3086" s="2" t="s">
        <v>23</v>
      </c>
      <c r="J3086" s="2">
        <v>2</v>
      </c>
      <c r="K3086" s="2" t="s">
        <v>48</v>
      </c>
      <c r="L3086" s="2">
        <v>2316</v>
      </c>
      <c r="M3086" s="2" t="s">
        <v>206</v>
      </c>
      <c r="N3086" s="2">
        <v>5</v>
      </c>
      <c r="O3086" s="2">
        <v>59767.519999999997</v>
      </c>
      <c r="P3086" s="2">
        <v>11953.5</v>
      </c>
    </row>
    <row r="3087" spans="1:16" outlineLevel="2" x14ac:dyDescent="0.2">
      <c r="A3087" s="5">
        <v>46162</v>
      </c>
      <c r="B3087" s="2">
        <v>159208</v>
      </c>
      <c r="C3087" s="2">
        <v>316</v>
      </c>
      <c r="D3087" s="2" t="s">
        <v>45</v>
      </c>
      <c r="E3087" s="2" t="s">
        <v>46</v>
      </c>
      <c r="F3087" s="2" t="s">
        <v>289</v>
      </c>
      <c r="G3087" s="2" t="s">
        <v>22</v>
      </c>
      <c r="H3087" s="2" t="s">
        <v>23</v>
      </c>
      <c r="I3087" s="2" t="s">
        <v>23</v>
      </c>
      <c r="J3087" s="2">
        <v>2</v>
      </c>
      <c r="K3087" s="2" t="s">
        <v>48</v>
      </c>
      <c r="L3087" s="2">
        <v>2316</v>
      </c>
      <c r="M3087" s="2" t="s">
        <v>206</v>
      </c>
      <c r="N3087" s="2">
        <v>20</v>
      </c>
      <c r="O3087" s="2">
        <v>188417.28</v>
      </c>
      <c r="P3087" s="2">
        <v>9420.86</v>
      </c>
    </row>
    <row r="3088" spans="1:16" outlineLevel="1" x14ac:dyDescent="0.2">
      <c r="A3088" s="5"/>
      <c r="D3088" s="3" t="s">
        <v>733</v>
      </c>
      <c r="N3088" s="2">
        <f>SUBTOTAL(9,N3086:N3087)</f>
        <v>25</v>
      </c>
      <c r="O3088" s="2">
        <f>SUBTOTAL(9,O3086:O3087)</f>
        <v>248184.8</v>
      </c>
      <c r="P3088" s="2">
        <f>+O3088/N3088</f>
        <v>9927.3919999999998</v>
      </c>
    </row>
    <row r="3089" spans="1:16" outlineLevel="2" x14ac:dyDescent="0.2">
      <c r="A3089" s="5">
        <v>46153</v>
      </c>
      <c r="B3089" s="2">
        <v>159220</v>
      </c>
      <c r="C3089" s="2">
        <v>1</v>
      </c>
      <c r="D3089" s="2" t="s">
        <v>140</v>
      </c>
      <c r="E3089" s="2" t="s">
        <v>55</v>
      </c>
      <c r="F3089" s="2" t="s">
        <v>23</v>
      </c>
      <c r="G3089" s="2" t="s">
        <v>23</v>
      </c>
      <c r="H3089" s="2" t="s">
        <v>23</v>
      </c>
      <c r="I3089" s="2" t="s">
        <v>23</v>
      </c>
      <c r="J3089" s="2">
        <v>1</v>
      </c>
      <c r="K3089" s="2" t="s">
        <v>24</v>
      </c>
      <c r="L3089" s="2">
        <v>1833</v>
      </c>
      <c r="M3089" s="2" t="s">
        <v>142</v>
      </c>
      <c r="N3089" s="2">
        <v>3</v>
      </c>
      <c r="O3089" s="2">
        <v>27097.17</v>
      </c>
      <c r="P3089" s="2">
        <v>9032.39</v>
      </c>
    </row>
    <row r="3090" spans="1:16" outlineLevel="2" x14ac:dyDescent="0.2">
      <c r="A3090" s="5">
        <v>46150</v>
      </c>
      <c r="B3090" s="2">
        <v>159225</v>
      </c>
      <c r="C3090" s="2">
        <v>1</v>
      </c>
      <c r="D3090" s="2" t="s">
        <v>140</v>
      </c>
      <c r="E3090" s="2" t="s">
        <v>141</v>
      </c>
      <c r="F3090" s="2" t="s">
        <v>108</v>
      </c>
      <c r="G3090" s="2" t="s">
        <v>22</v>
      </c>
      <c r="H3090" s="2" t="s">
        <v>23</v>
      </c>
      <c r="I3090" s="2" t="s">
        <v>23</v>
      </c>
      <c r="J3090" s="2">
        <v>1</v>
      </c>
      <c r="K3090" s="2" t="s">
        <v>24</v>
      </c>
      <c r="L3090" s="2">
        <v>1833</v>
      </c>
      <c r="M3090" s="2" t="s">
        <v>142</v>
      </c>
      <c r="N3090" s="2">
        <v>20</v>
      </c>
      <c r="O3090" s="2">
        <v>509218.29</v>
      </c>
      <c r="P3090" s="2">
        <v>25460.91</v>
      </c>
    </row>
    <row r="3091" spans="1:16" outlineLevel="1" x14ac:dyDescent="0.2">
      <c r="A3091" s="5"/>
      <c r="D3091" s="3" t="s">
        <v>696</v>
      </c>
      <c r="N3091" s="2">
        <f>SUBTOTAL(9,N3089:N3090)</f>
        <v>23</v>
      </c>
      <c r="O3091" s="2">
        <f>SUBTOTAL(9,O3089:O3090)</f>
        <v>536315.46</v>
      </c>
      <c r="P3091" s="2">
        <f>+O3091/N3091</f>
        <v>23318.063478260869</v>
      </c>
    </row>
    <row r="3092" spans="1:16" outlineLevel="2" x14ac:dyDescent="0.2">
      <c r="A3092" s="5">
        <v>46150</v>
      </c>
      <c r="B3092" s="2">
        <v>159225</v>
      </c>
      <c r="C3092" s="2">
        <v>2</v>
      </c>
      <c r="D3092" s="2" t="s">
        <v>362</v>
      </c>
      <c r="E3092" s="2" t="s">
        <v>23</v>
      </c>
      <c r="F3092" s="2" t="s">
        <v>108</v>
      </c>
      <c r="G3092" s="2" t="s">
        <v>22</v>
      </c>
      <c r="H3092" s="2" t="s">
        <v>23</v>
      </c>
      <c r="I3092" s="2" t="s">
        <v>23</v>
      </c>
      <c r="J3092" s="2">
        <v>1</v>
      </c>
      <c r="K3092" s="2" t="s">
        <v>24</v>
      </c>
      <c r="L3092" s="2">
        <v>1833</v>
      </c>
      <c r="M3092" s="2" t="s">
        <v>142</v>
      </c>
      <c r="N3092" s="2">
        <v>10</v>
      </c>
      <c r="O3092" s="2">
        <v>64187.58</v>
      </c>
      <c r="P3092" s="2">
        <v>6418.76</v>
      </c>
    </row>
    <row r="3093" spans="1:16" outlineLevel="1" x14ac:dyDescent="0.2">
      <c r="A3093" s="5"/>
      <c r="D3093" s="3" t="s">
        <v>762</v>
      </c>
      <c r="N3093" s="2">
        <f>SUBTOTAL(9,N3092:N3092)</f>
        <v>10</v>
      </c>
      <c r="O3093" s="2">
        <f>SUBTOTAL(9,O3092:O3092)</f>
        <v>64187.58</v>
      </c>
      <c r="P3093" s="2">
        <f>+O3093/N3093</f>
        <v>6418.7579999999998</v>
      </c>
    </row>
    <row r="3094" spans="1:16" outlineLevel="2" x14ac:dyDescent="0.2">
      <c r="A3094" s="5">
        <v>46150</v>
      </c>
      <c r="B3094" s="2">
        <v>159226</v>
      </c>
      <c r="C3094" s="2">
        <v>1</v>
      </c>
      <c r="D3094" s="2" t="s">
        <v>207</v>
      </c>
      <c r="E3094" s="2" t="s">
        <v>23</v>
      </c>
      <c r="F3094" s="2" t="s">
        <v>47</v>
      </c>
      <c r="G3094" s="2" t="s">
        <v>22</v>
      </c>
      <c r="H3094" s="2" t="s">
        <v>208</v>
      </c>
      <c r="I3094" s="2" t="s">
        <v>23</v>
      </c>
      <c r="J3094" s="2">
        <v>41</v>
      </c>
      <c r="K3094" s="2" t="s">
        <v>129</v>
      </c>
      <c r="L3094" s="2">
        <v>25213</v>
      </c>
      <c r="M3094" s="2" t="s">
        <v>130</v>
      </c>
      <c r="N3094" s="2">
        <v>25</v>
      </c>
      <c r="O3094" s="2">
        <v>85793.75</v>
      </c>
      <c r="P3094" s="2">
        <v>3431.75</v>
      </c>
    </row>
    <row r="3095" spans="1:16" outlineLevel="1" x14ac:dyDescent="0.2">
      <c r="A3095" s="5"/>
      <c r="D3095" s="3" t="s">
        <v>699</v>
      </c>
      <c r="N3095" s="2">
        <f>SUBTOTAL(9,N3094:N3094)</f>
        <v>25</v>
      </c>
      <c r="O3095" s="2">
        <f>SUBTOTAL(9,O3094:O3094)</f>
        <v>85793.75</v>
      </c>
      <c r="P3095" s="2">
        <f>+O3095/N3095</f>
        <v>3431.75</v>
      </c>
    </row>
    <row r="3096" spans="1:16" outlineLevel="2" x14ac:dyDescent="0.2">
      <c r="A3096" s="5">
        <v>46150</v>
      </c>
      <c r="B3096" s="2">
        <v>159226</v>
      </c>
      <c r="C3096" s="2">
        <v>2</v>
      </c>
      <c r="D3096" s="2" t="s">
        <v>128</v>
      </c>
      <c r="E3096" s="2" t="s">
        <v>23</v>
      </c>
      <c r="F3096" s="2" t="s">
        <v>47</v>
      </c>
      <c r="G3096" s="2" t="s">
        <v>22</v>
      </c>
      <c r="H3096" s="2" t="s">
        <v>23</v>
      </c>
      <c r="I3096" s="2" t="s">
        <v>23</v>
      </c>
      <c r="J3096" s="2">
        <v>41</v>
      </c>
      <c r="K3096" s="2" t="s">
        <v>129</v>
      </c>
      <c r="L3096" s="2">
        <v>25213</v>
      </c>
      <c r="M3096" s="2" t="s">
        <v>130</v>
      </c>
      <c r="N3096" s="2">
        <v>25</v>
      </c>
      <c r="O3096" s="2">
        <v>95128.25</v>
      </c>
      <c r="P3096" s="2">
        <v>3805.13</v>
      </c>
    </row>
    <row r="3097" spans="1:16" outlineLevel="2" x14ac:dyDescent="0.2">
      <c r="A3097" s="5">
        <v>46150</v>
      </c>
      <c r="B3097" s="2">
        <v>159226</v>
      </c>
      <c r="C3097" s="2">
        <v>3</v>
      </c>
      <c r="D3097" s="2" t="s">
        <v>128</v>
      </c>
      <c r="E3097" s="2" t="s">
        <v>23</v>
      </c>
      <c r="F3097" s="2" t="s">
        <v>47</v>
      </c>
      <c r="G3097" s="2" t="s">
        <v>22</v>
      </c>
      <c r="H3097" s="2" t="s">
        <v>23</v>
      </c>
      <c r="I3097" s="2" t="s">
        <v>23</v>
      </c>
      <c r="J3097" s="2">
        <v>1</v>
      </c>
      <c r="K3097" s="2" t="s">
        <v>24</v>
      </c>
      <c r="L3097" s="2">
        <v>25213</v>
      </c>
      <c r="M3097" s="2" t="s">
        <v>130</v>
      </c>
      <c r="N3097" s="2">
        <v>1</v>
      </c>
      <c r="O3097" s="2">
        <v>90241.57</v>
      </c>
      <c r="P3097" s="2">
        <v>90241.57</v>
      </c>
    </row>
    <row r="3098" spans="1:16" outlineLevel="1" x14ac:dyDescent="0.2">
      <c r="A3098" s="5"/>
      <c r="D3098" s="3" t="s">
        <v>732</v>
      </c>
      <c r="N3098" s="2">
        <f>SUBTOTAL(9,N3096:N3097)</f>
        <v>26</v>
      </c>
      <c r="O3098" s="2">
        <f>SUBTOTAL(9,O3096:O3097)</f>
        <v>185369.82</v>
      </c>
      <c r="P3098" s="2">
        <f>+O3098/N3098</f>
        <v>7129.6084615384616</v>
      </c>
    </row>
    <row r="3099" spans="1:16" outlineLevel="2" x14ac:dyDescent="0.2">
      <c r="A3099" s="5">
        <v>46150</v>
      </c>
      <c r="B3099" s="2">
        <v>159226</v>
      </c>
      <c r="C3099" s="2">
        <v>4</v>
      </c>
      <c r="D3099" s="2" t="s">
        <v>207</v>
      </c>
      <c r="E3099" s="2" t="s">
        <v>23</v>
      </c>
      <c r="F3099" s="2" t="s">
        <v>47</v>
      </c>
      <c r="G3099" s="2" t="s">
        <v>22</v>
      </c>
      <c r="H3099" s="2" t="s">
        <v>23</v>
      </c>
      <c r="I3099" s="2" t="s">
        <v>23</v>
      </c>
      <c r="J3099" s="2">
        <v>1</v>
      </c>
      <c r="K3099" s="2" t="s">
        <v>24</v>
      </c>
      <c r="L3099" s="2">
        <v>25213</v>
      </c>
      <c r="M3099" s="2" t="s">
        <v>130</v>
      </c>
      <c r="N3099" s="2">
        <v>5</v>
      </c>
      <c r="O3099" s="2">
        <v>412003.44</v>
      </c>
      <c r="P3099" s="2">
        <v>82400.69</v>
      </c>
    </row>
    <row r="3100" spans="1:16" outlineLevel="1" x14ac:dyDescent="0.2">
      <c r="A3100" s="5"/>
      <c r="D3100" s="3" t="s">
        <v>699</v>
      </c>
      <c r="N3100" s="2">
        <f>SUBTOTAL(9,N3099:N3099)</f>
        <v>5</v>
      </c>
      <c r="O3100" s="2">
        <f>SUBTOTAL(9,O3099:O3099)</f>
        <v>412003.44</v>
      </c>
      <c r="P3100" s="2">
        <f>+O3100/N3100</f>
        <v>82400.687999999995</v>
      </c>
    </row>
    <row r="3101" spans="1:16" outlineLevel="2" x14ac:dyDescent="0.2">
      <c r="A3101" s="5">
        <v>46150</v>
      </c>
      <c r="B3101" s="2">
        <v>159227</v>
      </c>
      <c r="C3101" s="2">
        <v>1</v>
      </c>
      <c r="D3101" s="2" t="s">
        <v>143</v>
      </c>
      <c r="E3101" s="2" t="s">
        <v>23</v>
      </c>
      <c r="F3101" s="2" t="s">
        <v>144</v>
      </c>
      <c r="G3101" s="2" t="s">
        <v>22</v>
      </c>
      <c r="H3101" s="2" t="s">
        <v>23</v>
      </c>
      <c r="I3101" s="2" t="s">
        <v>23</v>
      </c>
      <c r="J3101" s="2">
        <v>1</v>
      </c>
      <c r="K3101" s="2" t="s">
        <v>24</v>
      </c>
      <c r="L3101" s="2">
        <v>2101</v>
      </c>
      <c r="M3101" s="2" t="s">
        <v>145</v>
      </c>
      <c r="N3101" s="2">
        <v>150</v>
      </c>
      <c r="O3101" s="2">
        <v>1738495.68</v>
      </c>
      <c r="P3101" s="2">
        <v>11589.97</v>
      </c>
    </row>
    <row r="3102" spans="1:16" outlineLevel="1" x14ac:dyDescent="0.2">
      <c r="A3102" s="5"/>
      <c r="D3102" s="3" t="s">
        <v>706</v>
      </c>
      <c r="N3102" s="2">
        <f>SUBTOTAL(9,N3101:N3101)</f>
        <v>150</v>
      </c>
      <c r="O3102" s="2">
        <f>SUBTOTAL(9,O3101:O3101)</f>
        <v>1738495.68</v>
      </c>
      <c r="P3102" s="2">
        <f>+O3102/N3102</f>
        <v>11589.9712</v>
      </c>
    </row>
    <row r="3103" spans="1:16" outlineLevel="2" x14ac:dyDescent="0.2">
      <c r="A3103" s="5">
        <v>46199</v>
      </c>
      <c r="B3103" s="2">
        <v>159268</v>
      </c>
      <c r="C3103" s="2">
        <v>1</v>
      </c>
      <c r="D3103" s="2" t="s">
        <v>57</v>
      </c>
      <c r="E3103" s="2" t="s">
        <v>259</v>
      </c>
      <c r="F3103" s="2" t="s">
        <v>23</v>
      </c>
      <c r="G3103" s="2" t="s">
        <v>22</v>
      </c>
      <c r="H3103" s="2" t="s">
        <v>23</v>
      </c>
      <c r="I3103" s="2" t="s">
        <v>23</v>
      </c>
      <c r="J3103" s="2">
        <v>1</v>
      </c>
      <c r="K3103" s="2" t="s">
        <v>24</v>
      </c>
      <c r="L3103" s="2">
        <v>226</v>
      </c>
      <c r="M3103" s="2" t="s">
        <v>59</v>
      </c>
      <c r="N3103" s="2">
        <v>40</v>
      </c>
      <c r="O3103" s="2">
        <v>782212.39</v>
      </c>
      <c r="P3103" s="2">
        <v>19555.310000000001</v>
      </c>
    </row>
    <row r="3104" spans="1:16" outlineLevel="1" x14ac:dyDescent="0.2">
      <c r="A3104" s="5"/>
      <c r="D3104" s="3" t="s">
        <v>716</v>
      </c>
      <c r="N3104" s="2">
        <f>SUBTOTAL(9,N3103:N3103)</f>
        <v>40</v>
      </c>
      <c r="O3104" s="2">
        <f>SUBTOTAL(9,O3103:O3103)</f>
        <v>782212.39</v>
      </c>
      <c r="P3104" s="2">
        <f>+O3104/N3104</f>
        <v>19555.30975</v>
      </c>
    </row>
    <row r="3105" spans="1:16" outlineLevel="2" x14ac:dyDescent="0.2">
      <c r="A3105" s="5">
        <v>46155</v>
      </c>
      <c r="B3105" s="2">
        <v>159269</v>
      </c>
      <c r="C3105" s="2">
        <v>309</v>
      </c>
      <c r="D3105" s="2" t="s">
        <v>54</v>
      </c>
      <c r="E3105" s="2" t="s">
        <v>20</v>
      </c>
      <c r="F3105" s="2" t="s">
        <v>55</v>
      </c>
      <c r="G3105" s="2" t="s">
        <v>23</v>
      </c>
      <c r="H3105" s="2" t="s">
        <v>23</v>
      </c>
      <c r="I3105" s="2" t="s">
        <v>23</v>
      </c>
      <c r="J3105" s="2">
        <v>2</v>
      </c>
      <c r="K3105" s="2" t="s">
        <v>48</v>
      </c>
      <c r="L3105" s="2">
        <v>1964</v>
      </c>
      <c r="M3105" s="2" t="s">
        <v>49</v>
      </c>
      <c r="N3105" s="2">
        <v>11</v>
      </c>
      <c r="O3105" s="2">
        <v>50817.41</v>
      </c>
      <c r="P3105" s="2">
        <v>4619.76</v>
      </c>
    </row>
    <row r="3106" spans="1:16" outlineLevel="1" x14ac:dyDescent="0.2">
      <c r="A3106" s="5"/>
      <c r="D3106" s="3" t="s">
        <v>719</v>
      </c>
      <c r="N3106" s="2">
        <f>SUBTOTAL(9,N3105:N3105)</f>
        <v>11</v>
      </c>
      <c r="O3106" s="2">
        <f>SUBTOTAL(9,O3105:O3105)</f>
        <v>50817.41</v>
      </c>
      <c r="P3106" s="2">
        <f>+O3106/N3106</f>
        <v>4619.7645454545454</v>
      </c>
    </row>
    <row r="3107" spans="1:16" outlineLevel="2" x14ac:dyDescent="0.2">
      <c r="A3107" s="5">
        <v>46155</v>
      </c>
      <c r="B3107" s="2">
        <v>159269</v>
      </c>
      <c r="C3107" s="2">
        <v>310</v>
      </c>
      <c r="D3107" s="2" t="s">
        <v>45</v>
      </c>
      <c r="E3107" s="2" t="s">
        <v>228</v>
      </c>
      <c r="F3107" s="2" t="s">
        <v>47</v>
      </c>
      <c r="G3107" s="2" t="s">
        <v>22</v>
      </c>
      <c r="H3107" s="2" t="s">
        <v>23</v>
      </c>
      <c r="I3107" s="2" t="s">
        <v>23</v>
      </c>
      <c r="J3107" s="2">
        <v>41</v>
      </c>
      <c r="K3107" s="2" t="s">
        <v>129</v>
      </c>
      <c r="L3107" s="2">
        <v>1964</v>
      </c>
      <c r="M3107" s="2" t="s">
        <v>49</v>
      </c>
      <c r="N3107" s="2">
        <v>3</v>
      </c>
      <c r="O3107" s="2">
        <v>49499.7</v>
      </c>
      <c r="P3107" s="2">
        <v>16499.900000000001</v>
      </c>
    </row>
    <row r="3108" spans="1:16" outlineLevel="1" x14ac:dyDescent="0.2">
      <c r="A3108" s="5"/>
      <c r="D3108" s="3" t="s">
        <v>733</v>
      </c>
      <c r="N3108" s="2">
        <f>SUBTOTAL(9,N3107:N3107)</f>
        <v>3</v>
      </c>
      <c r="O3108" s="2">
        <f>SUBTOTAL(9,O3107:O3107)</f>
        <v>49499.7</v>
      </c>
      <c r="P3108" s="2">
        <f>+O3108/N3108</f>
        <v>16499.899999999998</v>
      </c>
    </row>
    <row r="3109" spans="1:16" outlineLevel="2" x14ac:dyDescent="0.2">
      <c r="A3109" s="5">
        <v>46150</v>
      </c>
      <c r="B3109" s="2">
        <v>159269</v>
      </c>
      <c r="C3109" s="2">
        <v>315</v>
      </c>
      <c r="D3109" s="2" t="s">
        <v>54</v>
      </c>
      <c r="E3109" s="2" t="s">
        <v>20</v>
      </c>
      <c r="F3109" s="2" t="s">
        <v>55</v>
      </c>
      <c r="G3109" s="2" t="s">
        <v>23</v>
      </c>
      <c r="H3109" s="2" t="s">
        <v>23</v>
      </c>
      <c r="I3109" s="2" t="s">
        <v>23</v>
      </c>
      <c r="J3109" s="2">
        <v>2</v>
      </c>
      <c r="K3109" s="2" t="s">
        <v>48</v>
      </c>
      <c r="L3109" s="2">
        <v>1964</v>
      </c>
      <c r="M3109" s="2" t="s">
        <v>49</v>
      </c>
      <c r="N3109" s="2">
        <v>9</v>
      </c>
      <c r="O3109" s="2">
        <v>37419.839999999997</v>
      </c>
      <c r="P3109" s="2">
        <v>4157.76</v>
      </c>
    </row>
    <row r="3110" spans="1:16" outlineLevel="1" x14ac:dyDescent="0.2">
      <c r="A3110" s="5"/>
      <c r="D3110" s="3" t="s">
        <v>719</v>
      </c>
      <c r="N3110" s="2">
        <f>SUBTOTAL(9,N3109:N3109)</f>
        <v>9</v>
      </c>
      <c r="O3110" s="2">
        <f>SUBTOTAL(9,O3109:O3109)</f>
        <v>37419.839999999997</v>
      </c>
      <c r="P3110" s="2">
        <f>+O3110/N3110</f>
        <v>4157.7599999999993</v>
      </c>
    </row>
    <row r="3111" spans="1:16" outlineLevel="2" x14ac:dyDescent="0.2">
      <c r="A3111" s="5">
        <v>46150</v>
      </c>
      <c r="B3111" s="2">
        <v>159272</v>
      </c>
      <c r="C3111" s="2">
        <v>1</v>
      </c>
      <c r="D3111" s="2" t="s">
        <v>474</v>
      </c>
      <c r="E3111" s="2" t="s">
        <v>475</v>
      </c>
      <c r="F3111" s="2" t="s">
        <v>47</v>
      </c>
      <c r="G3111" s="2" t="s">
        <v>22</v>
      </c>
      <c r="H3111" s="2" t="s">
        <v>23</v>
      </c>
      <c r="I3111" s="2" t="s">
        <v>23</v>
      </c>
      <c r="J3111" s="2">
        <v>41</v>
      </c>
      <c r="K3111" s="2" t="s">
        <v>129</v>
      </c>
      <c r="L3111" s="2">
        <v>2338</v>
      </c>
      <c r="M3111" s="2" t="s">
        <v>417</v>
      </c>
      <c r="N3111" s="2">
        <v>384</v>
      </c>
      <c r="O3111" s="2">
        <v>495528.2</v>
      </c>
      <c r="P3111" s="2">
        <v>1290.44</v>
      </c>
    </row>
    <row r="3112" spans="1:16" outlineLevel="1" x14ac:dyDescent="0.2">
      <c r="A3112" s="5"/>
      <c r="D3112" s="3" t="s">
        <v>780</v>
      </c>
      <c r="N3112" s="2">
        <f>SUBTOTAL(9,N3111:N3111)</f>
        <v>384</v>
      </c>
      <c r="O3112" s="2">
        <f>SUBTOTAL(9,O3111:O3111)</f>
        <v>495528.2</v>
      </c>
      <c r="P3112" s="2">
        <f>+O3112/N3112</f>
        <v>1290.4380208333334</v>
      </c>
    </row>
    <row r="3113" spans="1:16" outlineLevel="2" x14ac:dyDescent="0.2">
      <c r="A3113" s="5">
        <v>46150</v>
      </c>
      <c r="B3113" s="2">
        <v>159272</v>
      </c>
      <c r="C3113" s="2">
        <v>2</v>
      </c>
      <c r="D3113" s="2" t="s">
        <v>470</v>
      </c>
      <c r="E3113" s="2" t="s">
        <v>23</v>
      </c>
      <c r="F3113" s="2" t="s">
        <v>47</v>
      </c>
      <c r="G3113" s="2" t="s">
        <v>22</v>
      </c>
      <c r="H3113" s="2" t="s">
        <v>23</v>
      </c>
      <c r="I3113" s="2" t="s">
        <v>23</v>
      </c>
      <c r="J3113" s="2">
        <v>86</v>
      </c>
      <c r="K3113" s="2" t="s">
        <v>73</v>
      </c>
      <c r="L3113" s="2">
        <v>2338</v>
      </c>
      <c r="M3113" s="2" t="s">
        <v>417</v>
      </c>
      <c r="N3113" s="2">
        <v>10</v>
      </c>
      <c r="O3113" s="2">
        <v>179933.97</v>
      </c>
      <c r="P3113" s="2">
        <v>17993.400000000001</v>
      </c>
    </row>
    <row r="3114" spans="1:16" outlineLevel="1" x14ac:dyDescent="0.2">
      <c r="A3114" s="5"/>
      <c r="D3114" s="3" t="s">
        <v>779</v>
      </c>
      <c r="N3114" s="2">
        <f>SUBTOTAL(9,N3113:N3113)</f>
        <v>10</v>
      </c>
      <c r="O3114" s="2">
        <f>SUBTOTAL(9,O3113:O3113)</f>
        <v>179933.97</v>
      </c>
      <c r="P3114" s="2">
        <f>+O3114/N3114</f>
        <v>17993.397000000001</v>
      </c>
    </row>
    <row r="3115" spans="1:16" outlineLevel="2" x14ac:dyDescent="0.2">
      <c r="A3115" s="5">
        <v>46157</v>
      </c>
      <c r="B3115" s="2">
        <v>159274</v>
      </c>
      <c r="C3115" s="2">
        <v>315</v>
      </c>
      <c r="D3115" s="2" t="s">
        <v>110</v>
      </c>
      <c r="E3115" s="2" t="s">
        <v>111</v>
      </c>
      <c r="F3115" s="2" t="s">
        <v>47</v>
      </c>
      <c r="G3115" s="2" t="s">
        <v>23</v>
      </c>
      <c r="H3115" s="2" t="s">
        <v>23</v>
      </c>
      <c r="I3115" s="2" t="s">
        <v>23</v>
      </c>
      <c r="J3115" s="2">
        <v>2</v>
      </c>
      <c r="K3115" s="2" t="s">
        <v>48</v>
      </c>
      <c r="L3115" s="2">
        <v>626</v>
      </c>
      <c r="M3115" s="2" t="s">
        <v>49</v>
      </c>
      <c r="N3115" s="2">
        <v>12</v>
      </c>
      <c r="O3115" s="2">
        <v>22138.93</v>
      </c>
      <c r="P3115" s="2">
        <v>1844.91</v>
      </c>
    </row>
    <row r="3116" spans="1:16" outlineLevel="1" x14ac:dyDescent="0.2">
      <c r="A3116" s="5"/>
      <c r="D3116" s="3" t="s">
        <v>697</v>
      </c>
      <c r="N3116" s="2">
        <f>SUBTOTAL(9,N3115:N3115)</f>
        <v>12</v>
      </c>
      <c r="O3116" s="2">
        <f>SUBTOTAL(9,O3115:O3115)</f>
        <v>22138.93</v>
      </c>
      <c r="P3116" s="2">
        <f>+O3116/N3116</f>
        <v>1844.9108333333334</v>
      </c>
    </row>
    <row r="3117" spans="1:16" outlineLevel="2" x14ac:dyDescent="0.2">
      <c r="A3117" s="5">
        <v>46155</v>
      </c>
      <c r="B3117" s="2">
        <v>159275</v>
      </c>
      <c r="C3117" s="2">
        <v>315</v>
      </c>
      <c r="D3117" s="2" t="s">
        <v>203</v>
      </c>
      <c r="E3117" s="2" t="s">
        <v>238</v>
      </c>
      <c r="F3117" s="2" t="s">
        <v>23</v>
      </c>
      <c r="G3117" s="2" t="s">
        <v>23</v>
      </c>
      <c r="H3117" s="2" t="s">
        <v>23</v>
      </c>
      <c r="I3117" s="2" t="s">
        <v>23</v>
      </c>
      <c r="J3117" s="2">
        <v>2</v>
      </c>
      <c r="K3117" s="2" t="s">
        <v>48</v>
      </c>
      <c r="L3117" s="2">
        <v>600</v>
      </c>
      <c r="M3117" s="2" t="s">
        <v>112</v>
      </c>
      <c r="N3117" s="2">
        <v>4</v>
      </c>
      <c r="O3117" s="2">
        <v>21194.52</v>
      </c>
      <c r="P3117" s="2">
        <v>5298.63</v>
      </c>
    </row>
    <row r="3118" spans="1:16" outlineLevel="1" x14ac:dyDescent="0.2">
      <c r="A3118" s="5"/>
      <c r="D3118" s="3" t="s">
        <v>735</v>
      </c>
      <c r="N3118" s="2">
        <f>SUBTOTAL(9,N3117:N3117)</f>
        <v>4</v>
      </c>
      <c r="O3118" s="2">
        <f>SUBTOTAL(9,O3117:O3117)</f>
        <v>21194.52</v>
      </c>
      <c r="P3118" s="2">
        <f>+O3118/N3118</f>
        <v>5298.63</v>
      </c>
    </row>
    <row r="3119" spans="1:16" outlineLevel="2" x14ac:dyDescent="0.2">
      <c r="A3119" s="5">
        <v>46157</v>
      </c>
      <c r="B3119" s="2">
        <v>159279</v>
      </c>
      <c r="C3119" s="2">
        <v>315</v>
      </c>
      <c r="D3119" s="2" t="s">
        <v>45</v>
      </c>
      <c r="E3119" s="2" t="s">
        <v>46</v>
      </c>
      <c r="F3119" s="2" t="s">
        <v>47</v>
      </c>
      <c r="G3119" s="2" t="s">
        <v>22</v>
      </c>
      <c r="H3119" s="2" t="s">
        <v>23</v>
      </c>
      <c r="I3119" s="2" t="s">
        <v>23</v>
      </c>
      <c r="J3119" s="2">
        <v>2</v>
      </c>
      <c r="K3119" s="2" t="s">
        <v>48</v>
      </c>
      <c r="L3119" s="2">
        <v>2316</v>
      </c>
      <c r="M3119" s="2" t="s">
        <v>206</v>
      </c>
      <c r="N3119" s="2">
        <v>11</v>
      </c>
      <c r="O3119" s="2">
        <v>103090.04</v>
      </c>
      <c r="P3119" s="2">
        <v>9371.82</v>
      </c>
    </row>
    <row r="3120" spans="1:16" outlineLevel="2" x14ac:dyDescent="0.2">
      <c r="A3120" s="5">
        <v>46162</v>
      </c>
      <c r="B3120" s="2">
        <v>159279</v>
      </c>
      <c r="C3120" s="2">
        <v>316</v>
      </c>
      <c r="D3120" s="2" t="s">
        <v>45</v>
      </c>
      <c r="E3120" s="2" t="s">
        <v>46</v>
      </c>
      <c r="F3120" s="2" t="s">
        <v>289</v>
      </c>
      <c r="G3120" s="2" t="s">
        <v>22</v>
      </c>
      <c r="H3120" s="2" t="s">
        <v>23</v>
      </c>
      <c r="I3120" s="2" t="s">
        <v>23</v>
      </c>
      <c r="J3120" s="2">
        <v>2</v>
      </c>
      <c r="K3120" s="2" t="s">
        <v>48</v>
      </c>
      <c r="L3120" s="2">
        <v>2316</v>
      </c>
      <c r="M3120" s="2" t="s">
        <v>206</v>
      </c>
      <c r="N3120" s="2">
        <v>15</v>
      </c>
      <c r="O3120" s="2">
        <v>107482.65</v>
      </c>
      <c r="P3120" s="2">
        <v>7165.51</v>
      </c>
    </row>
    <row r="3121" spans="1:16" outlineLevel="1" x14ac:dyDescent="0.2">
      <c r="A3121" s="5"/>
      <c r="D3121" s="3" t="s">
        <v>733</v>
      </c>
      <c r="N3121" s="2">
        <f>SUBTOTAL(9,N3119:N3120)</f>
        <v>26</v>
      </c>
      <c r="O3121" s="2">
        <f>SUBTOTAL(9,O3119:O3120)</f>
        <v>210572.69</v>
      </c>
      <c r="P3121" s="2">
        <f>+O3121/N3121</f>
        <v>8098.9496153846158</v>
      </c>
    </row>
    <row r="3122" spans="1:16" outlineLevel="2" x14ac:dyDescent="0.2">
      <c r="A3122" s="5">
        <v>46153</v>
      </c>
      <c r="B3122" s="2">
        <v>159292</v>
      </c>
      <c r="C3122" s="2">
        <v>1</v>
      </c>
      <c r="D3122" s="2" t="s">
        <v>362</v>
      </c>
      <c r="E3122" s="2" t="s">
        <v>141</v>
      </c>
      <c r="F3122" s="2" t="s">
        <v>108</v>
      </c>
      <c r="G3122" s="2" t="s">
        <v>22</v>
      </c>
      <c r="H3122" s="2" t="s">
        <v>23</v>
      </c>
      <c r="I3122" s="2" t="s">
        <v>23</v>
      </c>
      <c r="J3122" s="2">
        <v>1</v>
      </c>
      <c r="K3122" s="2" t="s">
        <v>24</v>
      </c>
      <c r="L3122" s="2">
        <v>1833</v>
      </c>
      <c r="M3122" s="2" t="s">
        <v>142</v>
      </c>
      <c r="N3122" s="2">
        <v>21</v>
      </c>
      <c r="O3122" s="2">
        <v>547489.29</v>
      </c>
      <c r="P3122" s="2">
        <v>26070.92</v>
      </c>
    </row>
    <row r="3123" spans="1:16" outlineLevel="1" x14ac:dyDescent="0.2">
      <c r="A3123" s="5"/>
      <c r="D3123" s="3" t="s">
        <v>762</v>
      </c>
      <c r="N3123" s="2">
        <f>SUBTOTAL(9,N3122:N3122)</f>
        <v>21</v>
      </c>
      <c r="O3123" s="2">
        <f>SUBTOTAL(9,O3122:O3122)</f>
        <v>547489.29</v>
      </c>
      <c r="P3123" s="2">
        <f>+O3123/N3123</f>
        <v>26070.918571428574</v>
      </c>
    </row>
    <row r="3124" spans="1:16" outlineLevel="2" x14ac:dyDescent="0.2">
      <c r="A3124" s="5">
        <v>46153</v>
      </c>
      <c r="B3124" s="2">
        <v>159293</v>
      </c>
      <c r="C3124" s="2">
        <v>1</v>
      </c>
      <c r="D3124" s="2" t="s">
        <v>60</v>
      </c>
      <c r="E3124" s="2" t="s">
        <v>346</v>
      </c>
      <c r="F3124" s="2" t="s">
        <v>31</v>
      </c>
      <c r="G3124" s="2" t="s">
        <v>22</v>
      </c>
      <c r="H3124" s="2" t="s">
        <v>505</v>
      </c>
      <c r="I3124" s="2" t="s">
        <v>23</v>
      </c>
      <c r="J3124" s="2">
        <v>78</v>
      </c>
      <c r="K3124" s="2" t="s">
        <v>212</v>
      </c>
      <c r="L3124" s="2">
        <v>226</v>
      </c>
      <c r="M3124" s="2" t="s">
        <v>59</v>
      </c>
      <c r="N3124" s="2">
        <v>91</v>
      </c>
      <c r="O3124" s="2">
        <v>2002610.98</v>
      </c>
      <c r="P3124" s="2">
        <v>22006.71</v>
      </c>
    </row>
    <row r="3125" spans="1:16" outlineLevel="1" x14ac:dyDescent="0.2">
      <c r="A3125" s="5"/>
      <c r="D3125" s="3" t="s">
        <v>728</v>
      </c>
      <c r="N3125" s="2">
        <f>SUBTOTAL(9,N3124:N3124)</f>
        <v>91</v>
      </c>
      <c r="O3125" s="2">
        <f>SUBTOTAL(9,O3124:O3124)</f>
        <v>2002610.98</v>
      </c>
      <c r="P3125" s="2">
        <f>+O3125/N3125</f>
        <v>22006.714065934066</v>
      </c>
    </row>
    <row r="3126" spans="1:16" outlineLevel="2" x14ac:dyDescent="0.2">
      <c r="A3126" s="5">
        <v>46153</v>
      </c>
      <c r="B3126" s="2">
        <v>159294</v>
      </c>
      <c r="C3126" s="2">
        <v>1</v>
      </c>
      <c r="D3126" s="2" t="s">
        <v>207</v>
      </c>
      <c r="E3126" s="2" t="s">
        <v>23</v>
      </c>
      <c r="F3126" s="2" t="s">
        <v>47</v>
      </c>
      <c r="G3126" s="2" t="s">
        <v>22</v>
      </c>
      <c r="H3126" s="2" t="s">
        <v>208</v>
      </c>
      <c r="I3126" s="2" t="s">
        <v>23</v>
      </c>
      <c r="J3126" s="2">
        <v>41</v>
      </c>
      <c r="K3126" s="2" t="s">
        <v>129</v>
      </c>
      <c r="L3126" s="2">
        <v>25213</v>
      </c>
      <c r="M3126" s="2" t="s">
        <v>130</v>
      </c>
      <c r="N3126" s="2">
        <v>50</v>
      </c>
      <c r="O3126" s="2">
        <v>171587.5</v>
      </c>
      <c r="P3126" s="2">
        <v>3431.75</v>
      </c>
    </row>
    <row r="3127" spans="1:16" outlineLevel="2" x14ac:dyDescent="0.2">
      <c r="A3127" s="5">
        <v>46153</v>
      </c>
      <c r="B3127" s="2">
        <v>159294</v>
      </c>
      <c r="C3127" s="2">
        <v>2</v>
      </c>
      <c r="D3127" s="2" t="s">
        <v>207</v>
      </c>
      <c r="E3127" s="2" t="s">
        <v>23</v>
      </c>
      <c r="F3127" s="2" t="s">
        <v>47</v>
      </c>
      <c r="G3127" s="2" t="s">
        <v>22</v>
      </c>
      <c r="H3127" s="2" t="s">
        <v>209</v>
      </c>
      <c r="I3127" s="2" t="s">
        <v>23</v>
      </c>
      <c r="J3127" s="2">
        <v>41</v>
      </c>
      <c r="K3127" s="2" t="s">
        <v>129</v>
      </c>
      <c r="L3127" s="2">
        <v>25213</v>
      </c>
      <c r="M3127" s="2" t="s">
        <v>130</v>
      </c>
      <c r="N3127" s="2">
        <v>25</v>
      </c>
      <c r="O3127" s="2">
        <v>74126</v>
      </c>
      <c r="P3127" s="2">
        <v>2965.04</v>
      </c>
    </row>
    <row r="3128" spans="1:16" outlineLevel="1" x14ac:dyDescent="0.2">
      <c r="A3128" s="5"/>
      <c r="D3128" s="3" t="s">
        <v>699</v>
      </c>
      <c r="N3128" s="2">
        <f>SUBTOTAL(9,N3126:N3127)</f>
        <v>75</v>
      </c>
      <c r="O3128" s="2">
        <f>SUBTOTAL(9,O3126:O3127)</f>
        <v>245713.5</v>
      </c>
      <c r="P3128" s="2">
        <f>+O3128/N3128</f>
        <v>3276.18</v>
      </c>
    </row>
    <row r="3129" spans="1:16" outlineLevel="2" x14ac:dyDescent="0.2">
      <c r="A3129" s="5">
        <v>46153</v>
      </c>
      <c r="B3129" s="2">
        <v>159294</v>
      </c>
      <c r="C3129" s="2">
        <v>3</v>
      </c>
      <c r="D3129" s="2" t="s">
        <v>128</v>
      </c>
      <c r="E3129" s="2" t="s">
        <v>23</v>
      </c>
      <c r="F3129" s="2" t="s">
        <v>47</v>
      </c>
      <c r="G3129" s="2" t="s">
        <v>22</v>
      </c>
      <c r="H3129" s="2" t="s">
        <v>23</v>
      </c>
      <c r="I3129" s="2" t="s">
        <v>23</v>
      </c>
      <c r="J3129" s="2">
        <v>41</v>
      </c>
      <c r="K3129" s="2" t="s">
        <v>129</v>
      </c>
      <c r="L3129" s="2">
        <v>25213</v>
      </c>
      <c r="M3129" s="2" t="s">
        <v>130</v>
      </c>
      <c r="N3129" s="2">
        <v>50</v>
      </c>
      <c r="O3129" s="2">
        <v>182322.19</v>
      </c>
      <c r="P3129" s="2">
        <v>3646.44</v>
      </c>
    </row>
    <row r="3130" spans="1:16" outlineLevel="2" x14ac:dyDescent="0.2">
      <c r="A3130" s="5">
        <v>46153</v>
      </c>
      <c r="B3130" s="2">
        <v>159294</v>
      </c>
      <c r="C3130" s="2">
        <v>4</v>
      </c>
      <c r="D3130" s="2" t="s">
        <v>128</v>
      </c>
      <c r="E3130" s="2" t="s">
        <v>23</v>
      </c>
      <c r="F3130" s="2" t="s">
        <v>47</v>
      </c>
      <c r="G3130" s="2" t="s">
        <v>22</v>
      </c>
      <c r="H3130" s="2" t="s">
        <v>23</v>
      </c>
      <c r="I3130" s="2" t="s">
        <v>23</v>
      </c>
      <c r="J3130" s="2">
        <v>1</v>
      </c>
      <c r="K3130" s="2" t="s">
        <v>24</v>
      </c>
      <c r="L3130" s="2">
        <v>25213</v>
      </c>
      <c r="M3130" s="2" t="s">
        <v>130</v>
      </c>
      <c r="N3130" s="2">
        <v>5</v>
      </c>
      <c r="O3130" s="2">
        <v>445607.22</v>
      </c>
      <c r="P3130" s="2">
        <v>89121.44</v>
      </c>
    </row>
    <row r="3131" spans="1:16" outlineLevel="1" x14ac:dyDescent="0.2">
      <c r="A3131" s="5"/>
      <c r="D3131" s="3" t="s">
        <v>732</v>
      </c>
      <c r="N3131" s="2">
        <f>SUBTOTAL(9,N3129:N3130)</f>
        <v>55</v>
      </c>
      <c r="O3131" s="2">
        <f>SUBTOTAL(9,O3129:O3130)</f>
        <v>627929.40999999992</v>
      </c>
      <c r="P3131" s="2">
        <f>+O3131/N3131</f>
        <v>11416.898363636363</v>
      </c>
    </row>
    <row r="3132" spans="1:16" outlineLevel="2" x14ac:dyDescent="0.2">
      <c r="A3132" s="5">
        <v>46153</v>
      </c>
      <c r="B3132" s="2">
        <v>159294</v>
      </c>
      <c r="C3132" s="2">
        <v>5</v>
      </c>
      <c r="D3132" s="2" t="s">
        <v>207</v>
      </c>
      <c r="E3132" s="2" t="s">
        <v>23</v>
      </c>
      <c r="F3132" s="2" t="s">
        <v>47</v>
      </c>
      <c r="G3132" s="2" t="s">
        <v>22</v>
      </c>
      <c r="H3132" s="2" t="s">
        <v>23</v>
      </c>
      <c r="I3132" s="2" t="s">
        <v>23</v>
      </c>
      <c r="J3132" s="2">
        <v>1</v>
      </c>
      <c r="K3132" s="2" t="s">
        <v>24</v>
      </c>
      <c r="L3132" s="2">
        <v>25213</v>
      </c>
      <c r="M3132" s="2" t="s">
        <v>130</v>
      </c>
      <c r="N3132" s="2">
        <v>7</v>
      </c>
      <c r="O3132" s="2">
        <v>578484.98</v>
      </c>
      <c r="P3132" s="2">
        <v>82640.710000000006</v>
      </c>
    </row>
    <row r="3133" spans="1:16" outlineLevel="2" x14ac:dyDescent="0.2">
      <c r="A3133" s="5">
        <v>46153</v>
      </c>
      <c r="B3133" s="2">
        <v>159294</v>
      </c>
      <c r="C3133" s="2">
        <v>6</v>
      </c>
      <c r="D3133" s="2" t="s">
        <v>207</v>
      </c>
      <c r="E3133" s="2" t="s">
        <v>23</v>
      </c>
      <c r="F3133" s="2" t="s">
        <v>47</v>
      </c>
      <c r="G3133" s="2" t="s">
        <v>210</v>
      </c>
      <c r="H3133" s="2" t="s">
        <v>23</v>
      </c>
      <c r="I3133" s="2" t="s">
        <v>23</v>
      </c>
      <c r="J3133" s="2">
        <v>1</v>
      </c>
      <c r="K3133" s="2" t="s">
        <v>24</v>
      </c>
      <c r="L3133" s="2">
        <v>25213</v>
      </c>
      <c r="M3133" s="2" t="s">
        <v>130</v>
      </c>
      <c r="N3133" s="2">
        <v>2</v>
      </c>
      <c r="O3133" s="2">
        <v>130077.46</v>
      </c>
      <c r="P3133" s="2">
        <v>65038.73</v>
      </c>
    </row>
    <row r="3134" spans="1:16" outlineLevel="1" x14ac:dyDescent="0.2">
      <c r="A3134" s="5"/>
      <c r="D3134" s="3" t="s">
        <v>699</v>
      </c>
      <c r="N3134" s="2">
        <f>SUBTOTAL(9,N3132:N3133)</f>
        <v>9</v>
      </c>
      <c r="O3134" s="2">
        <f>SUBTOTAL(9,O3132:O3133)</f>
        <v>708562.44</v>
      </c>
      <c r="P3134" s="2">
        <f>+O3134/N3134</f>
        <v>78729.159999999989</v>
      </c>
    </row>
    <row r="3135" spans="1:16" outlineLevel="2" x14ac:dyDescent="0.2">
      <c r="A3135" s="5">
        <v>46153</v>
      </c>
      <c r="B3135" s="2">
        <v>159295</v>
      </c>
      <c r="C3135" s="2">
        <v>1</v>
      </c>
      <c r="D3135" s="2" t="s">
        <v>38</v>
      </c>
      <c r="E3135" s="2" t="s">
        <v>514</v>
      </c>
      <c r="F3135" s="2" t="s">
        <v>52</v>
      </c>
      <c r="G3135" s="2" t="s">
        <v>22</v>
      </c>
      <c r="H3135" s="2" t="s">
        <v>23</v>
      </c>
      <c r="I3135" s="2" t="s">
        <v>515</v>
      </c>
      <c r="J3135" s="2">
        <v>1</v>
      </c>
      <c r="K3135" s="2" t="s">
        <v>24</v>
      </c>
      <c r="L3135" s="2">
        <v>206</v>
      </c>
      <c r="M3135" s="2" t="s">
        <v>516</v>
      </c>
      <c r="N3135" s="2">
        <v>97</v>
      </c>
      <c r="O3135" s="2">
        <v>1762908.65</v>
      </c>
      <c r="P3135" s="2">
        <v>18174.32</v>
      </c>
    </row>
    <row r="3136" spans="1:16" outlineLevel="2" x14ac:dyDescent="0.2">
      <c r="A3136" s="5">
        <v>46153</v>
      </c>
      <c r="B3136" s="2">
        <v>159295</v>
      </c>
      <c r="C3136" s="2">
        <v>2</v>
      </c>
      <c r="D3136" s="2" t="s">
        <v>38</v>
      </c>
      <c r="E3136" s="2" t="s">
        <v>514</v>
      </c>
      <c r="F3136" s="2" t="s">
        <v>52</v>
      </c>
      <c r="G3136" s="2" t="s">
        <v>22</v>
      </c>
      <c r="H3136" s="2" t="s">
        <v>23</v>
      </c>
      <c r="I3136" s="2" t="s">
        <v>23</v>
      </c>
      <c r="J3136" s="2">
        <v>1</v>
      </c>
      <c r="K3136" s="2" t="s">
        <v>24</v>
      </c>
      <c r="L3136" s="2">
        <v>206</v>
      </c>
      <c r="M3136" s="2" t="s">
        <v>516</v>
      </c>
      <c r="N3136" s="2">
        <v>96</v>
      </c>
      <c r="O3136" s="2">
        <v>1947098.1</v>
      </c>
      <c r="P3136" s="2">
        <v>20282.27</v>
      </c>
    </row>
    <row r="3137" spans="1:16" outlineLevel="1" x14ac:dyDescent="0.2">
      <c r="A3137" s="5"/>
      <c r="D3137" s="3" t="s">
        <v>721</v>
      </c>
      <c r="N3137" s="2">
        <f>SUBTOTAL(9,N3135:N3136)</f>
        <v>193</v>
      </c>
      <c r="O3137" s="2">
        <f>SUBTOTAL(9,O3135:O3136)</f>
        <v>3710006.75</v>
      </c>
      <c r="P3137" s="2">
        <f>+O3137/N3137</f>
        <v>19222.832901554404</v>
      </c>
    </row>
    <row r="3138" spans="1:16" outlineLevel="2" x14ac:dyDescent="0.2">
      <c r="A3138" s="5">
        <v>46153</v>
      </c>
      <c r="B3138" s="2">
        <v>159296</v>
      </c>
      <c r="C3138" s="2">
        <v>1</v>
      </c>
      <c r="D3138" s="2" t="s">
        <v>474</v>
      </c>
      <c r="E3138" s="2" t="s">
        <v>475</v>
      </c>
      <c r="F3138" s="2" t="s">
        <v>47</v>
      </c>
      <c r="G3138" s="2" t="s">
        <v>22</v>
      </c>
      <c r="H3138" s="2" t="s">
        <v>23</v>
      </c>
      <c r="I3138" s="2" t="s">
        <v>23</v>
      </c>
      <c r="J3138" s="2">
        <v>41</v>
      </c>
      <c r="K3138" s="2" t="s">
        <v>129</v>
      </c>
      <c r="L3138" s="2">
        <v>2338</v>
      </c>
      <c r="M3138" s="2" t="s">
        <v>417</v>
      </c>
      <c r="N3138" s="2">
        <v>445</v>
      </c>
      <c r="O3138" s="2">
        <v>467376.43</v>
      </c>
      <c r="P3138" s="2">
        <v>1050.28</v>
      </c>
    </row>
    <row r="3139" spans="1:16" outlineLevel="1" x14ac:dyDescent="0.2">
      <c r="A3139" s="5"/>
      <c r="D3139" s="3" t="s">
        <v>780</v>
      </c>
      <c r="N3139" s="2">
        <f>SUBTOTAL(9,N3138:N3138)</f>
        <v>445</v>
      </c>
      <c r="O3139" s="2">
        <f>SUBTOTAL(9,O3138:O3138)</f>
        <v>467376.43</v>
      </c>
      <c r="P3139" s="2">
        <f>+O3139/N3139</f>
        <v>1050.2841123595506</v>
      </c>
    </row>
    <row r="3140" spans="1:16" outlineLevel="2" x14ac:dyDescent="0.2">
      <c r="A3140" s="5">
        <v>46153</v>
      </c>
      <c r="B3140" s="2">
        <v>159296</v>
      </c>
      <c r="C3140" s="2">
        <v>2</v>
      </c>
      <c r="D3140" s="2" t="s">
        <v>470</v>
      </c>
      <c r="E3140" s="2" t="s">
        <v>23</v>
      </c>
      <c r="F3140" s="2" t="s">
        <v>47</v>
      </c>
      <c r="G3140" s="2" t="s">
        <v>22</v>
      </c>
      <c r="H3140" s="2" t="s">
        <v>23</v>
      </c>
      <c r="I3140" s="2" t="s">
        <v>23</v>
      </c>
      <c r="J3140" s="2">
        <v>1</v>
      </c>
      <c r="K3140" s="2" t="s">
        <v>24</v>
      </c>
      <c r="L3140" s="2">
        <v>2338</v>
      </c>
      <c r="M3140" s="2" t="s">
        <v>417</v>
      </c>
      <c r="N3140" s="2">
        <v>11</v>
      </c>
      <c r="O3140" s="2">
        <v>228170.9</v>
      </c>
      <c r="P3140" s="2">
        <v>20742.810000000001</v>
      </c>
    </row>
    <row r="3141" spans="1:16" outlineLevel="1" x14ac:dyDescent="0.2">
      <c r="A3141" s="5"/>
      <c r="D3141" s="3" t="s">
        <v>779</v>
      </c>
      <c r="N3141" s="2">
        <f>SUBTOTAL(9,N3140:N3140)</f>
        <v>11</v>
      </c>
      <c r="O3141" s="2">
        <f>SUBTOTAL(9,O3140:O3140)</f>
        <v>228170.9</v>
      </c>
      <c r="P3141" s="2">
        <f>+O3141/N3141</f>
        <v>20742.80909090909</v>
      </c>
    </row>
    <row r="3142" spans="1:16" outlineLevel="2" x14ac:dyDescent="0.2">
      <c r="A3142" s="5">
        <v>46153</v>
      </c>
      <c r="B3142" s="2">
        <v>159298</v>
      </c>
      <c r="C3142" s="2">
        <v>1</v>
      </c>
      <c r="D3142" s="2" t="s">
        <v>143</v>
      </c>
      <c r="E3142" s="2" t="s">
        <v>23</v>
      </c>
      <c r="F3142" s="2" t="s">
        <v>144</v>
      </c>
      <c r="G3142" s="2" t="s">
        <v>22</v>
      </c>
      <c r="H3142" s="2" t="s">
        <v>23</v>
      </c>
      <c r="I3142" s="2" t="s">
        <v>23</v>
      </c>
      <c r="J3142" s="2">
        <v>1</v>
      </c>
      <c r="K3142" s="2" t="s">
        <v>24</v>
      </c>
      <c r="L3142" s="2">
        <v>2101</v>
      </c>
      <c r="M3142" s="2" t="s">
        <v>145</v>
      </c>
      <c r="N3142" s="2">
        <v>132</v>
      </c>
      <c r="O3142" s="2">
        <v>1677306.14</v>
      </c>
      <c r="P3142" s="2">
        <v>12706.86</v>
      </c>
    </row>
    <row r="3143" spans="1:16" outlineLevel="1" x14ac:dyDescent="0.2">
      <c r="A3143" s="5"/>
      <c r="D3143" s="3" t="s">
        <v>706</v>
      </c>
      <c r="N3143" s="2">
        <f>SUBTOTAL(9,N3142:N3142)</f>
        <v>132</v>
      </c>
      <c r="O3143" s="2">
        <f>SUBTOTAL(9,O3142:O3142)</f>
        <v>1677306.14</v>
      </c>
      <c r="P3143" s="2">
        <f>+O3143/N3143</f>
        <v>12706.864696969697</v>
      </c>
    </row>
    <row r="3144" spans="1:16" outlineLevel="2" x14ac:dyDescent="0.2">
      <c r="A3144" s="5">
        <v>46153</v>
      </c>
      <c r="B3144" s="2">
        <v>159299</v>
      </c>
      <c r="C3144" s="2">
        <v>1</v>
      </c>
      <c r="D3144" s="2" t="s">
        <v>26</v>
      </c>
      <c r="E3144" s="2" t="s">
        <v>459</v>
      </c>
      <c r="F3144" s="2" t="s">
        <v>52</v>
      </c>
      <c r="G3144" s="2" t="s">
        <v>22</v>
      </c>
      <c r="H3144" s="2" t="s">
        <v>23</v>
      </c>
      <c r="I3144" s="2" t="s">
        <v>23</v>
      </c>
      <c r="J3144" s="2">
        <v>5</v>
      </c>
      <c r="K3144" s="2" t="s">
        <v>27</v>
      </c>
      <c r="L3144" s="2">
        <v>3048</v>
      </c>
      <c r="M3144" s="2" t="s">
        <v>53</v>
      </c>
      <c r="N3144" s="2">
        <v>119</v>
      </c>
      <c r="O3144" s="2">
        <v>682732.51</v>
      </c>
      <c r="P3144" s="2">
        <v>5737.25</v>
      </c>
    </row>
    <row r="3145" spans="1:16" outlineLevel="1" x14ac:dyDescent="0.2">
      <c r="A3145" s="5"/>
      <c r="D3145" s="3" t="s">
        <v>711</v>
      </c>
      <c r="N3145" s="2">
        <f>SUBTOTAL(9,N3144:N3144)</f>
        <v>119</v>
      </c>
      <c r="O3145" s="2">
        <f>SUBTOTAL(9,O3144:O3144)</f>
        <v>682732.51</v>
      </c>
      <c r="P3145" s="2">
        <f>+O3145/N3145</f>
        <v>5737.2479831932778</v>
      </c>
    </row>
    <row r="3146" spans="1:16" outlineLevel="2" x14ac:dyDescent="0.2">
      <c r="A3146" s="5">
        <v>46150</v>
      </c>
      <c r="B3146" s="2">
        <v>159302</v>
      </c>
      <c r="C3146" s="2">
        <v>301</v>
      </c>
      <c r="D3146" s="2" t="s">
        <v>54</v>
      </c>
      <c r="E3146" s="2" t="s">
        <v>20</v>
      </c>
      <c r="F3146" s="2" t="s">
        <v>55</v>
      </c>
      <c r="G3146" s="2" t="s">
        <v>23</v>
      </c>
      <c r="H3146" s="2" t="s">
        <v>23</v>
      </c>
      <c r="I3146" s="2" t="s">
        <v>23</v>
      </c>
      <c r="J3146" s="2">
        <v>2</v>
      </c>
      <c r="K3146" s="2" t="s">
        <v>48</v>
      </c>
      <c r="L3146" s="2">
        <v>25095</v>
      </c>
      <c r="M3146" s="2" t="s">
        <v>216</v>
      </c>
      <c r="N3146" s="2">
        <v>72</v>
      </c>
      <c r="O3146" s="2">
        <v>301225.63</v>
      </c>
      <c r="P3146" s="2">
        <v>4183.6899999999996</v>
      </c>
    </row>
    <row r="3147" spans="1:16" outlineLevel="1" x14ac:dyDescent="0.2">
      <c r="A3147" s="5"/>
      <c r="D3147" s="3" t="s">
        <v>719</v>
      </c>
      <c r="N3147" s="2">
        <f>SUBTOTAL(9,N3146:N3146)</f>
        <v>72</v>
      </c>
      <c r="O3147" s="2">
        <f>SUBTOTAL(9,O3146:O3146)</f>
        <v>301225.63</v>
      </c>
      <c r="P3147" s="2">
        <f>+O3147/N3147</f>
        <v>4183.6893055555556</v>
      </c>
    </row>
    <row r="3148" spans="1:16" outlineLevel="2" x14ac:dyDescent="0.2">
      <c r="A3148" s="5">
        <v>46150</v>
      </c>
      <c r="B3148" s="2">
        <v>159303</v>
      </c>
      <c r="C3148" s="2">
        <v>5</v>
      </c>
      <c r="D3148" s="2" t="s">
        <v>45</v>
      </c>
      <c r="E3148" s="2" t="s">
        <v>125</v>
      </c>
      <c r="F3148" s="2" t="s">
        <v>289</v>
      </c>
      <c r="G3148" s="2" t="s">
        <v>22</v>
      </c>
      <c r="H3148" s="2" t="s">
        <v>23</v>
      </c>
      <c r="I3148" s="2" t="s">
        <v>23</v>
      </c>
      <c r="J3148" s="2">
        <v>2</v>
      </c>
      <c r="K3148" s="2" t="s">
        <v>48</v>
      </c>
      <c r="L3148" s="2">
        <v>106</v>
      </c>
      <c r="M3148" s="2" t="s">
        <v>486</v>
      </c>
      <c r="N3148" s="2">
        <v>56</v>
      </c>
      <c r="O3148" s="2">
        <v>1676024.73</v>
      </c>
      <c r="P3148" s="2">
        <v>29929.01</v>
      </c>
    </row>
    <row r="3149" spans="1:16" outlineLevel="1" x14ac:dyDescent="0.2">
      <c r="A3149" s="5"/>
      <c r="D3149" s="3" t="s">
        <v>733</v>
      </c>
      <c r="N3149" s="2">
        <f>SUBTOTAL(9,N3148:N3148)</f>
        <v>56</v>
      </c>
      <c r="O3149" s="2">
        <f>SUBTOTAL(9,O3148:O3148)</f>
        <v>1676024.73</v>
      </c>
      <c r="P3149" s="2">
        <f>+O3149/N3149</f>
        <v>29929.013035714284</v>
      </c>
    </row>
    <row r="3150" spans="1:16" outlineLevel="2" x14ac:dyDescent="0.2">
      <c r="A3150" s="5">
        <v>46160</v>
      </c>
      <c r="B3150" s="2">
        <v>159306</v>
      </c>
      <c r="C3150" s="2">
        <v>1</v>
      </c>
      <c r="D3150" s="2" t="s">
        <v>102</v>
      </c>
      <c r="E3150" s="2" t="s">
        <v>104</v>
      </c>
      <c r="F3150" s="2" t="s">
        <v>40</v>
      </c>
      <c r="G3150" s="2" t="s">
        <v>22</v>
      </c>
      <c r="H3150" s="2" t="s">
        <v>23</v>
      </c>
      <c r="I3150" s="2" t="s">
        <v>23</v>
      </c>
      <c r="J3150" s="2">
        <v>1</v>
      </c>
      <c r="K3150" s="2" t="s">
        <v>24</v>
      </c>
      <c r="L3150" s="2">
        <v>25120</v>
      </c>
      <c r="M3150" s="2" t="s">
        <v>103</v>
      </c>
      <c r="N3150" s="2">
        <v>252</v>
      </c>
      <c r="O3150" s="2">
        <v>8888685.1199999992</v>
      </c>
      <c r="P3150" s="2">
        <v>35272.559999999998</v>
      </c>
    </row>
    <row r="3151" spans="1:16" outlineLevel="1" x14ac:dyDescent="0.2">
      <c r="A3151" s="5"/>
      <c r="D3151" s="3" t="s">
        <v>707</v>
      </c>
      <c r="N3151" s="2">
        <f>SUBTOTAL(9,N3150:N3150)</f>
        <v>252</v>
      </c>
      <c r="O3151" s="2">
        <f>SUBTOTAL(9,O3150:O3150)</f>
        <v>8888685.1199999992</v>
      </c>
      <c r="P3151" s="2">
        <f>+O3151/N3151</f>
        <v>35272.559999999998</v>
      </c>
    </row>
    <row r="3152" spans="1:16" outlineLevel="2" x14ac:dyDescent="0.2">
      <c r="A3152" s="5">
        <v>46164</v>
      </c>
      <c r="B3152" s="2">
        <v>159307</v>
      </c>
      <c r="C3152" s="2">
        <v>1</v>
      </c>
      <c r="D3152" s="2" t="s">
        <v>517</v>
      </c>
      <c r="E3152" s="2" t="s">
        <v>39</v>
      </c>
      <c r="F3152" s="2" t="s">
        <v>40</v>
      </c>
      <c r="G3152" s="2" t="s">
        <v>22</v>
      </c>
      <c r="H3152" s="2" t="s">
        <v>23</v>
      </c>
      <c r="I3152" s="2" t="s">
        <v>133</v>
      </c>
      <c r="J3152" s="2">
        <v>1</v>
      </c>
      <c r="K3152" s="2" t="s">
        <v>24</v>
      </c>
      <c r="L3152" s="2">
        <v>2579</v>
      </c>
      <c r="M3152" s="2" t="s">
        <v>44</v>
      </c>
      <c r="N3152" s="2">
        <v>163</v>
      </c>
      <c r="O3152" s="2">
        <v>4183562.51</v>
      </c>
      <c r="P3152" s="2">
        <v>25666.03</v>
      </c>
    </row>
    <row r="3153" spans="1:16" outlineLevel="1" x14ac:dyDescent="0.2">
      <c r="A3153" s="5"/>
      <c r="D3153" s="3" t="s">
        <v>791</v>
      </c>
      <c r="N3153" s="2">
        <f>SUBTOTAL(9,N3152:N3152)</f>
        <v>163</v>
      </c>
      <c r="O3153" s="2">
        <f>SUBTOTAL(9,O3152:O3152)</f>
        <v>4183562.51</v>
      </c>
      <c r="P3153" s="2">
        <f>+O3153/N3153</f>
        <v>25666.027668711657</v>
      </c>
    </row>
    <row r="3154" spans="1:16" outlineLevel="2" x14ac:dyDescent="0.2">
      <c r="A3154" s="5">
        <v>46150</v>
      </c>
      <c r="B3154" s="2">
        <v>159321</v>
      </c>
      <c r="C3154" s="2">
        <v>2</v>
      </c>
      <c r="D3154" s="2" t="s">
        <v>226</v>
      </c>
      <c r="E3154" s="2" t="s">
        <v>276</v>
      </c>
      <c r="F3154" s="2" t="s">
        <v>289</v>
      </c>
      <c r="G3154" s="2" t="s">
        <v>22</v>
      </c>
      <c r="H3154" s="2" t="s">
        <v>23</v>
      </c>
      <c r="I3154" s="2" t="s">
        <v>23</v>
      </c>
      <c r="J3154" s="2">
        <v>2</v>
      </c>
      <c r="K3154" s="2" t="s">
        <v>48</v>
      </c>
      <c r="L3154" s="2">
        <v>801</v>
      </c>
      <c r="M3154" s="2" t="s">
        <v>56</v>
      </c>
      <c r="N3154" s="2">
        <v>24</v>
      </c>
      <c r="O3154" s="2">
        <v>312921.45</v>
      </c>
      <c r="P3154" s="2">
        <v>13038.39</v>
      </c>
    </row>
    <row r="3155" spans="1:16" outlineLevel="1" x14ac:dyDescent="0.2">
      <c r="A3155" s="5"/>
      <c r="D3155" s="3" t="s">
        <v>736</v>
      </c>
      <c r="N3155" s="2">
        <f>SUBTOTAL(9,N3154:N3154)</f>
        <v>24</v>
      </c>
      <c r="O3155" s="2">
        <f>SUBTOTAL(9,O3154:O3154)</f>
        <v>312921.45</v>
      </c>
      <c r="P3155" s="2">
        <f>+O3155/N3155</f>
        <v>13038.393750000001</v>
      </c>
    </row>
    <row r="3156" spans="1:16" outlineLevel="2" x14ac:dyDescent="0.2">
      <c r="A3156" s="5">
        <v>46153</v>
      </c>
      <c r="B3156" s="2">
        <v>159324</v>
      </c>
      <c r="C3156" s="2">
        <v>1</v>
      </c>
      <c r="D3156" s="2" t="s">
        <v>197</v>
      </c>
      <c r="E3156" s="2" t="s">
        <v>284</v>
      </c>
      <c r="F3156" s="2" t="s">
        <v>199</v>
      </c>
      <c r="G3156" s="2" t="s">
        <v>22</v>
      </c>
      <c r="H3156" s="2" t="s">
        <v>23</v>
      </c>
      <c r="I3156" s="2" t="s">
        <v>23</v>
      </c>
      <c r="J3156" s="2">
        <v>2</v>
      </c>
      <c r="K3156" s="2" t="s">
        <v>48</v>
      </c>
      <c r="L3156" s="2">
        <v>183</v>
      </c>
      <c r="M3156" s="2" t="s">
        <v>381</v>
      </c>
      <c r="N3156" s="2">
        <v>102</v>
      </c>
      <c r="O3156" s="2">
        <v>1360896.12</v>
      </c>
      <c r="P3156" s="2">
        <v>13342.12</v>
      </c>
    </row>
    <row r="3157" spans="1:16" outlineLevel="1" x14ac:dyDescent="0.2">
      <c r="A3157" s="5"/>
      <c r="D3157" s="3" t="s">
        <v>734</v>
      </c>
      <c r="N3157" s="2">
        <f>SUBTOTAL(9,N3156:N3156)</f>
        <v>102</v>
      </c>
      <c r="O3157" s="2">
        <f>SUBTOTAL(9,O3156:O3156)</f>
        <v>1360896.12</v>
      </c>
      <c r="P3157" s="2">
        <f>+O3157/N3157</f>
        <v>13342.118823529412</v>
      </c>
    </row>
    <row r="3158" spans="1:16" outlineLevel="2" x14ac:dyDescent="0.2">
      <c r="A3158" s="5">
        <v>46162</v>
      </c>
      <c r="B3158" s="2">
        <v>159325</v>
      </c>
      <c r="C3158" s="2">
        <v>1</v>
      </c>
      <c r="D3158" s="2" t="s">
        <v>353</v>
      </c>
      <c r="E3158" s="2" t="s">
        <v>284</v>
      </c>
      <c r="F3158" s="2" t="s">
        <v>199</v>
      </c>
      <c r="G3158" s="2" t="s">
        <v>22</v>
      </c>
      <c r="H3158" s="2" t="s">
        <v>23</v>
      </c>
      <c r="I3158" s="2" t="s">
        <v>23</v>
      </c>
      <c r="J3158" s="2">
        <v>2</v>
      </c>
      <c r="K3158" s="2" t="s">
        <v>48</v>
      </c>
      <c r="L3158" s="2">
        <v>183</v>
      </c>
      <c r="M3158" s="2" t="s">
        <v>381</v>
      </c>
      <c r="N3158" s="2">
        <v>67</v>
      </c>
      <c r="O3158" s="2">
        <v>544496.35</v>
      </c>
      <c r="P3158" s="2">
        <v>8126.81</v>
      </c>
    </row>
    <row r="3159" spans="1:16" outlineLevel="1" x14ac:dyDescent="0.2">
      <c r="A3159" s="5"/>
      <c r="D3159" s="3" t="s">
        <v>757</v>
      </c>
      <c r="N3159" s="2">
        <f>SUBTOTAL(9,N3158:N3158)</f>
        <v>67</v>
      </c>
      <c r="O3159" s="2">
        <f>SUBTOTAL(9,O3158:O3158)</f>
        <v>544496.35</v>
      </c>
      <c r="P3159" s="2">
        <f>+O3159/N3159</f>
        <v>8126.8111940298504</v>
      </c>
    </row>
    <row r="3160" spans="1:16" outlineLevel="2" x14ac:dyDescent="0.2">
      <c r="A3160" s="5">
        <v>46150</v>
      </c>
      <c r="B3160" s="2">
        <v>159327</v>
      </c>
      <c r="C3160" s="2">
        <v>7</v>
      </c>
      <c r="D3160" s="2" t="s">
        <v>518</v>
      </c>
      <c r="E3160" s="2" t="s">
        <v>519</v>
      </c>
      <c r="F3160" s="2" t="s">
        <v>289</v>
      </c>
      <c r="G3160" s="2" t="s">
        <v>22</v>
      </c>
      <c r="H3160" s="2" t="s">
        <v>23</v>
      </c>
      <c r="I3160" s="2" t="s">
        <v>23</v>
      </c>
      <c r="J3160" s="2">
        <v>2</v>
      </c>
      <c r="K3160" s="2" t="s">
        <v>48</v>
      </c>
      <c r="L3160" s="2">
        <v>801</v>
      </c>
      <c r="M3160" s="2" t="s">
        <v>56</v>
      </c>
      <c r="N3160" s="2">
        <v>5</v>
      </c>
      <c r="O3160" s="2">
        <v>86233.22</v>
      </c>
      <c r="P3160" s="2">
        <v>17246.64</v>
      </c>
    </row>
    <row r="3161" spans="1:16" outlineLevel="1" x14ac:dyDescent="0.2">
      <c r="A3161" s="5"/>
      <c r="D3161" s="3" t="s">
        <v>792</v>
      </c>
      <c r="N3161" s="2">
        <f>SUBTOTAL(9,N3160:N3160)</f>
        <v>5</v>
      </c>
      <c r="O3161" s="2">
        <f>SUBTOTAL(9,O3160:O3160)</f>
        <v>86233.22</v>
      </c>
      <c r="P3161" s="2">
        <f>+O3161/N3161</f>
        <v>17246.644</v>
      </c>
    </row>
    <row r="3162" spans="1:16" outlineLevel="2" x14ac:dyDescent="0.2">
      <c r="A3162" s="5">
        <v>46150</v>
      </c>
      <c r="B3162" s="2">
        <v>159327</v>
      </c>
      <c r="C3162" s="2">
        <v>10</v>
      </c>
      <c r="D3162" s="2" t="s">
        <v>226</v>
      </c>
      <c r="E3162" s="2" t="s">
        <v>151</v>
      </c>
      <c r="F3162" s="2" t="s">
        <v>289</v>
      </c>
      <c r="G3162" s="2" t="s">
        <v>22</v>
      </c>
      <c r="H3162" s="2" t="s">
        <v>23</v>
      </c>
      <c r="I3162" s="2" t="s">
        <v>23</v>
      </c>
      <c r="J3162" s="2">
        <v>2</v>
      </c>
      <c r="K3162" s="2" t="s">
        <v>48</v>
      </c>
      <c r="L3162" s="2">
        <v>801</v>
      </c>
      <c r="M3162" s="2" t="s">
        <v>56</v>
      </c>
      <c r="N3162" s="2">
        <v>5</v>
      </c>
      <c r="O3162" s="2">
        <v>67564.460000000006</v>
      </c>
      <c r="P3162" s="2">
        <v>13512.89</v>
      </c>
    </row>
    <row r="3163" spans="1:16" outlineLevel="1" x14ac:dyDescent="0.2">
      <c r="A3163" s="5"/>
      <c r="D3163" s="3" t="s">
        <v>736</v>
      </c>
      <c r="N3163" s="2">
        <f>SUBTOTAL(9,N3162:N3162)</f>
        <v>5</v>
      </c>
      <c r="O3163" s="2">
        <f>SUBTOTAL(9,O3162:O3162)</f>
        <v>67564.460000000006</v>
      </c>
      <c r="P3163" s="2">
        <f>+O3163/N3163</f>
        <v>13512.892000000002</v>
      </c>
    </row>
    <row r="3164" spans="1:16" outlineLevel="2" x14ac:dyDescent="0.2">
      <c r="A3164" s="5">
        <v>46150</v>
      </c>
      <c r="B3164" s="2">
        <v>159327</v>
      </c>
      <c r="C3164" s="2">
        <v>11</v>
      </c>
      <c r="D3164" s="2" t="s">
        <v>45</v>
      </c>
      <c r="E3164" s="2" t="s">
        <v>228</v>
      </c>
      <c r="F3164" s="2" t="s">
        <v>289</v>
      </c>
      <c r="G3164" s="2" t="s">
        <v>22</v>
      </c>
      <c r="H3164" s="2" t="s">
        <v>23</v>
      </c>
      <c r="I3164" s="2" t="s">
        <v>23</v>
      </c>
      <c r="J3164" s="2">
        <v>2</v>
      </c>
      <c r="K3164" s="2" t="s">
        <v>48</v>
      </c>
      <c r="L3164" s="2">
        <v>801</v>
      </c>
      <c r="M3164" s="2" t="s">
        <v>56</v>
      </c>
      <c r="N3164" s="2">
        <v>15</v>
      </c>
      <c r="O3164" s="2">
        <v>318439.94</v>
      </c>
      <c r="P3164" s="2">
        <v>21229.33</v>
      </c>
    </row>
    <row r="3165" spans="1:16" outlineLevel="2" x14ac:dyDescent="0.2">
      <c r="A3165" s="5">
        <v>46150</v>
      </c>
      <c r="B3165" s="2">
        <v>159327</v>
      </c>
      <c r="C3165" s="2">
        <v>12</v>
      </c>
      <c r="D3165" s="2" t="s">
        <v>45</v>
      </c>
      <c r="E3165" s="2" t="s">
        <v>228</v>
      </c>
      <c r="F3165" s="2" t="s">
        <v>289</v>
      </c>
      <c r="G3165" s="2" t="s">
        <v>22</v>
      </c>
      <c r="H3165" s="2" t="s">
        <v>23</v>
      </c>
      <c r="I3165" s="2" t="s">
        <v>23</v>
      </c>
      <c r="J3165" s="2">
        <v>41</v>
      </c>
      <c r="K3165" s="2" t="s">
        <v>129</v>
      </c>
      <c r="L3165" s="2">
        <v>801</v>
      </c>
      <c r="M3165" s="2" t="s">
        <v>56</v>
      </c>
      <c r="N3165" s="2">
        <v>13</v>
      </c>
      <c r="O3165" s="2">
        <v>281706.34999999998</v>
      </c>
      <c r="P3165" s="2">
        <v>21669.72</v>
      </c>
    </row>
    <row r="3166" spans="1:16" outlineLevel="1" x14ac:dyDescent="0.2">
      <c r="A3166" s="5"/>
      <c r="D3166" s="3" t="s">
        <v>733</v>
      </c>
      <c r="N3166" s="2">
        <f>SUBTOTAL(9,N3164:N3165)</f>
        <v>28</v>
      </c>
      <c r="O3166" s="2">
        <f>SUBTOTAL(9,O3164:O3165)</f>
        <v>600146.29</v>
      </c>
      <c r="P3166" s="2">
        <f>+O3166/N3166</f>
        <v>21433.796071428573</v>
      </c>
    </row>
    <row r="3167" spans="1:16" outlineLevel="2" x14ac:dyDescent="0.2">
      <c r="A3167" s="5">
        <v>46155</v>
      </c>
      <c r="B3167" s="2">
        <v>159329</v>
      </c>
      <c r="C3167" s="2">
        <v>315</v>
      </c>
      <c r="D3167" s="2" t="s">
        <v>110</v>
      </c>
      <c r="E3167" s="2" t="s">
        <v>111</v>
      </c>
      <c r="F3167" s="2" t="s">
        <v>23</v>
      </c>
      <c r="G3167" s="2" t="s">
        <v>23</v>
      </c>
      <c r="H3167" s="2" t="s">
        <v>23</v>
      </c>
      <c r="I3167" s="2" t="s">
        <v>23</v>
      </c>
      <c r="J3167" s="2">
        <v>2</v>
      </c>
      <c r="K3167" s="2" t="s">
        <v>48</v>
      </c>
      <c r="L3167" s="2">
        <v>2316</v>
      </c>
      <c r="M3167" s="2" t="s">
        <v>206</v>
      </c>
      <c r="N3167" s="2">
        <v>15</v>
      </c>
      <c r="O3167" s="2">
        <v>55116.74</v>
      </c>
      <c r="P3167" s="2">
        <v>3674.45</v>
      </c>
    </row>
    <row r="3168" spans="1:16" outlineLevel="2" x14ac:dyDescent="0.2">
      <c r="A3168" s="5">
        <v>46162</v>
      </c>
      <c r="B3168" s="2">
        <v>159329</v>
      </c>
      <c r="C3168" s="2">
        <v>316</v>
      </c>
      <c r="D3168" s="2" t="s">
        <v>110</v>
      </c>
      <c r="E3168" s="2" t="s">
        <v>111</v>
      </c>
      <c r="F3168" s="2" t="s">
        <v>47</v>
      </c>
      <c r="G3168" s="2" t="s">
        <v>22</v>
      </c>
      <c r="H3168" s="2" t="s">
        <v>23</v>
      </c>
      <c r="I3168" s="2" t="s">
        <v>23</v>
      </c>
      <c r="J3168" s="2">
        <v>2</v>
      </c>
      <c r="K3168" s="2" t="s">
        <v>48</v>
      </c>
      <c r="L3168" s="2">
        <v>626</v>
      </c>
      <c r="M3168" s="2" t="s">
        <v>49</v>
      </c>
      <c r="N3168" s="2">
        <v>4</v>
      </c>
      <c r="O3168" s="2">
        <v>6259.52</v>
      </c>
      <c r="P3168" s="2">
        <v>1564.88</v>
      </c>
    </row>
    <row r="3169" spans="1:16" outlineLevel="1" x14ac:dyDescent="0.2">
      <c r="A3169" s="5"/>
      <c r="D3169" s="3" t="s">
        <v>697</v>
      </c>
      <c r="N3169" s="2">
        <f>SUBTOTAL(9,N3167:N3168)</f>
        <v>19</v>
      </c>
      <c r="O3169" s="2">
        <f>SUBTOTAL(9,O3167:O3168)</f>
        <v>61376.259999999995</v>
      </c>
      <c r="P3169" s="2">
        <f>+O3169/N3169</f>
        <v>3230.3294736842104</v>
      </c>
    </row>
    <row r="3170" spans="1:16" outlineLevel="2" x14ac:dyDescent="0.2">
      <c r="A3170" s="5">
        <v>46176</v>
      </c>
      <c r="B3170" s="2">
        <v>159332</v>
      </c>
      <c r="C3170" s="2">
        <v>1</v>
      </c>
      <c r="D3170" s="2" t="s">
        <v>150</v>
      </c>
      <c r="E3170" s="2" t="s">
        <v>224</v>
      </c>
      <c r="F3170" s="2" t="s">
        <v>199</v>
      </c>
      <c r="G3170" s="2" t="s">
        <v>22</v>
      </c>
      <c r="H3170" s="2" t="s">
        <v>23</v>
      </c>
      <c r="I3170" s="2" t="s">
        <v>23</v>
      </c>
      <c r="J3170" s="2">
        <v>1</v>
      </c>
      <c r="K3170" s="2" t="s">
        <v>24</v>
      </c>
      <c r="L3170" s="2">
        <v>1974</v>
      </c>
      <c r="M3170" s="2" t="s">
        <v>95</v>
      </c>
      <c r="N3170" s="2">
        <v>2</v>
      </c>
      <c r="O3170" s="2">
        <v>27399.16</v>
      </c>
      <c r="P3170" s="2">
        <v>13699.58</v>
      </c>
    </row>
    <row r="3171" spans="1:16" outlineLevel="1" x14ac:dyDescent="0.2">
      <c r="A3171" s="5"/>
      <c r="D3171" s="3" t="s">
        <v>718</v>
      </c>
      <c r="N3171" s="2">
        <f>SUBTOTAL(9,N3170:N3170)</f>
        <v>2</v>
      </c>
      <c r="O3171" s="2">
        <f>SUBTOTAL(9,O3170:O3170)</f>
        <v>27399.16</v>
      </c>
      <c r="P3171" s="2">
        <f>+O3171/N3171</f>
        <v>13699.58</v>
      </c>
    </row>
    <row r="3172" spans="1:16" outlineLevel="2" x14ac:dyDescent="0.2">
      <c r="A3172" s="5">
        <v>46155</v>
      </c>
      <c r="B3172" s="2">
        <v>159337</v>
      </c>
      <c r="C3172" s="2">
        <v>315</v>
      </c>
      <c r="D3172" s="2" t="s">
        <v>54</v>
      </c>
      <c r="E3172" s="2" t="s">
        <v>30</v>
      </c>
      <c r="F3172" s="2" t="s">
        <v>47</v>
      </c>
      <c r="G3172" s="2" t="s">
        <v>23</v>
      </c>
      <c r="H3172" s="2" t="s">
        <v>23</v>
      </c>
      <c r="I3172" s="2" t="s">
        <v>23</v>
      </c>
      <c r="J3172" s="2">
        <v>2</v>
      </c>
      <c r="K3172" s="2" t="s">
        <v>48</v>
      </c>
      <c r="L3172" s="2">
        <v>600</v>
      </c>
      <c r="M3172" s="2" t="s">
        <v>112</v>
      </c>
      <c r="N3172" s="2">
        <v>3</v>
      </c>
      <c r="O3172" s="2">
        <v>27097.17</v>
      </c>
      <c r="P3172" s="2">
        <v>9032.39</v>
      </c>
    </row>
    <row r="3173" spans="1:16" outlineLevel="1" x14ac:dyDescent="0.2">
      <c r="A3173" s="5"/>
      <c r="D3173" s="3" t="s">
        <v>719</v>
      </c>
      <c r="N3173" s="2">
        <f>SUBTOTAL(9,N3172:N3172)</f>
        <v>3</v>
      </c>
      <c r="O3173" s="2">
        <f>SUBTOTAL(9,O3172:O3172)</f>
        <v>27097.17</v>
      </c>
      <c r="P3173" s="2">
        <f>+O3173/N3173</f>
        <v>9032.39</v>
      </c>
    </row>
    <row r="3174" spans="1:16" outlineLevel="2" x14ac:dyDescent="0.2">
      <c r="A3174" s="5">
        <v>46157</v>
      </c>
      <c r="B3174" s="2">
        <v>159337</v>
      </c>
      <c r="C3174" s="2">
        <v>316</v>
      </c>
      <c r="D3174" s="2" t="s">
        <v>45</v>
      </c>
      <c r="E3174" s="2" t="s">
        <v>46</v>
      </c>
      <c r="F3174" s="2" t="s">
        <v>47</v>
      </c>
      <c r="G3174" s="2" t="s">
        <v>22</v>
      </c>
      <c r="H3174" s="2" t="s">
        <v>23</v>
      </c>
      <c r="I3174" s="2" t="s">
        <v>23</v>
      </c>
      <c r="J3174" s="2">
        <v>2</v>
      </c>
      <c r="K3174" s="2" t="s">
        <v>48</v>
      </c>
      <c r="L3174" s="2">
        <v>600</v>
      </c>
      <c r="M3174" s="2" t="s">
        <v>112</v>
      </c>
      <c r="N3174" s="2">
        <v>7</v>
      </c>
      <c r="O3174" s="2">
        <v>54194.33</v>
      </c>
      <c r="P3174" s="2">
        <v>7742.05</v>
      </c>
    </row>
    <row r="3175" spans="1:16" outlineLevel="1" x14ac:dyDescent="0.2">
      <c r="A3175" s="5"/>
      <c r="D3175" s="3" t="s">
        <v>733</v>
      </c>
      <c r="N3175" s="2">
        <f>SUBTOTAL(9,N3174:N3174)</f>
        <v>7</v>
      </c>
      <c r="O3175" s="2">
        <f>SUBTOTAL(9,O3174:O3174)</f>
        <v>54194.33</v>
      </c>
      <c r="P3175" s="2">
        <f>+O3175/N3175</f>
        <v>7742.0471428571427</v>
      </c>
    </row>
    <row r="3176" spans="1:16" outlineLevel="2" x14ac:dyDescent="0.2">
      <c r="A3176" s="5">
        <v>46157</v>
      </c>
      <c r="B3176" s="2">
        <v>159339</v>
      </c>
      <c r="C3176" s="2">
        <v>1</v>
      </c>
      <c r="D3176" s="2" t="s">
        <v>54</v>
      </c>
      <c r="E3176" s="2" t="s">
        <v>30</v>
      </c>
      <c r="F3176" s="2" t="s">
        <v>23</v>
      </c>
      <c r="G3176" s="2" t="s">
        <v>23</v>
      </c>
      <c r="H3176" s="2" t="s">
        <v>23</v>
      </c>
      <c r="I3176" s="2" t="s">
        <v>23</v>
      </c>
      <c r="J3176" s="2">
        <v>2</v>
      </c>
      <c r="K3176" s="2" t="s">
        <v>48</v>
      </c>
      <c r="L3176" s="2">
        <v>25200</v>
      </c>
      <c r="M3176" s="2" t="s">
        <v>520</v>
      </c>
      <c r="N3176" s="2">
        <v>1</v>
      </c>
      <c r="O3176" s="2">
        <v>8098.95</v>
      </c>
      <c r="P3176" s="2">
        <v>8098.95</v>
      </c>
    </row>
    <row r="3177" spans="1:16" outlineLevel="2" x14ac:dyDescent="0.2">
      <c r="A3177" s="5">
        <v>46164</v>
      </c>
      <c r="B3177" s="2">
        <v>159339</v>
      </c>
      <c r="C3177" s="2">
        <v>315</v>
      </c>
      <c r="D3177" s="2" t="s">
        <v>54</v>
      </c>
      <c r="E3177" s="2" t="s">
        <v>30</v>
      </c>
      <c r="F3177" s="2" t="s">
        <v>47</v>
      </c>
      <c r="G3177" s="2" t="s">
        <v>22</v>
      </c>
      <c r="H3177" s="2" t="s">
        <v>23</v>
      </c>
      <c r="I3177" s="2" t="s">
        <v>23</v>
      </c>
      <c r="J3177" s="2">
        <v>2</v>
      </c>
      <c r="K3177" s="2" t="s">
        <v>48</v>
      </c>
      <c r="L3177" s="2">
        <v>25200</v>
      </c>
      <c r="M3177" s="2" t="s">
        <v>520</v>
      </c>
      <c r="N3177" s="2">
        <v>4</v>
      </c>
      <c r="O3177" s="2">
        <v>28662.04</v>
      </c>
      <c r="P3177" s="2">
        <v>7165.51</v>
      </c>
    </row>
    <row r="3178" spans="1:16" outlineLevel="2" x14ac:dyDescent="0.2">
      <c r="A3178" s="5">
        <v>46176</v>
      </c>
      <c r="B3178" s="2">
        <v>159341</v>
      </c>
      <c r="C3178" s="2">
        <v>315</v>
      </c>
      <c r="D3178" s="2" t="s">
        <v>54</v>
      </c>
      <c r="E3178" s="2" t="s">
        <v>30</v>
      </c>
      <c r="F3178" s="2" t="s">
        <v>47</v>
      </c>
      <c r="G3178" s="2" t="s">
        <v>22</v>
      </c>
      <c r="H3178" s="2" t="s">
        <v>23</v>
      </c>
      <c r="I3178" s="2" t="s">
        <v>23</v>
      </c>
      <c r="J3178" s="2">
        <v>2</v>
      </c>
      <c r="K3178" s="2" t="s">
        <v>48</v>
      </c>
      <c r="L3178" s="2">
        <v>600</v>
      </c>
      <c r="M3178" s="2" t="s">
        <v>112</v>
      </c>
      <c r="N3178" s="2">
        <v>6</v>
      </c>
      <c r="O3178" s="2">
        <v>54194.34</v>
      </c>
      <c r="P3178" s="2">
        <v>9032.39</v>
      </c>
    </row>
    <row r="3179" spans="1:16" outlineLevel="1" x14ac:dyDescent="0.2">
      <c r="A3179" s="5"/>
      <c r="D3179" s="3" t="s">
        <v>719</v>
      </c>
      <c r="N3179" s="2">
        <f>SUBTOTAL(9,N3176:N3178)</f>
        <v>11</v>
      </c>
      <c r="O3179" s="2">
        <f>SUBTOTAL(9,O3176:O3178)</f>
        <v>90955.329999999987</v>
      </c>
      <c r="P3179" s="2">
        <f>+O3179/N3179</f>
        <v>8268.6663636363628</v>
      </c>
    </row>
    <row r="3180" spans="1:16" outlineLevel="2" x14ac:dyDescent="0.2">
      <c r="A3180" s="5">
        <v>46157</v>
      </c>
      <c r="B3180" s="2">
        <v>159345</v>
      </c>
      <c r="C3180" s="2">
        <v>1</v>
      </c>
      <c r="D3180" s="2" t="s">
        <v>140</v>
      </c>
      <c r="E3180" s="2" t="s">
        <v>141</v>
      </c>
      <c r="F3180" s="2" t="s">
        <v>55</v>
      </c>
      <c r="G3180" s="2" t="s">
        <v>23</v>
      </c>
      <c r="H3180" s="2" t="s">
        <v>23</v>
      </c>
      <c r="I3180" s="2" t="s">
        <v>23</v>
      </c>
      <c r="J3180" s="2">
        <v>1</v>
      </c>
      <c r="K3180" s="2" t="s">
        <v>24</v>
      </c>
      <c r="L3180" s="2">
        <v>1833</v>
      </c>
      <c r="M3180" s="2" t="s">
        <v>142</v>
      </c>
      <c r="N3180" s="2">
        <v>1</v>
      </c>
      <c r="O3180" s="2">
        <v>7165.51</v>
      </c>
      <c r="P3180" s="2">
        <v>7165.51</v>
      </c>
    </row>
    <row r="3181" spans="1:16" outlineLevel="1" x14ac:dyDescent="0.2">
      <c r="A3181" s="5"/>
      <c r="D3181" s="3" t="s">
        <v>696</v>
      </c>
      <c r="N3181" s="2">
        <f>SUBTOTAL(9,N3180:N3180)</f>
        <v>1</v>
      </c>
      <c r="O3181" s="2">
        <f>SUBTOTAL(9,O3180:O3180)</f>
        <v>7165.51</v>
      </c>
      <c r="P3181" s="2">
        <f>+O3181/N3181</f>
        <v>7165.51</v>
      </c>
    </row>
    <row r="3182" spans="1:16" outlineLevel="2" x14ac:dyDescent="0.2">
      <c r="A3182" s="5">
        <v>46160</v>
      </c>
      <c r="B3182" s="2">
        <v>159348</v>
      </c>
      <c r="C3182" s="2">
        <v>315</v>
      </c>
      <c r="D3182" s="2" t="s">
        <v>110</v>
      </c>
      <c r="E3182" s="2" t="s">
        <v>23</v>
      </c>
      <c r="F3182" s="2" t="s">
        <v>47</v>
      </c>
      <c r="G3182" s="2" t="s">
        <v>23</v>
      </c>
      <c r="H3182" s="2" t="s">
        <v>23</v>
      </c>
      <c r="I3182" s="2" t="s">
        <v>23</v>
      </c>
      <c r="J3182" s="2">
        <v>1</v>
      </c>
      <c r="K3182" s="2" t="s">
        <v>24</v>
      </c>
      <c r="L3182" s="2">
        <v>2316</v>
      </c>
      <c r="M3182" s="2" t="s">
        <v>206</v>
      </c>
      <c r="N3182" s="2">
        <v>4</v>
      </c>
      <c r="O3182" s="2">
        <v>10926.71</v>
      </c>
      <c r="P3182" s="2">
        <v>2731.68</v>
      </c>
    </row>
    <row r="3183" spans="1:16" outlineLevel="2" x14ac:dyDescent="0.2">
      <c r="A3183" s="5">
        <v>46162</v>
      </c>
      <c r="B3183" s="2">
        <v>159348</v>
      </c>
      <c r="C3183" s="2">
        <v>316</v>
      </c>
      <c r="D3183" s="2" t="s">
        <v>110</v>
      </c>
      <c r="E3183" s="2" t="s">
        <v>111</v>
      </c>
      <c r="F3183" s="2" t="s">
        <v>47</v>
      </c>
      <c r="G3183" s="2" t="s">
        <v>22</v>
      </c>
      <c r="H3183" s="2" t="s">
        <v>23</v>
      </c>
      <c r="I3183" s="2" t="s">
        <v>23</v>
      </c>
      <c r="J3183" s="2">
        <v>2</v>
      </c>
      <c r="K3183" s="2" t="s">
        <v>48</v>
      </c>
      <c r="L3183" s="2">
        <v>2165</v>
      </c>
      <c r="M3183" s="2" t="s">
        <v>206</v>
      </c>
      <c r="N3183" s="2">
        <v>7</v>
      </c>
      <c r="O3183" s="2">
        <v>16554.78</v>
      </c>
      <c r="P3183" s="2">
        <v>2364.9699999999998</v>
      </c>
    </row>
    <row r="3184" spans="1:16" outlineLevel="1" x14ac:dyDescent="0.2">
      <c r="A3184" s="5"/>
      <c r="D3184" s="3" t="s">
        <v>697</v>
      </c>
      <c r="N3184" s="2">
        <f>SUBTOTAL(9,N3182:N3183)</f>
        <v>11</v>
      </c>
      <c r="O3184" s="2">
        <f>SUBTOTAL(9,O3182:O3183)</f>
        <v>27481.489999999998</v>
      </c>
      <c r="P3184" s="2">
        <f>+O3184/N3184</f>
        <v>2498.3172727272727</v>
      </c>
    </row>
    <row r="3185" spans="1:16" outlineLevel="2" x14ac:dyDescent="0.2">
      <c r="A3185" s="5">
        <v>46155</v>
      </c>
      <c r="B3185" s="2">
        <v>159350</v>
      </c>
      <c r="C3185" s="2">
        <v>1</v>
      </c>
      <c r="D3185" s="2" t="s">
        <v>140</v>
      </c>
      <c r="E3185" s="2" t="s">
        <v>141</v>
      </c>
      <c r="F3185" s="2" t="s">
        <v>108</v>
      </c>
      <c r="G3185" s="2" t="s">
        <v>22</v>
      </c>
      <c r="H3185" s="2" t="s">
        <v>23</v>
      </c>
      <c r="I3185" s="2" t="s">
        <v>23</v>
      </c>
      <c r="J3185" s="2">
        <v>1</v>
      </c>
      <c r="K3185" s="2" t="s">
        <v>24</v>
      </c>
      <c r="L3185" s="2">
        <v>1833</v>
      </c>
      <c r="M3185" s="2" t="s">
        <v>142</v>
      </c>
      <c r="N3185" s="2">
        <v>23</v>
      </c>
      <c r="O3185" s="2">
        <v>550317.06000000006</v>
      </c>
      <c r="P3185" s="2">
        <v>23926.83</v>
      </c>
    </row>
    <row r="3186" spans="1:16" outlineLevel="2" x14ac:dyDescent="0.2">
      <c r="A3186" s="5">
        <v>46155</v>
      </c>
      <c r="B3186" s="2">
        <v>159350</v>
      </c>
      <c r="C3186" s="2">
        <v>2</v>
      </c>
      <c r="D3186" s="2" t="s">
        <v>140</v>
      </c>
      <c r="E3186" s="2" t="s">
        <v>248</v>
      </c>
      <c r="F3186" s="2" t="s">
        <v>108</v>
      </c>
      <c r="G3186" s="2" t="s">
        <v>22</v>
      </c>
      <c r="H3186" s="2" t="s">
        <v>23</v>
      </c>
      <c r="I3186" s="2" t="s">
        <v>23</v>
      </c>
      <c r="J3186" s="2">
        <v>1</v>
      </c>
      <c r="K3186" s="2" t="s">
        <v>24</v>
      </c>
      <c r="L3186" s="2">
        <v>1833</v>
      </c>
      <c r="M3186" s="2" t="s">
        <v>142</v>
      </c>
      <c r="N3186" s="2">
        <v>5</v>
      </c>
      <c r="O3186" s="2">
        <v>53562.879999999997</v>
      </c>
      <c r="P3186" s="2">
        <v>10712.58</v>
      </c>
    </row>
    <row r="3187" spans="1:16" outlineLevel="1" x14ac:dyDescent="0.2">
      <c r="A3187" s="5"/>
      <c r="D3187" s="3" t="s">
        <v>696</v>
      </c>
      <c r="N3187" s="2">
        <f>SUBTOTAL(9,N3185:N3186)</f>
        <v>28</v>
      </c>
      <c r="O3187" s="2">
        <f>SUBTOTAL(9,O3185:O3186)</f>
        <v>603879.94000000006</v>
      </c>
      <c r="P3187" s="2">
        <f>+O3187/N3187</f>
        <v>21567.140714285717</v>
      </c>
    </row>
    <row r="3188" spans="1:16" outlineLevel="2" x14ac:dyDescent="0.2">
      <c r="A3188" s="5">
        <v>46155</v>
      </c>
      <c r="B3188" s="2">
        <v>159351</v>
      </c>
      <c r="C3188" s="2">
        <v>1</v>
      </c>
      <c r="D3188" s="2" t="s">
        <v>207</v>
      </c>
      <c r="E3188" s="2" t="s">
        <v>23</v>
      </c>
      <c r="F3188" s="2" t="s">
        <v>47</v>
      </c>
      <c r="G3188" s="2" t="s">
        <v>22</v>
      </c>
      <c r="H3188" s="2" t="s">
        <v>208</v>
      </c>
      <c r="I3188" s="2" t="s">
        <v>23</v>
      </c>
      <c r="J3188" s="2">
        <v>41</v>
      </c>
      <c r="K3188" s="2" t="s">
        <v>129</v>
      </c>
      <c r="L3188" s="2">
        <v>25213</v>
      </c>
      <c r="M3188" s="2" t="s">
        <v>130</v>
      </c>
      <c r="N3188" s="2">
        <v>50</v>
      </c>
      <c r="O3188" s="2">
        <v>171960.88</v>
      </c>
      <c r="P3188" s="2">
        <v>3439.22</v>
      </c>
    </row>
    <row r="3189" spans="1:16" outlineLevel="2" x14ac:dyDescent="0.2">
      <c r="A3189" s="5">
        <v>46155</v>
      </c>
      <c r="B3189" s="2">
        <v>159351</v>
      </c>
      <c r="C3189" s="2">
        <v>2</v>
      </c>
      <c r="D3189" s="2" t="s">
        <v>207</v>
      </c>
      <c r="E3189" s="2" t="s">
        <v>23</v>
      </c>
      <c r="F3189" s="2" t="s">
        <v>47</v>
      </c>
      <c r="G3189" s="2" t="s">
        <v>22</v>
      </c>
      <c r="H3189" s="2" t="s">
        <v>209</v>
      </c>
      <c r="I3189" s="2" t="s">
        <v>23</v>
      </c>
      <c r="J3189" s="2">
        <v>41</v>
      </c>
      <c r="K3189" s="2" t="s">
        <v>129</v>
      </c>
      <c r="L3189" s="2">
        <v>25213</v>
      </c>
      <c r="M3189" s="2" t="s">
        <v>130</v>
      </c>
      <c r="N3189" s="2">
        <v>25</v>
      </c>
      <c r="O3189" s="2">
        <v>74126</v>
      </c>
      <c r="P3189" s="2">
        <v>2965.04</v>
      </c>
    </row>
    <row r="3190" spans="1:16" outlineLevel="1" x14ac:dyDescent="0.2">
      <c r="A3190" s="5"/>
      <c r="D3190" s="3" t="s">
        <v>699</v>
      </c>
      <c r="N3190" s="2">
        <f>SUBTOTAL(9,N3188:N3189)</f>
        <v>75</v>
      </c>
      <c r="O3190" s="2">
        <f>SUBTOTAL(9,O3188:O3189)</f>
        <v>246086.88</v>
      </c>
      <c r="P3190" s="2">
        <f>+O3190/N3190</f>
        <v>3281.1584000000003</v>
      </c>
    </row>
    <row r="3191" spans="1:16" outlineLevel="2" x14ac:dyDescent="0.2">
      <c r="A3191" s="5">
        <v>46155</v>
      </c>
      <c r="B3191" s="2">
        <v>159351</v>
      </c>
      <c r="C3191" s="2">
        <v>3</v>
      </c>
      <c r="D3191" s="2" t="s">
        <v>128</v>
      </c>
      <c r="E3191" s="2" t="s">
        <v>23</v>
      </c>
      <c r="F3191" s="2" t="s">
        <v>47</v>
      </c>
      <c r="G3191" s="2" t="s">
        <v>22</v>
      </c>
      <c r="H3191" s="2" t="s">
        <v>23</v>
      </c>
      <c r="I3191" s="2" t="s">
        <v>23</v>
      </c>
      <c r="J3191" s="2">
        <v>41</v>
      </c>
      <c r="K3191" s="2" t="s">
        <v>129</v>
      </c>
      <c r="L3191" s="2">
        <v>25213</v>
      </c>
      <c r="M3191" s="2" t="s">
        <v>130</v>
      </c>
      <c r="N3191" s="2">
        <v>50</v>
      </c>
      <c r="O3191" s="2">
        <v>195378.25</v>
      </c>
      <c r="P3191" s="2">
        <v>3907.57</v>
      </c>
    </row>
    <row r="3192" spans="1:16" outlineLevel="1" x14ac:dyDescent="0.2">
      <c r="A3192" s="5"/>
      <c r="D3192" s="3" t="s">
        <v>732</v>
      </c>
      <c r="N3192" s="2">
        <f>SUBTOTAL(9,N3191:N3191)</f>
        <v>50</v>
      </c>
      <c r="O3192" s="2">
        <f>SUBTOTAL(9,O3191:O3191)</f>
        <v>195378.25</v>
      </c>
      <c r="P3192" s="2">
        <f>+O3192/N3192</f>
        <v>3907.5650000000001</v>
      </c>
    </row>
    <row r="3193" spans="1:16" outlineLevel="2" x14ac:dyDescent="0.2">
      <c r="A3193" s="5">
        <v>46155</v>
      </c>
      <c r="B3193" s="2">
        <v>159351</v>
      </c>
      <c r="C3193" s="2">
        <v>4</v>
      </c>
      <c r="D3193" s="2" t="s">
        <v>207</v>
      </c>
      <c r="E3193" s="2" t="s">
        <v>23</v>
      </c>
      <c r="F3193" s="2" t="s">
        <v>47</v>
      </c>
      <c r="G3193" s="2" t="s">
        <v>521</v>
      </c>
      <c r="H3193" s="2" t="s">
        <v>23</v>
      </c>
      <c r="I3193" s="2" t="s">
        <v>23</v>
      </c>
      <c r="J3193" s="2">
        <v>1</v>
      </c>
      <c r="K3193" s="2" t="s">
        <v>24</v>
      </c>
      <c r="L3193" s="2">
        <v>25213</v>
      </c>
      <c r="M3193" s="2" t="s">
        <v>130</v>
      </c>
      <c r="N3193" s="2">
        <v>3</v>
      </c>
      <c r="O3193" s="2">
        <v>195116.19</v>
      </c>
      <c r="P3193" s="2">
        <v>65038.73</v>
      </c>
    </row>
    <row r="3194" spans="1:16" outlineLevel="1" x14ac:dyDescent="0.2">
      <c r="A3194" s="5"/>
      <c r="D3194" s="3" t="s">
        <v>699</v>
      </c>
      <c r="N3194" s="2">
        <f>SUBTOTAL(9,N3193:N3193)</f>
        <v>3</v>
      </c>
      <c r="O3194" s="2">
        <f>SUBTOTAL(9,O3193:O3193)</f>
        <v>195116.19</v>
      </c>
      <c r="P3194" s="2">
        <f>+O3194/N3194</f>
        <v>65038.73</v>
      </c>
    </row>
    <row r="3195" spans="1:16" outlineLevel="2" x14ac:dyDescent="0.2">
      <c r="A3195" s="5">
        <v>46155</v>
      </c>
      <c r="B3195" s="2">
        <v>159351</v>
      </c>
      <c r="C3195" s="2">
        <v>5</v>
      </c>
      <c r="D3195" s="2" t="s">
        <v>128</v>
      </c>
      <c r="E3195" s="2" t="s">
        <v>23</v>
      </c>
      <c r="F3195" s="2" t="s">
        <v>47</v>
      </c>
      <c r="G3195" s="2" t="s">
        <v>22</v>
      </c>
      <c r="H3195" s="2" t="s">
        <v>23</v>
      </c>
      <c r="I3195" s="2" t="s">
        <v>23</v>
      </c>
      <c r="J3195" s="2">
        <v>1</v>
      </c>
      <c r="K3195" s="2" t="s">
        <v>24</v>
      </c>
      <c r="L3195" s="2">
        <v>25213</v>
      </c>
      <c r="M3195" s="2" t="s">
        <v>130</v>
      </c>
      <c r="N3195" s="2">
        <v>5</v>
      </c>
      <c r="O3195" s="2">
        <v>446540.66</v>
      </c>
      <c r="P3195" s="2">
        <v>89308.13</v>
      </c>
    </row>
    <row r="3196" spans="1:16" outlineLevel="1" x14ac:dyDescent="0.2">
      <c r="A3196" s="5"/>
      <c r="D3196" s="3" t="s">
        <v>732</v>
      </c>
      <c r="N3196" s="2">
        <f>SUBTOTAL(9,N3195:N3195)</f>
        <v>5</v>
      </c>
      <c r="O3196" s="2">
        <f>SUBTOTAL(9,O3195:O3195)</f>
        <v>446540.66</v>
      </c>
      <c r="P3196" s="2">
        <f>+O3196/N3196</f>
        <v>89308.131999999998</v>
      </c>
    </row>
    <row r="3197" spans="1:16" outlineLevel="2" x14ac:dyDescent="0.2">
      <c r="A3197" s="5">
        <v>46155</v>
      </c>
      <c r="B3197" s="2">
        <v>159353</v>
      </c>
      <c r="C3197" s="2">
        <v>1</v>
      </c>
      <c r="D3197" s="2" t="s">
        <v>522</v>
      </c>
      <c r="E3197" s="2" t="s">
        <v>23</v>
      </c>
      <c r="F3197" s="2" t="s">
        <v>23</v>
      </c>
      <c r="G3197" s="2" t="s">
        <v>22</v>
      </c>
      <c r="H3197" s="2" t="s">
        <v>23</v>
      </c>
      <c r="I3197" s="2" t="s">
        <v>23</v>
      </c>
      <c r="J3197" s="2">
        <v>2</v>
      </c>
      <c r="K3197" s="2" t="s">
        <v>48</v>
      </c>
      <c r="L3197" s="2">
        <v>492</v>
      </c>
      <c r="M3197" s="2" t="s">
        <v>269</v>
      </c>
      <c r="N3197" s="2">
        <v>1</v>
      </c>
      <c r="O3197" s="2">
        <v>-301.98</v>
      </c>
      <c r="P3197" s="2">
        <v>-301.98</v>
      </c>
    </row>
    <row r="3198" spans="1:16" outlineLevel="1" x14ac:dyDescent="0.2">
      <c r="A3198" s="5"/>
      <c r="D3198" s="3" t="s">
        <v>793</v>
      </c>
      <c r="N3198" s="2">
        <f>SUBTOTAL(9,N3197:N3197)</f>
        <v>1</v>
      </c>
      <c r="O3198" s="2">
        <f>SUBTOTAL(9,O3197:O3197)</f>
        <v>-301.98</v>
      </c>
      <c r="P3198" s="2">
        <f>+O3198/N3198</f>
        <v>-301.98</v>
      </c>
    </row>
    <row r="3199" spans="1:16" outlineLevel="2" x14ac:dyDescent="0.2">
      <c r="A3199" s="5">
        <v>46197</v>
      </c>
      <c r="B3199" s="2">
        <v>159353</v>
      </c>
      <c r="C3199" s="2">
        <v>316</v>
      </c>
      <c r="D3199" s="2" t="s">
        <v>215</v>
      </c>
      <c r="E3199" s="2" t="s">
        <v>23</v>
      </c>
      <c r="F3199" s="2" t="s">
        <v>23</v>
      </c>
      <c r="G3199" s="2" t="s">
        <v>22</v>
      </c>
      <c r="H3199" s="2" t="s">
        <v>23</v>
      </c>
      <c r="I3199" s="2" t="s">
        <v>23</v>
      </c>
      <c r="J3199" s="2">
        <v>2</v>
      </c>
      <c r="K3199" s="2" t="s">
        <v>48</v>
      </c>
      <c r="L3199" s="2">
        <v>492</v>
      </c>
      <c r="M3199" s="2" t="s">
        <v>269</v>
      </c>
      <c r="N3199" s="2">
        <v>4</v>
      </c>
      <c r="O3199" s="2">
        <v>26136.28</v>
      </c>
      <c r="P3199" s="2">
        <v>6534.07</v>
      </c>
    </row>
    <row r="3200" spans="1:16" outlineLevel="1" x14ac:dyDescent="0.2">
      <c r="A3200" s="5"/>
      <c r="D3200" s="3" t="s">
        <v>727</v>
      </c>
      <c r="N3200" s="2">
        <f>SUBTOTAL(9,N3199:N3199)</f>
        <v>4</v>
      </c>
      <c r="O3200" s="2">
        <f>SUBTOTAL(9,O3199:O3199)</f>
        <v>26136.28</v>
      </c>
      <c r="P3200" s="2">
        <f>+O3200/N3200</f>
        <v>6534.07</v>
      </c>
    </row>
    <row r="3201" spans="1:16" outlineLevel="2" x14ac:dyDescent="0.2">
      <c r="A3201" s="5">
        <v>46157</v>
      </c>
      <c r="B3201" s="2">
        <v>159358</v>
      </c>
      <c r="C3201" s="2">
        <v>315</v>
      </c>
      <c r="D3201" s="2" t="s">
        <v>54</v>
      </c>
      <c r="E3201" s="2" t="s">
        <v>30</v>
      </c>
      <c r="F3201" s="2" t="s">
        <v>23</v>
      </c>
      <c r="G3201" s="2" t="s">
        <v>23</v>
      </c>
      <c r="H3201" s="2" t="s">
        <v>23</v>
      </c>
      <c r="I3201" s="2" t="s">
        <v>23</v>
      </c>
      <c r="J3201" s="2">
        <v>2</v>
      </c>
      <c r="K3201" s="2" t="s">
        <v>48</v>
      </c>
      <c r="L3201" s="2">
        <v>626</v>
      </c>
      <c r="M3201" s="2" t="s">
        <v>49</v>
      </c>
      <c r="N3201" s="2">
        <v>7</v>
      </c>
      <c r="O3201" s="2">
        <v>53892.33</v>
      </c>
      <c r="P3201" s="2">
        <v>7698.9</v>
      </c>
    </row>
    <row r="3202" spans="1:16" outlineLevel="1" x14ac:dyDescent="0.2">
      <c r="A3202" s="5"/>
      <c r="D3202" s="3" t="s">
        <v>719</v>
      </c>
      <c r="N3202" s="2">
        <f>SUBTOTAL(9,N3201:N3201)</f>
        <v>7</v>
      </c>
      <c r="O3202" s="2">
        <f>SUBTOTAL(9,O3201:O3201)</f>
        <v>53892.33</v>
      </c>
      <c r="P3202" s="2">
        <f>+O3202/N3202</f>
        <v>7698.9042857142858</v>
      </c>
    </row>
    <row r="3203" spans="1:16" outlineLevel="2" x14ac:dyDescent="0.2">
      <c r="A3203" s="5">
        <v>46153</v>
      </c>
      <c r="B3203" s="2">
        <v>159359</v>
      </c>
      <c r="C3203" s="2">
        <v>1</v>
      </c>
      <c r="D3203" s="2" t="s">
        <v>131</v>
      </c>
      <c r="E3203" s="2" t="s">
        <v>132</v>
      </c>
      <c r="F3203" s="2" t="s">
        <v>40</v>
      </c>
      <c r="G3203" s="2" t="s">
        <v>22</v>
      </c>
      <c r="H3203" s="2" t="s">
        <v>23</v>
      </c>
      <c r="I3203" s="2" t="s">
        <v>23</v>
      </c>
      <c r="J3203" s="2">
        <v>1</v>
      </c>
      <c r="K3203" s="2" t="s">
        <v>24</v>
      </c>
      <c r="L3203" s="2">
        <v>2521</v>
      </c>
      <c r="M3203" s="2" t="s">
        <v>82</v>
      </c>
      <c r="N3203" s="2">
        <v>188</v>
      </c>
      <c r="O3203" s="2">
        <v>6079758.7599999998</v>
      </c>
      <c r="P3203" s="2">
        <v>32339.14</v>
      </c>
    </row>
    <row r="3204" spans="1:16" outlineLevel="1" x14ac:dyDescent="0.2">
      <c r="A3204" s="5"/>
      <c r="D3204" s="3" t="s">
        <v>713</v>
      </c>
      <c r="N3204" s="2">
        <f>SUBTOTAL(9,N3203:N3203)</f>
        <v>188</v>
      </c>
      <c r="O3204" s="2">
        <f>SUBTOTAL(9,O3203:O3203)</f>
        <v>6079758.7599999998</v>
      </c>
      <c r="P3204" s="2">
        <f>+O3204/N3204</f>
        <v>32339.142340425529</v>
      </c>
    </row>
    <row r="3205" spans="1:16" outlineLevel="2" x14ac:dyDescent="0.2">
      <c r="A3205" s="5">
        <v>46160</v>
      </c>
      <c r="B3205" s="2">
        <v>159359</v>
      </c>
      <c r="C3205" s="2">
        <v>2</v>
      </c>
      <c r="D3205" s="2" t="s">
        <v>81</v>
      </c>
      <c r="E3205" s="2" t="s">
        <v>23</v>
      </c>
      <c r="F3205" s="2" t="s">
        <v>40</v>
      </c>
      <c r="G3205" s="2" t="s">
        <v>22</v>
      </c>
      <c r="H3205" s="2" t="s">
        <v>23</v>
      </c>
      <c r="I3205" s="2" t="s">
        <v>23</v>
      </c>
      <c r="J3205" s="2">
        <v>1</v>
      </c>
      <c r="K3205" s="2" t="s">
        <v>24</v>
      </c>
      <c r="L3205" s="2">
        <v>2521</v>
      </c>
      <c r="M3205" s="2" t="s">
        <v>82</v>
      </c>
      <c r="N3205" s="2">
        <v>96</v>
      </c>
      <c r="O3205" s="2">
        <v>3899161.91</v>
      </c>
      <c r="P3205" s="2">
        <v>40616.269999999997</v>
      </c>
    </row>
    <row r="3206" spans="1:16" outlineLevel="1" x14ac:dyDescent="0.2">
      <c r="A3206" s="5"/>
      <c r="D3206" s="3" t="s">
        <v>693</v>
      </c>
      <c r="N3206" s="2">
        <f>SUBTOTAL(9,N3205:N3205)</f>
        <v>96</v>
      </c>
      <c r="O3206" s="2">
        <f>SUBTOTAL(9,O3205:O3205)</f>
        <v>3899161.91</v>
      </c>
      <c r="P3206" s="2">
        <f>+O3206/N3206</f>
        <v>40616.269895833335</v>
      </c>
    </row>
    <row r="3207" spans="1:16" outlineLevel="2" x14ac:dyDescent="0.2">
      <c r="A3207" s="5">
        <v>46153</v>
      </c>
      <c r="B3207" s="2">
        <v>159359</v>
      </c>
      <c r="C3207" s="2">
        <v>3</v>
      </c>
      <c r="D3207" s="2" t="s">
        <v>451</v>
      </c>
      <c r="E3207" s="2" t="s">
        <v>523</v>
      </c>
      <c r="F3207" s="2" t="s">
        <v>40</v>
      </c>
      <c r="G3207" s="2" t="s">
        <v>22</v>
      </c>
      <c r="H3207" s="2" t="s">
        <v>23</v>
      </c>
      <c r="I3207" s="2" t="s">
        <v>23</v>
      </c>
      <c r="J3207" s="2">
        <v>1</v>
      </c>
      <c r="K3207" s="2" t="s">
        <v>24</v>
      </c>
      <c r="L3207" s="2">
        <v>2521</v>
      </c>
      <c r="M3207" s="2" t="s">
        <v>82</v>
      </c>
      <c r="N3207" s="2">
        <v>176</v>
      </c>
      <c r="O3207" s="2">
        <v>5569884.3300000001</v>
      </c>
      <c r="P3207" s="2">
        <v>31647.07</v>
      </c>
    </row>
    <row r="3208" spans="1:16" outlineLevel="1" x14ac:dyDescent="0.2">
      <c r="A3208" s="5"/>
      <c r="D3208" s="3" t="s">
        <v>775</v>
      </c>
      <c r="N3208" s="2">
        <f>SUBTOTAL(9,N3207:N3207)</f>
        <v>176</v>
      </c>
      <c r="O3208" s="2">
        <f>SUBTOTAL(9,O3207:O3207)</f>
        <v>5569884.3300000001</v>
      </c>
      <c r="P3208" s="2">
        <f>+O3208/N3208</f>
        <v>31647.070056818182</v>
      </c>
    </row>
    <row r="3209" spans="1:16" outlineLevel="2" x14ac:dyDescent="0.2">
      <c r="A3209" s="5">
        <v>46157</v>
      </c>
      <c r="B3209" s="2">
        <v>159366</v>
      </c>
      <c r="C3209" s="2">
        <v>301</v>
      </c>
      <c r="D3209" s="2" t="s">
        <v>54</v>
      </c>
      <c r="E3209" s="2" t="s">
        <v>20</v>
      </c>
      <c r="F3209" s="2" t="s">
        <v>23</v>
      </c>
      <c r="G3209" s="2" t="s">
        <v>23</v>
      </c>
      <c r="H3209" s="2" t="s">
        <v>23</v>
      </c>
      <c r="I3209" s="2" t="s">
        <v>23</v>
      </c>
      <c r="J3209" s="2">
        <v>2</v>
      </c>
      <c r="K3209" s="2" t="s">
        <v>48</v>
      </c>
      <c r="L3209" s="2">
        <v>25095</v>
      </c>
      <c r="M3209" s="2" t="s">
        <v>216</v>
      </c>
      <c r="N3209" s="2">
        <v>44</v>
      </c>
      <c r="O3209" s="2">
        <v>207936.84</v>
      </c>
      <c r="P3209" s="2">
        <v>4725.84</v>
      </c>
    </row>
    <row r="3210" spans="1:16" outlineLevel="2" x14ac:dyDescent="0.2">
      <c r="A3210" s="5">
        <v>46155</v>
      </c>
      <c r="B3210" s="2">
        <v>159366</v>
      </c>
      <c r="C3210" s="2">
        <v>315</v>
      </c>
      <c r="D3210" s="2" t="s">
        <v>54</v>
      </c>
      <c r="E3210" s="2" t="s">
        <v>20</v>
      </c>
      <c r="F3210" s="2" t="s">
        <v>23</v>
      </c>
      <c r="G3210" s="2" t="s">
        <v>23</v>
      </c>
      <c r="H3210" s="2" t="s">
        <v>23</v>
      </c>
      <c r="I3210" s="2" t="s">
        <v>23</v>
      </c>
      <c r="J3210" s="2">
        <v>2</v>
      </c>
      <c r="K3210" s="2" t="s">
        <v>48</v>
      </c>
      <c r="L3210" s="2">
        <v>25095</v>
      </c>
      <c r="M3210" s="2" t="s">
        <v>216</v>
      </c>
      <c r="N3210" s="2">
        <v>17</v>
      </c>
      <c r="O3210" s="2">
        <v>74208.23</v>
      </c>
      <c r="P3210" s="2">
        <v>4365.1899999999996</v>
      </c>
    </row>
    <row r="3211" spans="1:16" outlineLevel="2" x14ac:dyDescent="0.2">
      <c r="A3211" s="5">
        <v>46157</v>
      </c>
      <c r="B3211" s="2">
        <v>159366</v>
      </c>
      <c r="C3211" s="2">
        <v>316</v>
      </c>
      <c r="D3211" s="2" t="s">
        <v>54</v>
      </c>
      <c r="E3211" s="2" t="s">
        <v>20</v>
      </c>
      <c r="F3211" s="2" t="s">
        <v>23</v>
      </c>
      <c r="G3211" s="2" t="s">
        <v>23</v>
      </c>
      <c r="H3211" s="2" t="s">
        <v>23</v>
      </c>
      <c r="I3211" s="2" t="s">
        <v>23</v>
      </c>
      <c r="J3211" s="2">
        <v>2</v>
      </c>
      <c r="K3211" s="2" t="s">
        <v>48</v>
      </c>
      <c r="L3211" s="2">
        <v>25095</v>
      </c>
      <c r="M3211" s="2" t="s">
        <v>216</v>
      </c>
      <c r="N3211" s="2">
        <v>9</v>
      </c>
      <c r="O3211" s="2">
        <v>45820.79</v>
      </c>
      <c r="P3211" s="2">
        <v>5091.2</v>
      </c>
    </row>
    <row r="3212" spans="1:16" outlineLevel="1" x14ac:dyDescent="0.2">
      <c r="A3212" s="5"/>
      <c r="D3212" s="3" t="s">
        <v>719</v>
      </c>
      <c r="N3212" s="2">
        <f>SUBTOTAL(9,N3209:N3211)</f>
        <v>70</v>
      </c>
      <c r="O3212" s="2">
        <f>SUBTOTAL(9,O3209:O3211)</f>
        <v>327965.86</v>
      </c>
      <c r="P3212" s="2">
        <f>+O3212/N3212</f>
        <v>4685.2265714285713</v>
      </c>
    </row>
    <row r="3213" spans="1:16" outlineLevel="2" x14ac:dyDescent="0.2">
      <c r="A3213" s="5">
        <v>46176</v>
      </c>
      <c r="B3213" s="2">
        <v>159369</v>
      </c>
      <c r="C3213" s="2">
        <v>315</v>
      </c>
      <c r="D3213" s="2" t="s">
        <v>524</v>
      </c>
      <c r="E3213" s="2" t="s">
        <v>23</v>
      </c>
      <c r="F3213" s="2" t="s">
        <v>72</v>
      </c>
      <c r="G3213" s="2" t="s">
        <v>22</v>
      </c>
      <c r="H3213" s="2" t="s">
        <v>23</v>
      </c>
      <c r="I3213" s="2" t="s">
        <v>23</v>
      </c>
      <c r="J3213" s="2">
        <v>1</v>
      </c>
      <c r="K3213" s="2" t="s">
        <v>24</v>
      </c>
      <c r="L3213" s="2">
        <v>684</v>
      </c>
      <c r="M3213" s="2" t="s">
        <v>69</v>
      </c>
      <c r="N3213" s="2">
        <v>7</v>
      </c>
      <c r="O3213" s="2">
        <v>24022.25</v>
      </c>
      <c r="P3213" s="2">
        <v>3431.75</v>
      </c>
    </row>
    <row r="3214" spans="1:16" outlineLevel="1" x14ac:dyDescent="0.2">
      <c r="A3214" s="5"/>
      <c r="D3214" s="3" t="s">
        <v>794</v>
      </c>
      <c r="N3214" s="2">
        <f>SUBTOTAL(9,N3213:N3213)</f>
        <v>7</v>
      </c>
      <c r="O3214" s="2">
        <f>SUBTOTAL(9,O3213:O3213)</f>
        <v>24022.25</v>
      </c>
      <c r="P3214" s="2">
        <f>+O3214/N3214</f>
        <v>3431.75</v>
      </c>
    </row>
    <row r="3215" spans="1:16" outlineLevel="2" x14ac:dyDescent="0.2">
      <c r="A3215" s="5">
        <v>46153</v>
      </c>
      <c r="B3215" s="2">
        <v>159370</v>
      </c>
      <c r="C3215" s="2">
        <v>1</v>
      </c>
      <c r="D3215" s="2" t="s">
        <v>150</v>
      </c>
      <c r="E3215" s="2" t="s">
        <v>151</v>
      </c>
      <c r="F3215" s="2" t="s">
        <v>40</v>
      </c>
      <c r="G3215" s="2" t="s">
        <v>22</v>
      </c>
      <c r="H3215" s="2" t="s">
        <v>23</v>
      </c>
      <c r="I3215" s="2" t="s">
        <v>466</v>
      </c>
      <c r="J3215" s="2">
        <v>1</v>
      </c>
      <c r="K3215" s="2" t="s">
        <v>24</v>
      </c>
      <c r="L3215" s="2">
        <v>634</v>
      </c>
      <c r="M3215" s="2" t="s">
        <v>153</v>
      </c>
      <c r="N3215" s="2">
        <v>84</v>
      </c>
      <c r="O3215" s="2">
        <v>2357983.8199999998</v>
      </c>
      <c r="P3215" s="2">
        <v>28071.24</v>
      </c>
    </row>
    <row r="3216" spans="1:16" outlineLevel="2" x14ac:dyDescent="0.2">
      <c r="A3216" s="5">
        <v>46155</v>
      </c>
      <c r="B3216" s="2">
        <v>159370</v>
      </c>
      <c r="C3216" s="2">
        <v>2</v>
      </c>
      <c r="D3216" s="2" t="s">
        <v>150</v>
      </c>
      <c r="E3216" s="2" t="s">
        <v>151</v>
      </c>
      <c r="F3216" s="2" t="s">
        <v>40</v>
      </c>
      <c r="G3216" s="2" t="s">
        <v>22</v>
      </c>
      <c r="H3216" s="2" t="s">
        <v>23</v>
      </c>
      <c r="I3216" s="2" t="s">
        <v>100</v>
      </c>
      <c r="J3216" s="2">
        <v>1</v>
      </c>
      <c r="K3216" s="2" t="s">
        <v>24</v>
      </c>
      <c r="L3216" s="2">
        <v>634</v>
      </c>
      <c r="M3216" s="2" t="s">
        <v>153</v>
      </c>
      <c r="N3216" s="2">
        <v>84</v>
      </c>
      <c r="O3216" s="2">
        <v>2280026.92</v>
      </c>
      <c r="P3216" s="2">
        <v>27143.18</v>
      </c>
    </row>
    <row r="3217" spans="1:16" outlineLevel="2" x14ac:dyDescent="0.2">
      <c r="A3217" s="5">
        <v>46155</v>
      </c>
      <c r="B3217" s="2">
        <v>159370</v>
      </c>
      <c r="C3217" s="2">
        <v>5</v>
      </c>
      <c r="D3217" s="2" t="s">
        <v>150</v>
      </c>
      <c r="E3217" s="2" t="s">
        <v>151</v>
      </c>
      <c r="F3217" s="2" t="s">
        <v>40</v>
      </c>
      <c r="G3217" s="2" t="s">
        <v>22</v>
      </c>
      <c r="H3217" s="2" t="s">
        <v>23</v>
      </c>
      <c r="I3217" s="2" t="s">
        <v>101</v>
      </c>
      <c r="J3217" s="2">
        <v>1</v>
      </c>
      <c r="K3217" s="2" t="s">
        <v>24</v>
      </c>
      <c r="L3217" s="2">
        <v>634</v>
      </c>
      <c r="M3217" s="2" t="s">
        <v>153</v>
      </c>
      <c r="N3217" s="2">
        <v>177</v>
      </c>
      <c r="O3217" s="2">
        <v>5128999.59</v>
      </c>
      <c r="P3217" s="2">
        <v>28977.4</v>
      </c>
    </row>
    <row r="3218" spans="1:16" outlineLevel="1" x14ac:dyDescent="0.2">
      <c r="A3218" s="5"/>
      <c r="D3218" s="3" t="s">
        <v>718</v>
      </c>
      <c r="N3218" s="2">
        <f>SUBTOTAL(9,N3215:N3217)</f>
        <v>345</v>
      </c>
      <c r="O3218" s="2">
        <f>SUBTOTAL(9,O3215:O3217)</f>
        <v>9767010.3300000001</v>
      </c>
      <c r="P3218" s="2">
        <f>+O3218/N3218</f>
        <v>28310.174869565217</v>
      </c>
    </row>
    <row r="3219" spans="1:16" outlineLevel="2" x14ac:dyDescent="0.2">
      <c r="A3219" s="5">
        <v>46153</v>
      </c>
      <c r="B3219" s="2">
        <v>159371</v>
      </c>
      <c r="C3219" s="2">
        <v>1</v>
      </c>
      <c r="D3219" s="2" t="s">
        <v>38</v>
      </c>
      <c r="E3219" s="2" t="s">
        <v>39</v>
      </c>
      <c r="F3219" s="2" t="s">
        <v>63</v>
      </c>
      <c r="G3219" s="2" t="s">
        <v>22</v>
      </c>
      <c r="H3219" s="2" t="s">
        <v>23</v>
      </c>
      <c r="I3219" s="2" t="s">
        <v>243</v>
      </c>
      <c r="J3219" s="2">
        <v>1</v>
      </c>
      <c r="K3219" s="2" t="s">
        <v>24</v>
      </c>
      <c r="L3219" s="2">
        <v>1846</v>
      </c>
      <c r="M3219" s="2" t="s">
        <v>134</v>
      </c>
      <c r="N3219" s="2">
        <v>528</v>
      </c>
      <c r="O3219" s="2">
        <v>50737786.700000003</v>
      </c>
      <c r="P3219" s="2">
        <v>96094.29</v>
      </c>
    </row>
    <row r="3220" spans="1:16" outlineLevel="2" x14ac:dyDescent="0.2">
      <c r="A3220" s="5">
        <v>46153</v>
      </c>
      <c r="B3220" s="2">
        <v>159371</v>
      </c>
      <c r="C3220" s="2">
        <v>2</v>
      </c>
      <c r="D3220" s="2" t="s">
        <v>38</v>
      </c>
      <c r="E3220" s="2" t="s">
        <v>39</v>
      </c>
      <c r="F3220" s="2" t="s">
        <v>63</v>
      </c>
      <c r="G3220" s="2" t="s">
        <v>22</v>
      </c>
      <c r="H3220" s="2" t="s">
        <v>23</v>
      </c>
      <c r="I3220" s="2" t="s">
        <v>116</v>
      </c>
      <c r="J3220" s="2">
        <v>1</v>
      </c>
      <c r="K3220" s="2" t="s">
        <v>24</v>
      </c>
      <c r="L3220" s="2">
        <v>1846</v>
      </c>
      <c r="M3220" s="2" t="s">
        <v>134</v>
      </c>
      <c r="N3220" s="2">
        <v>345</v>
      </c>
      <c r="O3220" s="2">
        <v>35128187.340000004</v>
      </c>
      <c r="P3220" s="2">
        <v>101820.83</v>
      </c>
    </row>
    <row r="3221" spans="1:16" outlineLevel="2" x14ac:dyDescent="0.2">
      <c r="A3221" s="5">
        <v>46153</v>
      </c>
      <c r="B3221" s="2">
        <v>159371</v>
      </c>
      <c r="C3221" s="2">
        <v>3</v>
      </c>
      <c r="D3221" s="2" t="s">
        <v>38</v>
      </c>
      <c r="E3221" s="2" t="s">
        <v>39</v>
      </c>
      <c r="F3221" s="2" t="s">
        <v>63</v>
      </c>
      <c r="G3221" s="2" t="s">
        <v>22</v>
      </c>
      <c r="H3221" s="2" t="s">
        <v>23</v>
      </c>
      <c r="I3221" s="2" t="s">
        <v>135</v>
      </c>
      <c r="J3221" s="2">
        <v>1</v>
      </c>
      <c r="K3221" s="2" t="s">
        <v>24</v>
      </c>
      <c r="L3221" s="2">
        <v>1846</v>
      </c>
      <c r="M3221" s="2" t="s">
        <v>134</v>
      </c>
      <c r="N3221" s="2">
        <v>264</v>
      </c>
      <c r="O3221" s="2">
        <v>27279366.710000001</v>
      </c>
      <c r="P3221" s="2">
        <v>103330.93</v>
      </c>
    </row>
    <row r="3222" spans="1:16" outlineLevel="2" x14ac:dyDescent="0.2">
      <c r="A3222" s="5">
        <v>46153</v>
      </c>
      <c r="B3222" s="2">
        <v>159371</v>
      </c>
      <c r="C3222" s="2">
        <v>4</v>
      </c>
      <c r="D3222" s="2" t="s">
        <v>38</v>
      </c>
      <c r="E3222" s="2" t="s">
        <v>39</v>
      </c>
      <c r="F3222" s="2" t="s">
        <v>63</v>
      </c>
      <c r="G3222" s="2" t="s">
        <v>22</v>
      </c>
      <c r="H3222" s="2" t="s">
        <v>23</v>
      </c>
      <c r="I3222" s="2" t="s">
        <v>133</v>
      </c>
      <c r="J3222" s="2">
        <v>1</v>
      </c>
      <c r="K3222" s="2" t="s">
        <v>24</v>
      </c>
      <c r="L3222" s="2">
        <v>1846</v>
      </c>
      <c r="M3222" s="2" t="s">
        <v>134</v>
      </c>
      <c r="N3222" s="2">
        <v>176</v>
      </c>
      <c r="O3222" s="2">
        <v>13777331.85</v>
      </c>
      <c r="P3222" s="2">
        <v>78280.289999999994</v>
      </c>
    </row>
    <row r="3223" spans="1:16" outlineLevel="1" x14ac:dyDescent="0.2">
      <c r="A3223" s="5"/>
      <c r="D3223" s="3" t="s">
        <v>721</v>
      </c>
      <c r="N3223" s="2">
        <f>SUBTOTAL(9,N3219:N3222)</f>
        <v>1313</v>
      </c>
      <c r="O3223" s="2">
        <f>SUBTOTAL(9,O3219:O3222)</f>
        <v>126922672.59999999</v>
      </c>
      <c r="P3223" s="2">
        <f>+O3223/N3223</f>
        <v>96666.163442498088</v>
      </c>
    </row>
    <row r="3224" spans="1:16" outlineLevel="2" x14ac:dyDescent="0.2">
      <c r="A3224" s="5">
        <v>46160</v>
      </c>
      <c r="B3224" s="2">
        <v>159376</v>
      </c>
      <c r="C3224" s="2">
        <v>1</v>
      </c>
      <c r="D3224" s="2" t="s">
        <v>33</v>
      </c>
      <c r="E3224" s="2" t="s">
        <v>34</v>
      </c>
      <c r="F3224" s="2" t="s">
        <v>47</v>
      </c>
      <c r="G3224" s="2" t="s">
        <v>22</v>
      </c>
      <c r="H3224" s="2" t="s">
        <v>23</v>
      </c>
      <c r="I3224" s="2" t="s">
        <v>355</v>
      </c>
      <c r="J3224" s="2">
        <v>1</v>
      </c>
      <c r="K3224" s="2" t="s">
        <v>24</v>
      </c>
      <c r="L3224" s="2">
        <v>2520</v>
      </c>
      <c r="M3224" s="2" t="s">
        <v>37</v>
      </c>
      <c r="N3224" s="2">
        <v>358</v>
      </c>
      <c r="O3224" s="2">
        <v>7667926.0300000003</v>
      </c>
      <c r="P3224" s="2">
        <v>21418.79</v>
      </c>
    </row>
    <row r="3225" spans="1:16" outlineLevel="2" x14ac:dyDescent="0.2">
      <c r="A3225" s="5">
        <v>46163</v>
      </c>
      <c r="B3225" s="2">
        <v>159376</v>
      </c>
      <c r="C3225" s="2">
        <v>2</v>
      </c>
      <c r="D3225" s="2" t="s">
        <v>33</v>
      </c>
      <c r="E3225" s="2" t="s">
        <v>34</v>
      </c>
      <c r="F3225" s="2" t="s">
        <v>35</v>
      </c>
      <c r="G3225" s="2" t="s">
        <v>22</v>
      </c>
      <c r="H3225" s="2" t="s">
        <v>23</v>
      </c>
      <c r="I3225" s="2" t="s">
        <v>154</v>
      </c>
      <c r="J3225" s="2">
        <v>1</v>
      </c>
      <c r="K3225" s="2" t="s">
        <v>24</v>
      </c>
      <c r="L3225" s="2">
        <v>2520</v>
      </c>
      <c r="M3225" s="2" t="s">
        <v>37</v>
      </c>
      <c r="N3225" s="2">
        <v>15</v>
      </c>
      <c r="O3225" s="2">
        <v>204560.34</v>
      </c>
      <c r="P3225" s="2">
        <v>13637.36</v>
      </c>
    </row>
    <row r="3226" spans="1:16" outlineLevel="2" x14ac:dyDescent="0.2">
      <c r="A3226" s="5">
        <v>46168</v>
      </c>
      <c r="B3226" s="2">
        <v>159376</v>
      </c>
      <c r="C3226" s="2">
        <v>301</v>
      </c>
      <c r="D3226" s="2" t="s">
        <v>33</v>
      </c>
      <c r="E3226" s="2" t="s">
        <v>34</v>
      </c>
      <c r="F3226" s="2" t="s">
        <v>47</v>
      </c>
      <c r="G3226" s="2" t="s">
        <v>22</v>
      </c>
      <c r="H3226" s="2" t="s">
        <v>23</v>
      </c>
      <c r="I3226" s="2" t="s">
        <v>79</v>
      </c>
      <c r="J3226" s="2">
        <v>1</v>
      </c>
      <c r="K3226" s="2" t="s">
        <v>24</v>
      </c>
      <c r="L3226" s="2">
        <v>2520</v>
      </c>
      <c r="M3226" s="2" t="s">
        <v>37</v>
      </c>
      <c r="N3226" s="2">
        <v>52</v>
      </c>
      <c r="O3226" s="2">
        <v>624635.02</v>
      </c>
      <c r="P3226" s="2">
        <v>12012.21</v>
      </c>
    </row>
    <row r="3227" spans="1:16" outlineLevel="1" x14ac:dyDescent="0.2">
      <c r="A3227" s="5"/>
      <c r="D3227" s="3" t="s">
        <v>705</v>
      </c>
      <c r="N3227" s="2">
        <f>SUBTOTAL(9,N3224:N3226)</f>
        <v>425</v>
      </c>
      <c r="O3227" s="2">
        <f>SUBTOTAL(9,O3224:O3226)</f>
        <v>8497121.3900000006</v>
      </c>
      <c r="P3227" s="2">
        <f>+O3227/N3227</f>
        <v>19993.2268</v>
      </c>
    </row>
    <row r="3228" spans="1:16" outlineLevel="2" x14ac:dyDescent="0.2">
      <c r="A3228" s="5">
        <v>46153</v>
      </c>
      <c r="B3228" s="2">
        <v>159378</v>
      </c>
      <c r="C3228" s="2">
        <v>5</v>
      </c>
      <c r="D3228" s="2" t="s">
        <v>45</v>
      </c>
      <c r="E3228" s="2" t="s">
        <v>125</v>
      </c>
      <c r="F3228" s="2" t="s">
        <v>289</v>
      </c>
      <c r="G3228" s="2" t="s">
        <v>22</v>
      </c>
      <c r="H3228" s="2" t="s">
        <v>23</v>
      </c>
      <c r="I3228" s="2" t="s">
        <v>23</v>
      </c>
      <c r="J3228" s="2">
        <v>2</v>
      </c>
      <c r="K3228" s="2" t="s">
        <v>48</v>
      </c>
      <c r="L3228" s="2">
        <v>106</v>
      </c>
      <c r="M3228" s="2" t="s">
        <v>486</v>
      </c>
      <c r="N3228" s="2">
        <v>112</v>
      </c>
      <c r="O3228" s="2">
        <v>4501755.49</v>
      </c>
      <c r="P3228" s="2">
        <v>40194.25</v>
      </c>
    </row>
    <row r="3229" spans="1:16" outlineLevel="1" x14ac:dyDescent="0.2">
      <c r="A3229" s="5"/>
      <c r="D3229" s="3" t="s">
        <v>733</v>
      </c>
      <c r="N3229" s="2">
        <f>SUBTOTAL(9,N3228:N3228)</f>
        <v>112</v>
      </c>
      <c r="O3229" s="2">
        <f>SUBTOTAL(9,O3228:O3228)</f>
        <v>4501755.49</v>
      </c>
      <c r="P3229" s="2">
        <f>+O3229/N3229</f>
        <v>40194.245446428577</v>
      </c>
    </row>
    <row r="3230" spans="1:16" outlineLevel="2" x14ac:dyDescent="0.2">
      <c r="A3230" s="5">
        <v>46153</v>
      </c>
      <c r="B3230" s="2">
        <v>159378</v>
      </c>
      <c r="C3230" s="2">
        <v>7</v>
      </c>
      <c r="D3230" s="2" t="s">
        <v>226</v>
      </c>
      <c r="E3230" s="2" t="s">
        <v>23</v>
      </c>
      <c r="F3230" s="2" t="s">
        <v>289</v>
      </c>
      <c r="G3230" s="2" t="s">
        <v>22</v>
      </c>
      <c r="H3230" s="2" t="s">
        <v>23</v>
      </c>
      <c r="I3230" s="2" t="s">
        <v>23</v>
      </c>
      <c r="J3230" s="2">
        <v>2</v>
      </c>
      <c r="K3230" s="2" t="s">
        <v>48</v>
      </c>
      <c r="L3230" s="2">
        <v>106</v>
      </c>
      <c r="M3230" s="2" t="s">
        <v>486</v>
      </c>
      <c r="N3230" s="2">
        <v>24</v>
      </c>
      <c r="O3230" s="2">
        <v>295186.08</v>
      </c>
      <c r="P3230" s="2">
        <v>12299.42</v>
      </c>
    </row>
    <row r="3231" spans="1:16" outlineLevel="1" x14ac:dyDescent="0.2">
      <c r="A3231" s="5"/>
      <c r="D3231" s="3" t="s">
        <v>736</v>
      </c>
      <c r="N3231" s="2">
        <f>SUBTOTAL(9,N3230:N3230)</f>
        <v>24</v>
      </c>
      <c r="O3231" s="2">
        <f>SUBTOTAL(9,O3230:O3230)</f>
        <v>295186.08</v>
      </c>
      <c r="P3231" s="2">
        <f>+O3231/N3231</f>
        <v>12299.42</v>
      </c>
    </row>
    <row r="3232" spans="1:16" outlineLevel="2" x14ac:dyDescent="0.2">
      <c r="A3232" s="5">
        <v>46162</v>
      </c>
      <c r="B3232" s="2">
        <v>159378</v>
      </c>
      <c r="C3232" s="2">
        <v>315</v>
      </c>
      <c r="D3232" s="2" t="s">
        <v>45</v>
      </c>
      <c r="E3232" s="2" t="s">
        <v>125</v>
      </c>
      <c r="F3232" s="2" t="s">
        <v>289</v>
      </c>
      <c r="G3232" s="2" t="s">
        <v>22</v>
      </c>
      <c r="H3232" s="2" t="s">
        <v>23</v>
      </c>
      <c r="I3232" s="2" t="s">
        <v>23</v>
      </c>
      <c r="J3232" s="2">
        <v>2</v>
      </c>
      <c r="K3232" s="2" t="s">
        <v>48</v>
      </c>
      <c r="L3232" s="2">
        <v>106</v>
      </c>
      <c r="M3232" s="2" t="s">
        <v>486</v>
      </c>
      <c r="N3232" s="2">
        <v>41</v>
      </c>
      <c r="O3232" s="2">
        <v>278850.84999999998</v>
      </c>
      <c r="P3232" s="2">
        <v>6801.24</v>
      </c>
    </row>
    <row r="3233" spans="1:16" outlineLevel="2" x14ac:dyDescent="0.2">
      <c r="A3233" s="5">
        <v>46153</v>
      </c>
      <c r="B3233" s="2">
        <v>159379</v>
      </c>
      <c r="C3233" s="2">
        <v>8</v>
      </c>
      <c r="D3233" s="2" t="s">
        <v>45</v>
      </c>
      <c r="E3233" s="2" t="s">
        <v>228</v>
      </c>
      <c r="F3233" s="2" t="s">
        <v>289</v>
      </c>
      <c r="G3233" s="2" t="s">
        <v>22</v>
      </c>
      <c r="H3233" s="2" t="s">
        <v>23</v>
      </c>
      <c r="I3233" s="2" t="s">
        <v>23</v>
      </c>
      <c r="J3233" s="2">
        <v>41</v>
      </c>
      <c r="K3233" s="2" t="s">
        <v>129</v>
      </c>
      <c r="L3233" s="2">
        <v>801</v>
      </c>
      <c r="M3233" s="2" t="s">
        <v>56</v>
      </c>
      <c r="N3233" s="2">
        <v>40</v>
      </c>
      <c r="O3233" s="2">
        <v>879354.4</v>
      </c>
      <c r="P3233" s="2">
        <v>21983.86</v>
      </c>
    </row>
    <row r="3234" spans="1:16" outlineLevel="1" x14ac:dyDescent="0.2">
      <c r="A3234" s="5"/>
      <c r="D3234" s="3" t="s">
        <v>733</v>
      </c>
      <c r="N3234" s="2">
        <f>SUBTOTAL(9,N3232:N3233)</f>
        <v>81</v>
      </c>
      <c r="O3234" s="2">
        <f>SUBTOTAL(9,O3232:O3233)</f>
        <v>1158205.25</v>
      </c>
      <c r="P3234" s="2">
        <f>+O3234/N3234</f>
        <v>14298.83024691358</v>
      </c>
    </row>
    <row r="3235" spans="1:16" outlineLevel="2" x14ac:dyDescent="0.2">
      <c r="A3235" s="5">
        <v>46153</v>
      </c>
      <c r="B3235" s="2">
        <v>159379</v>
      </c>
      <c r="C3235" s="2">
        <v>10</v>
      </c>
      <c r="D3235" s="2" t="s">
        <v>226</v>
      </c>
      <c r="E3235" s="2" t="s">
        <v>519</v>
      </c>
      <c r="F3235" s="2" t="s">
        <v>289</v>
      </c>
      <c r="G3235" s="2" t="s">
        <v>22</v>
      </c>
      <c r="H3235" s="2" t="s">
        <v>23</v>
      </c>
      <c r="I3235" s="2" t="s">
        <v>23</v>
      </c>
      <c r="J3235" s="2">
        <v>41</v>
      </c>
      <c r="K3235" s="2" t="s">
        <v>129</v>
      </c>
      <c r="L3235" s="2">
        <v>801</v>
      </c>
      <c r="M3235" s="2" t="s">
        <v>56</v>
      </c>
      <c r="N3235" s="2">
        <v>16</v>
      </c>
      <c r="O3235" s="2">
        <v>271465.88</v>
      </c>
      <c r="P3235" s="2">
        <v>16966.62</v>
      </c>
    </row>
    <row r="3236" spans="1:16" outlineLevel="2" x14ac:dyDescent="0.2">
      <c r="A3236" s="5">
        <v>46153</v>
      </c>
      <c r="B3236" s="2">
        <v>159379</v>
      </c>
      <c r="C3236" s="2">
        <v>13</v>
      </c>
      <c r="D3236" s="2" t="s">
        <v>226</v>
      </c>
      <c r="E3236" s="2" t="s">
        <v>151</v>
      </c>
      <c r="F3236" s="2" t="s">
        <v>289</v>
      </c>
      <c r="G3236" s="2" t="s">
        <v>22</v>
      </c>
      <c r="H3236" s="2" t="s">
        <v>23</v>
      </c>
      <c r="I3236" s="2" t="s">
        <v>23</v>
      </c>
      <c r="J3236" s="2">
        <v>2</v>
      </c>
      <c r="K3236" s="2" t="s">
        <v>48</v>
      </c>
      <c r="L3236" s="2">
        <v>801</v>
      </c>
      <c r="M3236" s="2" t="s">
        <v>56</v>
      </c>
      <c r="N3236" s="2">
        <v>16</v>
      </c>
      <c r="O3236" s="2">
        <v>239728.95</v>
      </c>
      <c r="P3236" s="2">
        <v>14983.06</v>
      </c>
    </row>
    <row r="3237" spans="1:16" outlineLevel="1" x14ac:dyDescent="0.2">
      <c r="A3237" s="5"/>
      <c r="D3237" s="3" t="s">
        <v>736</v>
      </c>
      <c r="N3237" s="2">
        <f>SUBTOTAL(9,N3235:N3236)</f>
        <v>32</v>
      </c>
      <c r="O3237" s="2">
        <f>SUBTOTAL(9,O3235:O3236)</f>
        <v>511194.83</v>
      </c>
      <c r="P3237" s="2">
        <f>+O3237/N3237</f>
        <v>15974.838437500001</v>
      </c>
    </row>
    <row r="3238" spans="1:16" outlineLevel="2" x14ac:dyDescent="0.2">
      <c r="A3238" s="5">
        <v>46155</v>
      </c>
      <c r="B3238" s="2">
        <v>159379</v>
      </c>
      <c r="C3238" s="2">
        <v>308</v>
      </c>
      <c r="D3238" s="2" t="s">
        <v>54</v>
      </c>
      <c r="E3238" s="2" t="s">
        <v>30</v>
      </c>
      <c r="F3238" s="2" t="s">
        <v>23</v>
      </c>
      <c r="G3238" s="2" t="s">
        <v>23</v>
      </c>
      <c r="H3238" s="2" t="s">
        <v>23</v>
      </c>
      <c r="I3238" s="2" t="s">
        <v>23</v>
      </c>
      <c r="J3238" s="2">
        <v>2</v>
      </c>
      <c r="K3238" s="2" t="s">
        <v>48</v>
      </c>
      <c r="L3238" s="2">
        <v>801</v>
      </c>
      <c r="M3238" s="2" t="s">
        <v>56</v>
      </c>
      <c r="N3238" s="2">
        <v>8</v>
      </c>
      <c r="O3238" s="2">
        <v>49856.56</v>
      </c>
      <c r="P3238" s="2">
        <v>6232.07</v>
      </c>
    </row>
    <row r="3239" spans="1:16" outlineLevel="1" x14ac:dyDescent="0.2">
      <c r="A3239" s="5"/>
      <c r="D3239" s="3" t="s">
        <v>719</v>
      </c>
      <c r="N3239" s="2">
        <f>SUBTOTAL(9,N3238:N3238)</f>
        <v>8</v>
      </c>
      <c r="O3239" s="2">
        <f>SUBTOTAL(9,O3238:O3238)</f>
        <v>49856.56</v>
      </c>
      <c r="P3239" s="2">
        <f>+O3239/N3239</f>
        <v>6232.07</v>
      </c>
    </row>
    <row r="3240" spans="1:16" outlineLevel="2" x14ac:dyDescent="0.2">
      <c r="A3240" s="5">
        <v>46155</v>
      </c>
      <c r="B3240" s="2">
        <v>159379</v>
      </c>
      <c r="C3240" s="2">
        <v>309</v>
      </c>
      <c r="D3240" s="2" t="s">
        <v>45</v>
      </c>
      <c r="E3240" s="2" t="s">
        <v>228</v>
      </c>
      <c r="F3240" s="2" t="s">
        <v>47</v>
      </c>
      <c r="G3240" s="2" t="s">
        <v>22</v>
      </c>
      <c r="H3240" s="2" t="s">
        <v>23</v>
      </c>
      <c r="I3240" s="2" t="s">
        <v>23</v>
      </c>
      <c r="J3240" s="2">
        <v>41</v>
      </c>
      <c r="K3240" s="2" t="s">
        <v>129</v>
      </c>
      <c r="L3240" s="2">
        <v>1964</v>
      </c>
      <c r="M3240" s="2" t="s">
        <v>49</v>
      </c>
      <c r="N3240" s="2">
        <v>18</v>
      </c>
      <c r="O3240" s="2">
        <v>304465.74</v>
      </c>
      <c r="P3240" s="2">
        <v>16914.759999999998</v>
      </c>
    </row>
    <row r="3241" spans="1:16" outlineLevel="1" x14ac:dyDescent="0.2">
      <c r="A3241" s="5"/>
      <c r="D3241" s="3" t="s">
        <v>733</v>
      </c>
      <c r="N3241" s="2">
        <f>SUBTOTAL(9,N3240:N3240)</f>
        <v>18</v>
      </c>
      <c r="O3241" s="2">
        <f>SUBTOTAL(9,O3240:O3240)</f>
        <v>304465.74</v>
      </c>
      <c r="P3241" s="2">
        <f>+O3241/N3241</f>
        <v>16914.763333333332</v>
      </c>
    </row>
    <row r="3242" spans="1:16" outlineLevel="2" x14ac:dyDescent="0.2">
      <c r="A3242" s="5">
        <v>46183</v>
      </c>
      <c r="B3242" s="2">
        <v>159380</v>
      </c>
      <c r="C3242" s="2">
        <v>2</v>
      </c>
      <c r="D3242" s="2" t="s">
        <v>57</v>
      </c>
      <c r="E3242" s="2" t="s">
        <v>259</v>
      </c>
      <c r="F3242" s="2" t="s">
        <v>23</v>
      </c>
      <c r="G3242" s="2" t="s">
        <v>22</v>
      </c>
      <c r="H3242" s="2" t="s">
        <v>23</v>
      </c>
      <c r="I3242" s="2" t="s">
        <v>23</v>
      </c>
      <c r="J3242" s="2">
        <v>1</v>
      </c>
      <c r="K3242" s="2" t="s">
        <v>24</v>
      </c>
      <c r="L3242" s="2">
        <v>226</v>
      </c>
      <c r="M3242" s="2" t="s">
        <v>59</v>
      </c>
      <c r="N3242" s="2">
        <v>42</v>
      </c>
      <c r="O3242" s="2">
        <v>1212289.8999999999</v>
      </c>
      <c r="P3242" s="2">
        <v>28864.05</v>
      </c>
    </row>
    <row r="3243" spans="1:16" outlineLevel="1" x14ac:dyDescent="0.2">
      <c r="A3243" s="5"/>
      <c r="D3243" s="3" t="s">
        <v>716</v>
      </c>
      <c r="N3243" s="2">
        <f>SUBTOTAL(9,N3242:N3242)</f>
        <v>42</v>
      </c>
      <c r="O3243" s="2">
        <f>SUBTOTAL(9,O3242:O3242)</f>
        <v>1212289.8999999999</v>
      </c>
      <c r="P3243" s="2">
        <f>+O3243/N3243</f>
        <v>28864.045238095237</v>
      </c>
    </row>
    <row r="3244" spans="1:16" outlineLevel="2" x14ac:dyDescent="0.2">
      <c r="A3244" s="5">
        <v>46176</v>
      </c>
      <c r="B3244" s="2">
        <v>159382</v>
      </c>
      <c r="C3244" s="2">
        <v>315</v>
      </c>
      <c r="D3244" s="2" t="s">
        <v>524</v>
      </c>
      <c r="E3244" s="2" t="s">
        <v>23</v>
      </c>
      <c r="F3244" s="2" t="s">
        <v>72</v>
      </c>
      <c r="G3244" s="2" t="s">
        <v>22</v>
      </c>
      <c r="H3244" s="2" t="s">
        <v>23</v>
      </c>
      <c r="I3244" s="2" t="s">
        <v>23</v>
      </c>
      <c r="J3244" s="2">
        <v>1</v>
      </c>
      <c r="K3244" s="2" t="s">
        <v>24</v>
      </c>
      <c r="L3244" s="2">
        <v>600</v>
      </c>
      <c r="M3244" s="2" t="s">
        <v>112</v>
      </c>
      <c r="N3244" s="2">
        <v>22</v>
      </c>
      <c r="O3244" s="2">
        <v>66460.45</v>
      </c>
      <c r="P3244" s="2">
        <v>3020.93</v>
      </c>
    </row>
    <row r="3245" spans="1:16" outlineLevel="1" x14ac:dyDescent="0.2">
      <c r="A3245" s="5"/>
      <c r="D3245" s="3" t="s">
        <v>794</v>
      </c>
      <c r="N3245" s="2">
        <f>SUBTOTAL(9,N3244:N3244)</f>
        <v>22</v>
      </c>
      <c r="O3245" s="2">
        <f>SUBTOTAL(9,O3244:O3244)</f>
        <v>66460.45</v>
      </c>
      <c r="P3245" s="2">
        <f>+O3245/N3245</f>
        <v>3020.9295454545454</v>
      </c>
    </row>
    <row r="3246" spans="1:16" outlineLevel="2" x14ac:dyDescent="0.2">
      <c r="A3246" s="5">
        <v>46199</v>
      </c>
      <c r="B3246" s="2">
        <v>159390</v>
      </c>
      <c r="C3246" s="2">
        <v>1</v>
      </c>
      <c r="D3246" s="2" t="s">
        <v>119</v>
      </c>
      <c r="E3246" s="2" t="s">
        <v>525</v>
      </c>
      <c r="F3246" s="2" t="s">
        <v>23</v>
      </c>
      <c r="G3246" s="2" t="s">
        <v>22</v>
      </c>
      <c r="H3246" s="2" t="s">
        <v>23</v>
      </c>
      <c r="I3246" s="2" t="s">
        <v>23</v>
      </c>
      <c r="J3246" s="2">
        <v>1</v>
      </c>
      <c r="K3246" s="2" t="s">
        <v>24</v>
      </c>
      <c r="L3246" s="2">
        <v>2090</v>
      </c>
      <c r="M3246" s="2" t="s">
        <v>526</v>
      </c>
      <c r="N3246" s="2">
        <v>3</v>
      </c>
      <c r="O3246" s="2">
        <v>70007.94</v>
      </c>
      <c r="P3246" s="2">
        <v>23335.98</v>
      </c>
    </row>
    <row r="3247" spans="1:16" outlineLevel="1" x14ac:dyDescent="0.2">
      <c r="A3247" s="5"/>
      <c r="D3247" s="3" t="s">
        <v>708</v>
      </c>
      <c r="N3247" s="2">
        <f>SUBTOTAL(9,N3246:N3246)</f>
        <v>3</v>
      </c>
      <c r="O3247" s="2">
        <f>SUBTOTAL(9,O3246:O3246)</f>
        <v>70007.94</v>
      </c>
      <c r="P3247" s="2">
        <f>+O3247/N3247</f>
        <v>23335.98</v>
      </c>
    </row>
    <row r="3248" spans="1:16" outlineLevel="2" x14ac:dyDescent="0.2">
      <c r="A3248" s="5">
        <v>46157</v>
      </c>
      <c r="B3248" s="2">
        <v>159417</v>
      </c>
      <c r="C3248" s="2">
        <v>1</v>
      </c>
      <c r="D3248" s="2" t="s">
        <v>19</v>
      </c>
      <c r="E3248" s="2" t="s">
        <v>20</v>
      </c>
      <c r="F3248" s="2" t="s">
        <v>21</v>
      </c>
      <c r="G3248" s="2" t="s">
        <v>22</v>
      </c>
      <c r="H3248" s="2" t="s">
        <v>23</v>
      </c>
      <c r="I3248" s="2" t="s">
        <v>23</v>
      </c>
      <c r="J3248" s="2">
        <v>1</v>
      </c>
      <c r="K3248" s="2" t="s">
        <v>24</v>
      </c>
      <c r="L3248" s="2">
        <v>25205</v>
      </c>
      <c r="M3248" s="2" t="s">
        <v>171</v>
      </c>
      <c r="N3248" s="2">
        <v>249</v>
      </c>
      <c r="O3248" s="2">
        <v>17407026.199999999</v>
      </c>
      <c r="P3248" s="2">
        <v>69907.740000000005</v>
      </c>
    </row>
    <row r="3249" spans="1:16" outlineLevel="1" x14ac:dyDescent="0.2">
      <c r="A3249" s="5"/>
      <c r="D3249" s="3" t="s">
        <v>704</v>
      </c>
      <c r="N3249" s="2">
        <f>SUBTOTAL(9,N3248:N3248)</f>
        <v>249</v>
      </c>
      <c r="O3249" s="2">
        <f>SUBTOTAL(9,O3248:O3248)</f>
        <v>17407026.199999999</v>
      </c>
      <c r="P3249" s="2">
        <f>+O3249/N3249</f>
        <v>69907.735742971883</v>
      </c>
    </row>
    <row r="3250" spans="1:16" outlineLevel="2" x14ac:dyDescent="0.2">
      <c r="A3250" s="5">
        <v>46171</v>
      </c>
      <c r="B3250" s="2">
        <v>159418</v>
      </c>
      <c r="C3250" s="2">
        <v>5</v>
      </c>
      <c r="D3250" s="2" t="s">
        <v>197</v>
      </c>
      <c r="E3250" s="2" t="s">
        <v>111</v>
      </c>
      <c r="F3250" s="2" t="s">
        <v>63</v>
      </c>
      <c r="G3250" s="2" t="s">
        <v>22</v>
      </c>
      <c r="H3250" s="2" t="s">
        <v>23</v>
      </c>
      <c r="I3250" s="2" t="s">
        <v>23</v>
      </c>
      <c r="J3250" s="2">
        <v>40</v>
      </c>
      <c r="K3250" s="2" t="s">
        <v>43</v>
      </c>
      <c r="L3250" s="2">
        <v>2582</v>
      </c>
      <c r="M3250" s="2" t="s">
        <v>400</v>
      </c>
      <c r="N3250" s="2">
        <v>19</v>
      </c>
      <c r="O3250" s="2">
        <v>693407.79</v>
      </c>
      <c r="P3250" s="2">
        <v>36495.15</v>
      </c>
    </row>
    <row r="3251" spans="1:16" outlineLevel="1" x14ac:dyDescent="0.2">
      <c r="A3251" s="5"/>
      <c r="D3251" s="3" t="s">
        <v>734</v>
      </c>
      <c r="N3251" s="2">
        <f>SUBTOTAL(9,N3250:N3250)</f>
        <v>19</v>
      </c>
      <c r="O3251" s="2">
        <f>SUBTOTAL(9,O3250:O3250)</f>
        <v>693407.79</v>
      </c>
      <c r="P3251" s="2">
        <f>+O3251/N3251</f>
        <v>36495.146842105263</v>
      </c>
    </row>
    <row r="3252" spans="1:16" outlineLevel="2" x14ac:dyDescent="0.2">
      <c r="A3252" s="5">
        <v>46157</v>
      </c>
      <c r="B3252" s="2">
        <v>159420</v>
      </c>
      <c r="C3252" s="2">
        <v>5</v>
      </c>
      <c r="D3252" s="2" t="s">
        <v>45</v>
      </c>
      <c r="E3252" s="2" t="s">
        <v>125</v>
      </c>
      <c r="F3252" s="2" t="s">
        <v>289</v>
      </c>
      <c r="G3252" s="2" t="s">
        <v>22</v>
      </c>
      <c r="H3252" s="2" t="s">
        <v>23</v>
      </c>
      <c r="I3252" s="2" t="s">
        <v>23</v>
      </c>
      <c r="J3252" s="2">
        <v>2</v>
      </c>
      <c r="K3252" s="2" t="s">
        <v>48</v>
      </c>
      <c r="L3252" s="2">
        <v>106</v>
      </c>
      <c r="M3252" s="2" t="s">
        <v>486</v>
      </c>
      <c r="N3252" s="2">
        <v>56</v>
      </c>
      <c r="O3252" s="2">
        <v>2299258.0699999998</v>
      </c>
      <c r="P3252" s="2">
        <v>41058.18</v>
      </c>
    </row>
    <row r="3253" spans="1:16" outlineLevel="2" x14ac:dyDescent="0.2">
      <c r="A3253" s="5">
        <v>46157</v>
      </c>
      <c r="B3253" s="2">
        <v>159420</v>
      </c>
      <c r="C3253" s="2">
        <v>6</v>
      </c>
      <c r="D3253" s="2" t="s">
        <v>45</v>
      </c>
      <c r="E3253" s="2" t="s">
        <v>125</v>
      </c>
      <c r="F3253" s="2" t="s">
        <v>289</v>
      </c>
      <c r="G3253" s="2" t="s">
        <v>22</v>
      </c>
      <c r="H3253" s="2" t="s">
        <v>23</v>
      </c>
      <c r="I3253" s="2" t="s">
        <v>23</v>
      </c>
      <c r="J3253" s="2">
        <v>2</v>
      </c>
      <c r="K3253" s="2" t="s">
        <v>48</v>
      </c>
      <c r="L3253" s="2">
        <v>106</v>
      </c>
      <c r="M3253" s="2" t="s">
        <v>486</v>
      </c>
      <c r="N3253" s="2">
        <v>56</v>
      </c>
      <c r="O3253" s="2">
        <v>2288048</v>
      </c>
      <c r="P3253" s="2">
        <v>40858</v>
      </c>
    </row>
    <row r="3254" spans="1:16" outlineLevel="2" x14ac:dyDescent="0.2">
      <c r="A3254" s="5">
        <v>46157</v>
      </c>
      <c r="B3254" s="2">
        <v>159420</v>
      </c>
      <c r="C3254" s="2">
        <v>7</v>
      </c>
      <c r="D3254" s="2" t="s">
        <v>45</v>
      </c>
      <c r="E3254" s="2" t="s">
        <v>125</v>
      </c>
      <c r="F3254" s="2" t="s">
        <v>289</v>
      </c>
      <c r="G3254" s="2" t="s">
        <v>527</v>
      </c>
      <c r="H3254" s="2" t="s">
        <v>23</v>
      </c>
      <c r="I3254" s="2" t="s">
        <v>23</v>
      </c>
      <c r="J3254" s="2">
        <v>2</v>
      </c>
      <c r="K3254" s="2" t="s">
        <v>48</v>
      </c>
      <c r="L3254" s="2">
        <v>106</v>
      </c>
      <c r="M3254" s="2" t="s">
        <v>486</v>
      </c>
      <c r="N3254" s="2">
        <v>112</v>
      </c>
      <c r="O3254" s="2">
        <v>1646365.66</v>
      </c>
      <c r="P3254" s="2">
        <v>14699.69</v>
      </c>
    </row>
    <row r="3255" spans="1:16" outlineLevel="1" x14ac:dyDescent="0.2">
      <c r="A3255" s="5"/>
      <c r="D3255" s="3" t="s">
        <v>733</v>
      </c>
      <c r="N3255" s="2">
        <f>SUBTOTAL(9,N3252:N3254)</f>
        <v>224</v>
      </c>
      <c r="O3255" s="2">
        <f>SUBTOTAL(9,O3252:O3254)</f>
        <v>6233671.7300000004</v>
      </c>
      <c r="P3255" s="2">
        <f>+O3255/N3255</f>
        <v>27828.891651785718</v>
      </c>
    </row>
    <row r="3256" spans="1:16" outlineLevel="2" x14ac:dyDescent="0.2">
      <c r="A3256" s="5">
        <v>46185</v>
      </c>
      <c r="B3256" s="2">
        <v>159421</v>
      </c>
      <c r="C3256" s="2">
        <v>3</v>
      </c>
      <c r="D3256" s="2" t="s">
        <v>57</v>
      </c>
      <c r="E3256" s="2" t="s">
        <v>528</v>
      </c>
      <c r="F3256" s="2" t="s">
        <v>23</v>
      </c>
      <c r="G3256" s="2" t="s">
        <v>22</v>
      </c>
      <c r="H3256" s="2" t="s">
        <v>23</v>
      </c>
      <c r="I3256" s="2" t="s">
        <v>23</v>
      </c>
      <c r="J3256" s="2">
        <v>1</v>
      </c>
      <c r="K3256" s="2" t="s">
        <v>24</v>
      </c>
      <c r="L3256" s="2">
        <v>226</v>
      </c>
      <c r="M3256" s="2" t="s">
        <v>59</v>
      </c>
      <c r="N3256" s="2">
        <v>3</v>
      </c>
      <c r="O3256" s="2">
        <v>21496.53</v>
      </c>
      <c r="P3256" s="2">
        <v>7165.51</v>
      </c>
    </row>
    <row r="3257" spans="1:16" outlineLevel="1" x14ac:dyDescent="0.2">
      <c r="A3257" s="5"/>
      <c r="D3257" s="3" t="s">
        <v>716</v>
      </c>
      <c r="N3257" s="2">
        <f>SUBTOTAL(9,N3256:N3256)</f>
        <v>3</v>
      </c>
      <c r="O3257" s="2">
        <f>SUBTOTAL(9,O3256:O3256)</f>
        <v>21496.53</v>
      </c>
      <c r="P3257" s="2">
        <f>+O3257/N3257</f>
        <v>7165.5099999999993</v>
      </c>
    </row>
    <row r="3258" spans="1:16" outlineLevel="2" x14ac:dyDescent="0.2">
      <c r="A3258" s="5">
        <v>46162</v>
      </c>
      <c r="B3258" s="2">
        <v>159422</v>
      </c>
      <c r="C3258" s="2">
        <v>316</v>
      </c>
      <c r="D3258" s="2" t="s">
        <v>54</v>
      </c>
      <c r="E3258" s="2" t="s">
        <v>20</v>
      </c>
      <c r="F3258" s="2" t="s">
        <v>47</v>
      </c>
      <c r="G3258" s="2" t="s">
        <v>22</v>
      </c>
      <c r="H3258" s="2" t="s">
        <v>23</v>
      </c>
      <c r="I3258" s="2" t="s">
        <v>23</v>
      </c>
      <c r="J3258" s="2">
        <v>2</v>
      </c>
      <c r="K3258" s="2" t="s">
        <v>48</v>
      </c>
      <c r="L3258" s="2">
        <v>1964</v>
      </c>
      <c r="M3258" s="2" t="s">
        <v>49</v>
      </c>
      <c r="N3258" s="2">
        <v>10</v>
      </c>
      <c r="O3258" s="2">
        <v>43651.9</v>
      </c>
      <c r="P3258" s="2">
        <v>4365.1899999999996</v>
      </c>
    </row>
    <row r="3259" spans="1:16" outlineLevel="1" x14ac:dyDescent="0.2">
      <c r="A3259" s="5"/>
      <c r="D3259" s="3" t="s">
        <v>719</v>
      </c>
      <c r="N3259" s="2">
        <f>SUBTOTAL(9,N3258:N3258)</f>
        <v>10</v>
      </c>
      <c r="O3259" s="2">
        <f>SUBTOTAL(9,O3258:O3258)</f>
        <v>43651.9</v>
      </c>
      <c r="P3259" s="2">
        <f>+O3259/N3259</f>
        <v>4365.1900000000005</v>
      </c>
    </row>
    <row r="3260" spans="1:16" outlineLevel="2" x14ac:dyDescent="0.2">
      <c r="A3260" s="5">
        <v>46171</v>
      </c>
      <c r="B3260" s="2">
        <v>159427</v>
      </c>
      <c r="C3260" s="2">
        <v>1</v>
      </c>
      <c r="D3260" s="2" t="s">
        <v>140</v>
      </c>
      <c r="E3260" s="2" t="s">
        <v>55</v>
      </c>
      <c r="F3260" s="2" t="s">
        <v>47</v>
      </c>
      <c r="G3260" s="2" t="s">
        <v>22</v>
      </c>
      <c r="H3260" s="2" t="s">
        <v>23</v>
      </c>
      <c r="I3260" s="2" t="s">
        <v>23</v>
      </c>
      <c r="J3260" s="2">
        <v>1</v>
      </c>
      <c r="K3260" s="2" t="s">
        <v>24</v>
      </c>
      <c r="L3260" s="2">
        <v>1833</v>
      </c>
      <c r="M3260" s="2" t="s">
        <v>142</v>
      </c>
      <c r="N3260" s="2">
        <v>4</v>
      </c>
      <c r="O3260" s="2">
        <v>36129.56</v>
      </c>
      <c r="P3260" s="2">
        <v>9032.39</v>
      </c>
    </row>
    <row r="3261" spans="1:16" outlineLevel="2" x14ac:dyDescent="0.2">
      <c r="A3261" s="5">
        <v>46157</v>
      </c>
      <c r="B3261" s="2">
        <v>159432</v>
      </c>
      <c r="C3261" s="2">
        <v>1</v>
      </c>
      <c r="D3261" s="2" t="s">
        <v>140</v>
      </c>
      <c r="E3261" s="2" t="s">
        <v>141</v>
      </c>
      <c r="F3261" s="2" t="s">
        <v>108</v>
      </c>
      <c r="G3261" s="2" t="s">
        <v>22</v>
      </c>
      <c r="H3261" s="2" t="s">
        <v>23</v>
      </c>
      <c r="I3261" s="2" t="s">
        <v>23</v>
      </c>
      <c r="J3261" s="2">
        <v>1</v>
      </c>
      <c r="K3261" s="2" t="s">
        <v>24</v>
      </c>
      <c r="L3261" s="2">
        <v>1833</v>
      </c>
      <c r="M3261" s="2" t="s">
        <v>142</v>
      </c>
      <c r="N3261" s="2">
        <v>10</v>
      </c>
      <c r="O3261" s="2">
        <v>205136.87</v>
      </c>
      <c r="P3261" s="2">
        <v>20513.689999999999</v>
      </c>
    </row>
    <row r="3262" spans="1:16" outlineLevel="1" x14ac:dyDescent="0.2">
      <c r="A3262" s="5"/>
      <c r="D3262" s="3" t="s">
        <v>696</v>
      </c>
      <c r="N3262" s="2">
        <f>SUBTOTAL(9,N3260:N3261)</f>
        <v>14</v>
      </c>
      <c r="O3262" s="2">
        <f>SUBTOTAL(9,O3260:O3261)</f>
        <v>241266.43</v>
      </c>
      <c r="P3262" s="2">
        <f>+O3262/N3262</f>
        <v>17233.316428571427</v>
      </c>
    </row>
    <row r="3263" spans="1:16" outlineLevel="2" x14ac:dyDescent="0.2">
      <c r="A3263" s="5">
        <v>46157</v>
      </c>
      <c r="B3263" s="2">
        <v>159433</v>
      </c>
      <c r="C3263" s="2">
        <v>1</v>
      </c>
      <c r="D3263" s="2" t="s">
        <v>128</v>
      </c>
      <c r="E3263" s="2" t="s">
        <v>23</v>
      </c>
      <c r="F3263" s="2" t="s">
        <v>23</v>
      </c>
      <c r="G3263" s="2" t="s">
        <v>22</v>
      </c>
      <c r="H3263" s="2" t="s">
        <v>23</v>
      </c>
      <c r="I3263" s="2" t="s">
        <v>23</v>
      </c>
      <c r="J3263" s="2">
        <v>1</v>
      </c>
      <c r="K3263" s="2" t="s">
        <v>24</v>
      </c>
      <c r="L3263" s="2">
        <v>25213</v>
      </c>
      <c r="M3263" s="2" t="s">
        <v>130</v>
      </c>
      <c r="N3263" s="2">
        <v>3</v>
      </c>
      <c r="O3263" s="2">
        <v>264190.64</v>
      </c>
      <c r="P3263" s="2">
        <v>88063.55</v>
      </c>
    </row>
    <row r="3264" spans="1:16" outlineLevel="1" x14ac:dyDescent="0.2">
      <c r="A3264" s="5"/>
      <c r="D3264" s="3" t="s">
        <v>732</v>
      </c>
      <c r="N3264" s="2">
        <f>SUBTOTAL(9,N3263:N3263)</f>
        <v>3</v>
      </c>
      <c r="O3264" s="2">
        <f>SUBTOTAL(9,O3263:O3263)</f>
        <v>264190.64</v>
      </c>
      <c r="P3264" s="2">
        <f>+O3264/N3264</f>
        <v>88063.546666666676</v>
      </c>
    </row>
    <row r="3265" spans="1:16" outlineLevel="2" x14ac:dyDescent="0.2">
      <c r="A3265" s="5">
        <v>46157</v>
      </c>
      <c r="B3265" s="2">
        <v>159433</v>
      </c>
      <c r="C3265" s="2">
        <v>2</v>
      </c>
      <c r="D3265" s="2" t="s">
        <v>207</v>
      </c>
      <c r="E3265" s="2" t="s">
        <v>23</v>
      </c>
      <c r="F3265" s="2" t="s">
        <v>23</v>
      </c>
      <c r="G3265" s="2" t="s">
        <v>22</v>
      </c>
      <c r="H3265" s="2" t="s">
        <v>23</v>
      </c>
      <c r="I3265" s="2" t="s">
        <v>23</v>
      </c>
      <c r="J3265" s="2">
        <v>1</v>
      </c>
      <c r="K3265" s="2" t="s">
        <v>24</v>
      </c>
      <c r="L3265" s="2">
        <v>25213</v>
      </c>
      <c r="M3265" s="2" t="s">
        <v>130</v>
      </c>
      <c r="N3265" s="2">
        <v>2</v>
      </c>
      <c r="O3265" s="2">
        <v>128210.58</v>
      </c>
      <c r="P3265" s="2">
        <v>64105.29</v>
      </c>
    </row>
    <row r="3266" spans="1:16" outlineLevel="1" x14ac:dyDescent="0.2">
      <c r="A3266" s="5"/>
      <c r="D3266" s="3" t="s">
        <v>699</v>
      </c>
      <c r="N3266" s="2">
        <f>SUBTOTAL(9,N3265:N3265)</f>
        <v>2</v>
      </c>
      <c r="O3266" s="2">
        <f>SUBTOTAL(9,O3265:O3265)</f>
        <v>128210.58</v>
      </c>
      <c r="P3266" s="2">
        <f>+O3266/N3266</f>
        <v>64105.29</v>
      </c>
    </row>
    <row r="3267" spans="1:16" outlineLevel="2" x14ac:dyDescent="0.2">
      <c r="A3267" s="5">
        <v>46157</v>
      </c>
      <c r="B3267" s="2">
        <v>159433</v>
      </c>
      <c r="C3267" s="2">
        <v>3</v>
      </c>
      <c r="D3267" s="2" t="s">
        <v>128</v>
      </c>
      <c r="E3267" s="2" t="s">
        <v>23</v>
      </c>
      <c r="F3267" s="2" t="s">
        <v>23</v>
      </c>
      <c r="G3267" s="2" t="s">
        <v>22</v>
      </c>
      <c r="H3267" s="2" t="s">
        <v>23</v>
      </c>
      <c r="I3267" s="2" t="s">
        <v>23</v>
      </c>
      <c r="J3267" s="2">
        <v>41</v>
      </c>
      <c r="K3267" s="2" t="s">
        <v>129</v>
      </c>
      <c r="L3267" s="2">
        <v>25213</v>
      </c>
      <c r="M3267" s="2" t="s">
        <v>130</v>
      </c>
      <c r="N3267" s="2">
        <v>50</v>
      </c>
      <c r="O3267" s="2">
        <v>184746.7</v>
      </c>
      <c r="P3267" s="2">
        <v>3694.93</v>
      </c>
    </row>
    <row r="3268" spans="1:16" outlineLevel="1" x14ac:dyDescent="0.2">
      <c r="A3268" s="5"/>
      <c r="D3268" s="3" t="s">
        <v>732</v>
      </c>
      <c r="N3268" s="2">
        <f>SUBTOTAL(9,N3267:N3267)</f>
        <v>50</v>
      </c>
      <c r="O3268" s="2">
        <f>SUBTOTAL(9,O3267:O3267)</f>
        <v>184746.7</v>
      </c>
      <c r="P3268" s="2">
        <f>+O3268/N3268</f>
        <v>3694.9340000000002</v>
      </c>
    </row>
    <row r="3269" spans="1:16" outlineLevel="2" x14ac:dyDescent="0.2">
      <c r="A3269" s="5">
        <v>46176</v>
      </c>
      <c r="B3269" s="2">
        <v>159434</v>
      </c>
      <c r="C3269" s="2">
        <v>300</v>
      </c>
      <c r="D3269" s="2" t="s">
        <v>26</v>
      </c>
      <c r="E3269" s="2" t="s">
        <v>459</v>
      </c>
      <c r="F3269" s="2" t="s">
        <v>55</v>
      </c>
      <c r="G3269" s="2" t="s">
        <v>23</v>
      </c>
      <c r="H3269" s="2" t="s">
        <v>23</v>
      </c>
      <c r="I3269" s="2" t="s">
        <v>23</v>
      </c>
      <c r="J3269" s="2">
        <v>5</v>
      </c>
      <c r="K3269" s="2" t="s">
        <v>27</v>
      </c>
      <c r="L3269" s="2">
        <v>600</v>
      </c>
      <c r="M3269" s="2" t="s">
        <v>112</v>
      </c>
      <c r="N3269" s="2">
        <v>6</v>
      </c>
      <c r="O3269" s="2">
        <v>24324.26</v>
      </c>
      <c r="P3269" s="2">
        <v>4054.04</v>
      </c>
    </row>
    <row r="3270" spans="1:16" outlineLevel="1" x14ac:dyDescent="0.2">
      <c r="A3270" s="5"/>
      <c r="D3270" s="3" t="s">
        <v>711</v>
      </c>
      <c r="N3270" s="2">
        <f>SUBTOTAL(9,N3269:N3269)</f>
        <v>6</v>
      </c>
      <c r="O3270" s="2">
        <f>SUBTOTAL(9,O3269:O3269)</f>
        <v>24324.26</v>
      </c>
      <c r="P3270" s="2">
        <f>+O3270/N3270</f>
        <v>4054.0433333333331</v>
      </c>
    </row>
    <row r="3271" spans="1:16" outlineLevel="2" x14ac:dyDescent="0.2">
      <c r="A3271" s="5">
        <v>46157</v>
      </c>
      <c r="B3271" s="2">
        <v>159436</v>
      </c>
      <c r="C3271" s="2">
        <v>1</v>
      </c>
      <c r="D3271" s="2" t="s">
        <v>404</v>
      </c>
      <c r="E3271" s="2" t="s">
        <v>23</v>
      </c>
      <c r="F3271" s="2" t="s">
        <v>405</v>
      </c>
      <c r="G3271" s="2" t="s">
        <v>22</v>
      </c>
      <c r="H3271" s="2" t="s">
        <v>23</v>
      </c>
      <c r="I3271" s="2" t="s">
        <v>23</v>
      </c>
      <c r="J3271" s="2">
        <v>86</v>
      </c>
      <c r="K3271" s="2" t="s">
        <v>73</v>
      </c>
      <c r="L3271" s="2">
        <v>1795</v>
      </c>
      <c r="M3271" s="2" t="s">
        <v>506</v>
      </c>
      <c r="N3271" s="2">
        <v>14</v>
      </c>
      <c r="O3271" s="2">
        <v>413952.7</v>
      </c>
      <c r="P3271" s="2">
        <v>29568.05</v>
      </c>
    </row>
    <row r="3272" spans="1:16" outlineLevel="1" x14ac:dyDescent="0.2">
      <c r="A3272" s="5"/>
      <c r="D3272" s="3" t="s">
        <v>769</v>
      </c>
      <c r="N3272" s="2">
        <f>SUBTOTAL(9,N3271:N3271)</f>
        <v>14</v>
      </c>
      <c r="O3272" s="2">
        <f>SUBTOTAL(9,O3271:O3271)</f>
        <v>413952.7</v>
      </c>
      <c r="P3272" s="2">
        <f>+O3272/N3272</f>
        <v>29568.05</v>
      </c>
    </row>
    <row r="3273" spans="1:16" outlineLevel="2" x14ac:dyDescent="0.2">
      <c r="A3273" s="5">
        <v>46157</v>
      </c>
      <c r="B3273" s="2">
        <v>159437</v>
      </c>
      <c r="C3273" s="2">
        <v>1</v>
      </c>
      <c r="D3273" s="2" t="s">
        <v>474</v>
      </c>
      <c r="E3273" s="2" t="s">
        <v>475</v>
      </c>
      <c r="F3273" s="2" t="s">
        <v>23</v>
      </c>
      <c r="G3273" s="2" t="s">
        <v>23</v>
      </c>
      <c r="H3273" s="2" t="s">
        <v>23</v>
      </c>
      <c r="I3273" s="2" t="s">
        <v>23</v>
      </c>
      <c r="J3273" s="2">
        <v>41</v>
      </c>
      <c r="K3273" s="2" t="s">
        <v>129</v>
      </c>
      <c r="L3273" s="2">
        <v>2338</v>
      </c>
      <c r="M3273" s="2" t="s">
        <v>417</v>
      </c>
      <c r="N3273" s="2">
        <v>305</v>
      </c>
      <c r="O3273" s="2">
        <v>268384.55</v>
      </c>
      <c r="P3273" s="2">
        <v>879.95</v>
      </c>
    </row>
    <row r="3274" spans="1:16" outlineLevel="1" x14ac:dyDescent="0.2">
      <c r="A3274" s="5"/>
      <c r="D3274" s="3" t="s">
        <v>780</v>
      </c>
      <c r="N3274" s="2">
        <f>SUBTOTAL(9,N3273:N3273)</f>
        <v>305</v>
      </c>
      <c r="O3274" s="2">
        <f>SUBTOTAL(9,O3273:O3273)</f>
        <v>268384.55</v>
      </c>
      <c r="P3274" s="2">
        <f>+O3274/N3274</f>
        <v>879.94934426229509</v>
      </c>
    </row>
    <row r="3275" spans="1:16" outlineLevel="2" x14ac:dyDescent="0.2">
      <c r="A3275" s="5">
        <v>46160</v>
      </c>
      <c r="B3275" s="2">
        <v>159438</v>
      </c>
      <c r="C3275" s="2">
        <v>315</v>
      </c>
      <c r="D3275" s="2" t="s">
        <v>54</v>
      </c>
      <c r="E3275" s="2" t="s">
        <v>30</v>
      </c>
      <c r="F3275" s="2" t="s">
        <v>47</v>
      </c>
      <c r="G3275" s="2" t="s">
        <v>23</v>
      </c>
      <c r="H3275" s="2" t="s">
        <v>23</v>
      </c>
      <c r="I3275" s="2" t="s">
        <v>23</v>
      </c>
      <c r="J3275" s="2">
        <v>2</v>
      </c>
      <c r="K3275" s="2" t="s">
        <v>48</v>
      </c>
      <c r="L3275" s="2">
        <v>25223</v>
      </c>
      <c r="M3275" s="2" t="s">
        <v>97</v>
      </c>
      <c r="N3275" s="2">
        <v>6</v>
      </c>
      <c r="O3275" s="2">
        <v>36458.980000000003</v>
      </c>
      <c r="P3275" s="2">
        <v>6076.5</v>
      </c>
    </row>
    <row r="3276" spans="1:16" outlineLevel="1" x14ac:dyDescent="0.2">
      <c r="A3276" s="5"/>
      <c r="D3276" s="3" t="s">
        <v>719</v>
      </c>
      <c r="N3276" s="2">
        <f>SUBTOTAL(9,N3275:N3275)</f>
        <v>6</v>
      </c>
      <c r="O3276" s="2">
        <f>SUBTOTAL(9,O3275:O3275)</f>
        <v>36458.980000000003</v>
      </c>
      <c r="P3276" s="2">
        <f>+O3276/N3276</f>
        <v>6076.4966666666669</v>
      </c>
    </row>
    <row r="3277" spans="1:16" outlineLevel="2" x14ac:dyDescent="0.2">
      <c r="A3277" s="5">
        <v>46164</v>
      </c>
      <c r="B3277" s="2">
        <v>159439</v>
      </c>
      <c r="C3277" s="2">
        <v>315</v>
      </c>
      <c r="D3277" s="2" t="s">
        <v>203</v>
      </c>
      <c r="E3277" s="2" t="s">
        <v>125</v>
      </c>
      <c r="F3277" s="2" t="s">
        <v>47</v>
      </c>
      <c r="G3277" s="2" t="s">
        <v>22</v>
      </c>
      <c r="H3277" s="2" t="s">
        <v>23</v>
      </c>
      <c r="I3277" s="2" t="s">
        <v>23</v>
      </c>
      <c r="J3277" s="2">
        <v>2</v>
      </c>
      <c r="K3277" s="2" t="s">
        <v>48</v>
      </c>
      <c r="L3277" s="2">
        <v>1974</v>
      </c>
      <c r="M3277" s="2" t="s">
        <v>95</v>
      </c>
      <c r="N3277" s="2">
        <v>2</v>
      </c>
      <c r="O3277" s="2">
        <v>8730.3799999999992</v>
      </c>
      <c r="P3277" s="2">
        <v>4365.1899999999996</v>
      </c>
    </row>
    <row r="3278" spans="1:16" outlineLevel="1" x14ac:dyDescent="0.2">
      <c r="A3278" s="5"/>
      <c r="D3278" s="3" t="s">
        <v>735</v>
      </c>
      <c r="N3278" s="2">
        <f>SUBTOTAL(9,N3277:N3277)</f>
        <v>2</v>
      </c>
      <c r="O3278" s="2">
        <f>SUBTOTAL(9,O3277:O3277)</f>
        <v>8730.3799999999992</v>
      </c>
      <c r="P3278" s="2">
        <f>+O3278/N3278</f>
        <v>4365.1899999999996</v>
      </c>
    </row>
    <row r="3279" spans="1:16" outlineLevel="2" x14ac:dyDescent="0.2">
      <c r="A3279" s="5">
        <v>46168</v>
      </c>
      <c r="B3279" s="2">
        <v>159440</v>
      </c>
      <c r="C3279" s="2">
        <v>301</v>
      </c>
      <c r="D3279" s="2" t="s">
        <v>110</v>
      </c>
      <c r="E3279" s="2" t="s">
        <v>111</v>
      </c>
      <c r="F3279" s="2" t="s">
        <v>289</v>
      </c>
      <c r="G3279" s="2" t="s">
        <v>22</v>
      </c>
      <c r="H3279" s="2" t="s">
        <v>23</v>
      </c>
      <c r="I3279" s="2" t="s">
        <v>23</v>
      </c>
      <c r="J3279" s="2">
        <v>1</v>
      </c>
      <c r="K3279" s="2" t="s">
        <v>24</v>
      </c>
      <c r="L3279" s="2">
        <v>2276</v>
      </c>
      <c r="M3279" s="2" t="s">
        <v>156</v>
      </c>
      <c r="N3279" s="2">
        <v>2</v>
      </c>
      <c r="O3279" s="2">
        <v>9663.82</v>
      </c>
      <c r="P3279" s="2">
        <v>4831.91</v>
      </c>
    </row>
    <row r="3280" spans="1:16" outlineLevel="2" x14ac:dyDescent="0.2">
      <c r="A3280" s="5">
        <v>46168</v>
      </c>
      <c r="B3280" s="2">
        <v>159443</v>
      </c>
      <c r="C3280" s="2">
        <v>304</v>
      </c>
      <c r="D3280" s="2" t="s">
        <v>110</v>
      </c>
      <c r="E3280" s="2" t="s">
        <v>111</v>
      </c>
      <c r="F3280" s="2" t="s">
        <v>47</v>
      </c>
      <c r="G3280" s="2" t="s">
        <v>22</v>
      </c>
      <c r="H3280" s="2" t="s">
        <v>23</v>
      </c>
      <c r="I3280" s="2" t="s">
        <v>23</v>
      </c>
      <c r="J3280" s="2">
        <v>1</v>
      </c>
      <c r="K3280" s="2" t="s">
        <v>24</v>
      </c>
      <c r="L3280" s="2">
        <v>2089</v>
      </c>
      <c r="M3280" s="2" t="s">
        <v>87</v>
      </c>
      <c r="N3280" s="2">
        <v>5</v>
      </c>
      <c r="O3280" s="2">
        <v>26493.15</v>
      </c>
      <c r="P3280" s="2">
        <v>5298.63</v>
      </c>
    </row>
    <row r="3281" spans="1:16" outlineLevel="2" x14ac:dyDescent="0.2">
      <c r="A3281" s="5">
        <v>46168</v>
      </c>
      <c r="B3281" s="2">
        <v>159452</v>
      </c>
      <c r="C3281" s="2">
        <v>302</v>
      </c>
      <c r="D3281" s="2" t="s">
        <v>110</v>
      </c>
      <c r="E3281" s="2" t="s">
        <v>111</v>
      </c>
      <c r="F3281" s="2" t="s">
        <v>47</v>
      </c>
      <c r="G3281" s="2" t="s">
        <v>22</v>
      </c>
      <c r="H3281" s="2" t="s">
        <v>23</v>
      </c>
      <c r="I3281" s="2" t="s">
        <v>23</v>
      </c>
      <c r="J3281" s="2">
        <v>1</v>
      </c>
      <c r="K3281" s="2" t="s">
        <v>24</v>
      </c>
      <c r="L3281" s="2">
        <v>1833</v>
      </c>
      <c r="M3281" s="2" t="s">
        <v>142</v>
      </c>
      <c r="N3281" s="2">
        <v>16</v>
      </c>
      <c r="O3281" s="2">
        <v>39973.120000000003</v>
      </c>
      <c r="P3281" s="2">
        <v>2498.3200000000002</v>
      </c>
    </row>
    <row r="3282" spans="1:16" outlineLevel="2" x14ac:dyDescent="0.2">
      <c r="A3282" s="5">
        <v>46168</v>
      </c>
      <c r="B3282" s="2">
        <v>159452</v>
      </c>
      <c r="C3282" s="2">
        <v>315</v>
      </c>
      <c r="D3282" s="2" t="s">
        <v>110</v>
      </c>
      <c r="E3282" s="2" t="s">
        <v>111</v>
      </c>
      <c r="F3282" s="2" t="s">
        <v>47</v>
      </c>
      <c r="G3282" s="2" t="s">
        <v>22</v>
      </c>
      <c r="H3282" s="2" t="s">
        <v>23</v>
      </c>
      <c r="I3282" s="2" t="s">
        <v>23</v>
      </c>
      <c r="J3282" s="2">
        <v>1</v>
      </c>
      <c r="K3282" s="2" t="s">
        <v>24</v>
      </c>
      <c r="L3282" s="2">
        <v>1833</v>
      </c>
      <c r="M3282" s="2" t="s">
        <v>142</v>
      </c>
      <c r="N3282" s="2">
        <v>37</v>
      </c>
      <c r="O3282" s="2">
        <v>114577.03</v>
      </c>
      <c r="P3282" s="2">
        <v>3096.68</v>
      </c>
    </row>
    <row r="3283" spans="1:16" outlineLevel="2" x14ac:dyDescent="0.2">
      <c r="A3283" s="5">
        <v>46162</v>
      </c>
      <c r="B3283" s="2">
        <v>159452</v>
      </c>
      <c r="C3283" s="2">
        <v>316</v>
      </c>
      <c r="D3283" s="2" t="s">
        <v>110</v>
      </c>
      <c r="E3283" s="2" t="s">
        <v>111</v>
      </c>
      <c r="F3283" s="2" t="s">
        <v>47</v>
      </c>
      <c r="G3283" s="2" t="s">
        <v>22</v>
      </c>
      <c r="H3283" s="2" t="s">
        <v>23</v>
      </c>
      <c r="I3283" s="2" t="s">
        <v>23</v>
      </c>
      <c r="J3283" s="2">
        <v>2</v>
      </c>
      <c r="K3283" s="2" t="s">
        <v>48</v>
      </c>
      <c r="L3283" s="2">
        <v>1833</v>
      </c>
      <c r="M3283" s="2" t="s">
        <v>142</v>
      </c>
      <c r="N3283" s="2">
        <v>9</v>
      </c>
      <c r="O3283" s="2">
        <v>14083.92</v>
      </c>
      <c r="P3283" s="2">
        <v>1564.88</v>
      </c>
    </row>
    <row r="3284" spans="1:16" outlineLevel="1" x14ac:dyDescent="0.2">
      <c r="A3284" s="5"/>
      <c r="D3284" s="3" t="s">
        <v>697</v>
      </c>
      <c r="N3284" s="2">
        <f>SUBTOTAL(9,N3279:N3283)</f>
        <v>69</v>
      </c>
      <c r="O3284" s="2">
        <f>SUBTOTAL(9,O3279:O3283)</f>
        <v>204791.04000000001</v>
      </c>
      <c r="P3284" s="2">
        <f>+O3284/N3284</f>
        <v>2967.9860869565218</v>
      </c>
    </row>
    <row r="3285" spans="1:16" outlineLevel="2" x14ac:dyDescent="0.2">
      <c r="A3285" s="5">
        <v>46160</v>
      </c>
      <c r="B3285" s="2">
        <v>159454</v>
      </c>
      <c r="C3285" s="2">
        <v>302</v>
      </c>
      <c r="D3285" s="2" t="s">
        <v>54</v>
      </c>
      <c r="E3285" s="2" t="s">
        <v>20</v>
      </c>
      <c r="F3285" s="2" t="s">
        <v>47</v>
      </c>
      <c r="G3285" s="2" t="s">
        <v>23</v>
      </c>
      <c r="H3285" s="2" t="s">
        <v>23</v>
      </c>
      <c r="I3285" s="2" t="s">
        <v>23</v>
      </c>
      <c r="J3285" s="2">
        <v>2</v>
      </c>
      <c r="K3285" s="2" t="s">
        <v>48</v>
      </c>
      <c r="L3285" s="2">
        <v>25095</v>
      </c>
      <c r="M3285" s="2" t="s">
        <v>216</v>
      </c>
      <c r="N3285" s="2">
        <v>23</v>
      </c>
      <c r="O3285" s="2">
        <v>117805.29</v>
      </c>
      <c r="P3285" s="2">
        <v>5121.97</v>
      </c>
    </row>
    <row r="3286" spans="1:16" outlineLevel="1" x14ac:dyDescent="0.2">
      <c r="A3286" s="5"/>
      <c r="D3286" s="3" t="s">
        <v>719</v>
      </c>
      <c r="N3286" s="2">
        <f>SUBTOTAL(9,N3285:N3285)</f>
        <v>23</v>
      </c>
      <c r="O3286" s="2">
        <f>SUBTOTAL(9,O3285:O3285)</f>
        <v>117805.29</v>
      </c>
      <c r="P3286" s="2">
        <f>+O3286/N3286</f>
        <v>5121.9691304347825</v>
      </c>
    </row>
    <row r="3287" spans="1:16" outlineLevel="2" x14ac:dyDescent="0.2">
      <c r="A3287" s="5">
        <v>46174</v>
      </c>
      <c r="B3287" s="2">
        <v>159456</v>
      </c>
      <c r="C3287" s="2">
        <v>2</v>
      </c>
      <c r="D3287" s="2" t="s">
        <v>229</v>
      </c>
      <c r="E3287" s="2" t="s">
        <v>439</v>
      </c>
      <c r="F3287" s="2" t="s">
        <v>40</v>
      </c>
      <c r="G3287" s="2" t="s">
        <v>22</v>
      </c>
      <c r="H3287" s="2" t="s">
        <v>23</v>
      </c>
      <c r="I3287" s="2" t="s">
        <v>101</v>
      </c>
      <c r="J3287" s="2">
        <v>1</v>
      </c>
      <c r="K3287" s="2" t="s">
        <v>24</v>
      </c>
      <c r="L3287" s="2">
        <v>331</v>
      </c>
      <c r="M3287" s="2" t="s">
        <v>356</v>
      </c>
      <c r="N3287" s="2">
        <v>662</v>
      </c>
      <c r="O3287" s="2">
        <v>5478085.0099999998</v>
      </c>
      <c r="P3287" s="2">
        <v>8275.0499999999993</v>
      </c>
    </row>
    <row r="3288" spans="1:16" outlineLevel="2" x14ac:dyDescent="0.2">
      <c r="A3288" s="5">
        <v>46160</v>
      </c>
      <c r="B3288" s="2">
        <v>159456</v>
      </c>
      <c r="C3288" s="2">
        <v>5</v>
      </c>
      <c r="D3288" s="2" t="s">
        <v>229</v>
      </c>
      <c r="E3288" s="2" t="s">
        <v>439</v>
      </c>
      <c r="F3288" s="2" t="s">
        <v>40</v>
      </c>
      <c r="G3288" s="2" t="s">
        <v>23</v>
      </c>
      <c r="H3288" s="2" t="s">
        <v>23</v>
      </c>
      <c r="I3288" s="2" t="s">
        <v>355</v>
      </c>
      <c r="J3288" s="2">
        <v>1</v>
      </c>
      <c r="K3288" s="2" t="s">
        <v>24</v>
      </c>
      <c r="L3288" s="2">
        <v>331</v>
      </c>
      <c r="M3288" s="2" t="s">
        <v>356</v>
      </c>
      <c r="N3288" s="2">
        <v>432</v>
      </c>
      <c r="O3288" s="2">
        <v>3715577.62</v>
      </c>
      <c r="P3288" s="2">
        <v>8600.8700000000008</v>
      </c>
    </row>
    <row r="3289" spans="1:16" outlineLevel="1" x14ac:dyDescent="0.2">
      <c r="A3289" s="5"/>
      <c r="D3289" s="3" t="s">
        <v>737</v>
      </c>
      <c r="N3289" s="2">
        <f>SUBTOTAL(9,N3287:N3288)</f>
        <v>1094</v>
      </c>
      <c r="O3289" s="2">
        <f>SUBTOTAL(9,O3287:O3288)</f>
        <v>9193662.629999999</v>
      </c>
      <c r="P3289" s="2">
        <f>+O3289/N3289</f>
        <v>8403.7135557586826</v>
      </c>
    </row>
    <row r="3290" spans="1:16" outlineLevel="2" x14ac:dyDescent="0.2">
      <c r="A3290" s="5">
        <v>46157</v>
      </c>
      <c r="B3290" s="2">
        <v>159458</v>
      </c>
      <c r="C3290" s="2">
        <v>7</v>
      </c>
      <c r="D3290" s="2" t="s">
        <v>45</v>
      </c>
      <c r="E3290" s="2" t="s">
        <v>228</v>
      </c>
      <c r="F3290" s="2" t="s">
        <v>289</v>
      </c>
      <c r="G3290" s="2" t="s">
        <v>22</v>
      </c>
      <c r="H3290" s="2" t="s">
        <v>23</v>
      </c>
      <c r="I3290" s="2" t="s">
        <v>23</v>
      </c>
      <c r="J3290" s="2">
        <v>41</v>
      </c>
      <c r="K3290" s="2" t="s">
        <v>129</v>
      </c>
      <c r="L3290" s="2">
        <v>801</v>
      </c>
      <c r="M3290" s="2" t="s">
        <v>56</v>
      </c>
      <c r="N3290" s="2">
        <v>59</v>
      </c>
      <c r="O3290" s="2">
        <v>1283698.1399999999</v>
      </c>
      <c r="P3290" s="2">
        <v>21757.599999999999</v>
      </c>
    </row>
    <row r="3291" spans="1:16" outlineLevel="2" x14ac:dyDescent="0.2">
      <c r="A3291" s="5">
        <v>46157</v>
      </c>
      <c r="B3291" s="2">
        <v>159458</v>
      </c>
      <c r="C3291" s="2">
        <v>8</v>
      </c>
      <c r="D3291" s="2" t="s">
        <v>45</v>
      </c>
      <c r="E3291" s="2" t="s">
        <v>529</v>
      </c>
      <c r="F3291" s="2" t="s">
        <v>289</v>
      </c>
      <c r="G3291" s="2" t="s">
        <v>22</v>
      </c>
      <c r="H3291" s="2" t="s">
        <v>23</v>
      </c>
      <c r="I3291" s="2" t="s">
        <v>23</v>
      </c>
      <c r="J3291" s="2">
        <v>41</v>
      </c>
      <c r="K3291" s="2" t="s">
        <v>129</v>
      </c>
      <c r="L3291" s="2">
        <v>801</v>
      </c>
      <c r="M3291" s="2" t="s">
        <v>56</v>
      </c>
      <c r="N3291" s="2">
        <v>6</v>
      </c>
      <c r="O3291" s="2">
        <v>137874.44</v>
      </c>
      <c r="P3291" s="2">
        <v>22979.07</v>
      </c>
    </row>
    <row r="3292" spans="1:16" outlineLevel="2" x14ac:dyDescent="0.2">
      <c r="A3292" s="5">
        <v>46157</v>
      </c>
      <c r="B3292" s="2">
        <v>159458</v>
      </c>
      <c r="C3292" s="2">
        <v>9</v>
      </c>
      <c r="D3292" s="2" t="s">
        <v>45</v>
      </c>
      <c r="E3292" s="2" t="s">
        <v>228</v>
      </c>
      <c r="F3292" s="2" t="s">
        <v>289</v>
      </c>
      <c r="G3292" s="2" t="s">
        <v>22</v>
      </c>
      <c r="H3292" s="2" t="s">
        <v>23</v>
      </c>
      <c r="I3292" s="2" t="s">
        <v>23</v>
      </c>
      <c r="J3292" s="2">
        <v>41</v>
      </c>
      <c r="K3292" s="2" t="s">
        <v>129</v>
      </c>
      <c r="L3292" s="2">
        <v>801</v>
      </c>
      <c r="M3292" s="2" t="s">
        <v>56</v>
      </c>
      <c r="N3292" s="2">
        <v>9</v>
      </c>
      <c r="O3292" s="2">
        <v>204505.5</v>
      </c>
      <c r="P3292" s="2">
        <v>22722.83</v>
      </c>
    </row>
    <row r="3293" spans="1:16" outlineLevel="1" x14ac:dyDescent="0.2">
      <c r="A3293" s="5"/>
      <c r="D3293" s="3" t="s">
        <v>733</v>
      </c>
      <c r="N3293" s="2">
        <f>SUBTOTAL(9,N3290:N3292)</f>
        <v>74</v>
      </c>
      <c r="O3293" s="2">
        <f>SUBTOTAL(9,O3290:O3292)</f>
        <v>1626078.0799999998</v>
      </c>
      <c r="P3293" s="2">
        <f>+O3293/N3293</f>
        <v>21974.028108108105</v>
      </c>
    </row>
    <row r="3294" spans="1:16" outlineLevel="2" x14ac:dyDescent="0.2">
      <c r="A3294" s="5">
        <v>46157</v>
      </c>
      <c r="B3294" s="2">
        <v>159458</v>
      </c>
      <c r="C3294" s="2">
        <v>11</v>
      </c>
      <c r="D3294" s="2" t="s">
        <v>226</v>
      </c>
      <c r="E3294" s="2" t="s">
        <v>530</v>
      </c>
      <c r="F3294" s="2" t="s">
        <v>289</v>
      </c>
      <c r="G3294" s="2" t="s">
        <v>22</v>
      </c>
      <c r="H3294" s="2" t="s">
        <v>23</v>
      </c>
      <c r="I3294" s="2" t="s">
        <v>23</v>
      </c>
      <c r="J3294" s="2">
        <v>41</v>
      </c>
      <c r="K3294" s="2" t="s">
        <v>129</v>
      </c>
      <c r="L3294" s="2">
        <v>801</v>
      </c>
      <c r="M3294" s="2" t="s">
        <v>56</v>
      </c>
      <c r="N3294" s="2">
        <v>16</v>
      </c>
      <c r="O3294" s="2">
        <v>305371.71999999997</v>
      </c>
      <c r="P3294" s="2">
        <v>19085.73</v>
      </c>
    </row>
    <row r="3295" spans="1:16" outlineLevel="2" x14ac:dyDescent="0.2">
      <c r="A3295" s="5">
        <v>46157</v>
      </c>
      <c r="B3295" s="2">
        <v>159458</v>
      </c>
      <c r="C3295" s="2">
        <v>14</v>
      </c>
      <c r="D3295" s="2" t="s">
        <v>226</v>
      </c>
      <c r="E3295" s="2" t="s">
        <v>151</v>
      </c>
      <c r="F3295" s="2" t="s">
        <v>289</v>
      </c>
      <c r="G3295" s="2" t="s">
        <v>22</v>
      </c>
      <c r="H3295" s="2" t="s">
        <v>23</v>
      </c>
      <c r="I3295" s="2" t="s">
        <v>23</v>
      </c>
      <c r="J3295" s="2">
        <v>41</v>
      </c>
      <c r="K3295" s="2" t="s">
        <v>129</v>
      </c>
      <c r="L3295" s="2">
        <v>801</v>
      </c>
      <c r="M3295" s="2" t="s">
        <v>56</v>
      </c>
      <c r="N3295" s="2">
        <v>16</v>
      </c>
      <c r="O3295" s="2">
        <v>264300.33</v>
      </c>
      <c r="P3295" s="2">
        <v>16518.77</v>
      </c>
    </row>
    <row r="3296" spans="1:16" outlineLevel="1" x14ac:dyDescent="0.2">
      <c r="A3296" s="5"/>
      <c r="D3296" s="3" t="s">
        <v>736</v>
      </c>
      <c r="N3296" s="2">
        <f>SUBTOTAL(9,N3294:N3295)</f>
        <v>32</v>
      </c>
      <c r="O3296" s="2">
        <f>SUBTOTAL(9,O3294:O3295)</f>
        <v>569672.05000000005</v>
      </c>
      <c r="P3296" s="2">
        <f>+O3296/N3296</f>
        <v>17802.251562500001</v>
      </c>
    </row>
    <row r="3297" spans="1:16" outlineLevel="2" x14ac:dyDescent="0.2">
      <c r="A3297" s="5">
        <v>46162</v>
      </c>
      <c r="B3297" s="2">
        <v>159458</v>
      </c>
      <c r="C3297" s="2">
        <v>313</v>
      </c>
      <c r="D3297" s="2" t="s">
        <v>45</v>
      </c>
      <c r="E3297" s="2" t="s">
        <v>228</v>
      </c>
      <c r="F3297" s="2" t="s">
        <v>289</v>
      </c>
      <c r="G3297" s="2" t="s">
        <v>22</v>
      </c>
      <c r="H3297" s="2" t="s">
        <v>23</v>
      </c>
      <c r="I3297" s="2" t="s">
        <v>23</v>
      </c>
      <c r="J3297" s="2">
        <v>2</v>
      </c>
      <c r="K3297" s="2" t="s">
        <v>48</v>
      </c>
      <c r="L3297" s="2">
        <v>801</v>
      </c>
      <c r="M3297" s="2" t="s">
        <v>56</v>
      </c>
      <c r="N3297" s="2">
        <v>6</v>
      </c>
      <c r="O3297" s="2">
        <v>61963.85</v>
      </c>
      <c r="P3297" s="2">
        <v>10327.31</v>
      </c>
    </row>
    <row r="3298" spans="1:16" outlineLevel="1" x14ac:dyDescent="0.2">
      <c r="A3298" s="5"/>
      <c r="D3298" s="3" t="s">
        <v>733</v>
      </c>
      <c r="N3298" s="2">
        <f>SUBTOTAL(9,N3297:N3297)</f>
        <v>6</v>
      </c>
      <c r="O3298" s="2">
        <f>SUBTOTAL(9,O3297:O3297)</f>
        <v>61963.85</v>
      </c>
      <c r="P3298" s="2">
        <f>+O3298/N3298</f>
        <v>10327.308333333332</v>
      </c>
    </row>
    <row r="3299" spans="1:16" outlineLevel="2" x14ac:dyDescent="0.2">
      <c r="A3299" s="5">
        <v>46162</v>
      </c>
      <c r="B3299" s="2">
        <v>159458</v>
      </c>
      <c r="C3299" s="2">
        <v>315</v>
      </c>
      <c r="D3299" s="2" t="s">
        <v>54</v>
      </c>
      <c r="E3299" s="2" t="s">
        <v>30</v>
      </c>
      <c r="F3299" s="2" t="s">
        <v>47</v>
      </c>
      <c r="G3299" s="2" t="s">
        <v>22</v>
      </c>
      <c r="H3299" s="2" t="s">
        <v>23</v>
      </c>
      <c r="I3299" s="2" t="s">
        <v>23</v>
      </c>
      <c r="J3299" s="2">
        <v>2</v>
      </c>
      <c r="K3299" s="2" t="s">
        <v>48</v>
      </c>
      <c r="L3299" s="2">
        <v>25095</v>
      </c>
      <c r="M3299" s="2" t="s">
        <v>216</v>
      </c>
      <c r="N3299" s="2">
        <v>2</v>
      </c>
      <c r="O3299" s="2">
        <v>10597.26</v>
      </c>
      <c r="P3299" s="2">
        <v>5298.63</v>
      </c>
    </row>
    <row r="3300" spans="1:16" outlineLevel="1" x14ac:dyDescent="0.2">
      <c r="A3300" s="5"/>
      <c r="D3300" s="3" t="s">
        <v>719</v>
      </c>
      <c r="N3300" s="2">
        <f>SUBTOTAL(9,N3299:N3299)</f>
        <v>2</v>
      </c>
      <c r="O3300" s="2">
        <f>SUBTOTAL(9,O3299:O3299)</f>
        <v>10597.26</v>
      </c>
      <c r="P3300" s="2">
        <f>+O3300/N3300</f>
        <v>5298.63</v>
      </c>
    </row>
    <row r="3301" spans="1:16" outlineLevel="2" x14ac:dyDescent="0.2">
      <c r="A3301" s="5">
        <v>46160</v>
      </c>
      <c r="B3301" s="2">
        <v>159462</v>
      </c>
      <c r="C3301" s="2">
        <v>1</v>
      </c>
      <c r="D3301" s="2" t="s">
        <v>207</v>
      </c>
      <c r="E3301" s="2" t="s">
        <v>23</v>
      </c>
      <c r="F3301" s="2" t="s">
        <v>47</v>
      </c>
      <c r="G3301" s="2" t="s">
        <v>22</v>
      </c>
      <c r="H3301" s="2" t="s">
        <v>208</v>
      </c>
      <c r="I3301" s="2" t="s">
        <v>23</v>
      </c>
      <c r="J3301" s="2">
        <v>41</v>
      </c>
      <c r="K3301" s="2" t="s">
        <v>129</v>
      </c>
      <c r="L3301" s="2">
        <v>25213</v>
      </c>
      <c r="M3301" s="2" t="s">
        <v>130</v>
      </c>
      <c r="N3301" s="2">
        <v>75</v>
      </c>
      <c r="O3301" s="2">
        <v>257381.25</v>
      </c>
      <c r="P3301" s="2">
        <v>3431.75</v>
      </c>
    </row>
    <row r="3302" spans="1:16" outlineLevel="2" x14ac:dyDescent="0.2">
      <c r="A3302" s="5">
        <v>46160</v>
      </c>
      <c r="B3302" s="2">
        <v>159462</v>
      </c>
      <c r="C3302" s="2">
        <v>2</v>
      </c>
      <c r="D3302" s="2" t="s">
        <v>207</v>
      </c>
      <c r="E3302" s="2" t="s">
        <v>23</v>
      </c>
      <c r="F3302" s="2" t="s">
        <v>47</v>
      </c>
      <c r="G3302" s="2" t="s">
        <v>22</v>
      </c>
      <c r="H3302" s="2" t="s">
        <v>209</v>
      </c>
      <c r="I3302" s="2" t="s">
        <v>23</v>
      </c>
      <c r="J3302" s="2">
        <v>41</v>
      </c>
      <c r="K3302" s="2" t="s">
        <v>129</v>
      </c>
      <c r="L3302" s="2">
        <v>25213</v>
      </c>
      <c r="M3302" s="2" t="s">
        <v>130</v>
      </c>
      <c r="N3302" s="2">
        <v>25</v>
      </c>
      <c r="O3302" s="2">
        <v>258480.1</v>
      </c>
      <c r="P3302" s="2">
        <v>10339.200000000001</v>
      </c>
    </row>
    <row r="3303" spans="1:16" outlineLevel="2" x14ac:dyDescent="0.2">
      <c r="A3303" s="5">
        <v>46160</v>
      </c>
      <c r="B3303" s="2">
        <v>159462</v>
      </c>
      <c r="C3303" s="2">
        <v>3</v>
      </c>
      <c r="D3303" s="2" t="s">
        <v>207</v>
      </c>
      <c r="E3303" s="2" t="s">
        <v>23</v>
      </c>
      <c r="F3303" s="2" t="s">
        <v>47</v>
      </c>
      <c r="G3303" s="2" t="s">
        <v>22</v>
      </c>
      <c r="H3303" s="2" t="s">
        <v>23</v>
      </c>
      <c r="I3303" s="2" t="s">
        <v>23</v>
      </c>
      <c r="J3303" s="2">
        <v>1</v>
      </c>
      <c r="K3303" s="2" t="s">
        <v>24</v>
      </c>
      <c r="L3303" s="2">
        <v>25213</v>
      </c>
      <c r="M3303" s="2" t="s">
        <v>130</v>
      </c>
      <c r="N3303" s="2">
        <v>5</v>
      </c>
      <c r="O3303" s="2">
        <v>416670.63</v>
      </c>
      <c r="P3303" s="2">
        <v>83334.13</v>
      </c>
    </row>
    <row r="3304" spans="1:16" outlineLevel="1" x14ac:dyDescent="0.2">
      <c r="A3304" s="5"/>
      <c r="D3304" s="3" t="s">
        <v>699</v>
      </c>
      <c r="N3304" s="2">
        <f>SUBTOTAL(9,N3301:N3303)</f>
        <v>105</v>
      </c>
      <c r="O3304" s="2">
        <f>SUBTOTAL(9,O3301:O3303)</f>
        <v>932531.98</v>
      </c>
      <c r="P3304" s="2">
        <f>+O3304/N3304</f>
        <v>8881.2569523809525</v>
      </c>
    </row>
    <row r="3305" spans="1:16" outlineLevel="2" x14ac:dyDescent="0.2">
      <c r="A3305" s="5">
        <v>46160</v>
      </c>
      <c r="B3305" s="2">
        <v>159463</v>
      </c>
      <c r="C3305" s="2">
        <v>1</v>
      </c>
      <c r="D3305" s="2" t="s">
        <v>26</v>
      </c>
      <c r="E3305" s="2" t="s">
        <v>459</v>
      </c>
      <c r="F3305" s="2" t="s">
        <v>52</v>
      </c>
      <c r="G3305" s="2" t="s">
        <v>22</v>
      </c>
      <c r="H3305" s="2" t="s">
        <v>23</v>
      </c>
      <c r="I3305" s="2" t="s">
        <v>23</v>
      </c>
      <c r="J3305" s="2">
        <v>1</v>
      </c>
      <c r="K3305" s="2" t="s">
        <v>24</v>
      </c>
      <c r="L3305" s="2">
        <v>2509</v>
      </c>
      <c r="M3305" s="2" t="s">
        <v>531</v>
      </c>
      <c r="N3305" s="2">
        <v>4</v>
      </c>
      <c r="O3305" s="2">
        <v>36129.56</v>
      </c>
      <c r="P3305" s="2">
        <v>9032.39</v>
      </c>
    </row>
    <row r="3306" spans="1:16" outlineLevel="1" x14ac:dyDescent="0.2">
      <c r="A3306" s="5"/>
      <c r="D3306" s="3" t="s">
        <v>711</v>
      </c>
      <c r="N3306" s="2">
        <f>SUBTOTAL(9,N3305:N3305)</f>
        <v>4</v>
      </c>
      <c r="O3306" s="2">
        <f>SUBTOTAL(9,O3305:O3305)</f>
        <v>36129.56</v>
      </c>
      <c r="P3306" s="2">
        <f>+O3306/N3306</f>
        <v>9032.39</v>
      </c>
    </row>
    <row r="3307" spans="1:16" outlineLevel="2" x14ac:dyDescent="0.2">
      <c r="A3307" s="5">
        <v>46160</v>
      </c>
      <c r="B3307" s="2">
        <v>159464</v>
      </c>
      <c r="C3307" s="2">
        <v>1</v>
      </c>
      <c r="D3307" s="2" t="s">
        <v>474</v>
      </c>
      <c r="E3307" s="2" t="s">
        <v>475</v>
      </c>
      <c r="F3307" s="2" t="s">
        <v>47</v>
      </c>
      <c r="G3307" s="2" t="s">
        <v>22</v>
      </c>
      <c r="H3307" s="2" t="s">
        <v>23</v>
      </c>
      <c r="I3307" s="2" t="s">
        <v>23</v>
      </c>
      <c r="J3307" s="2">
        <v>41</v>
      </c>
      <c r="K3307" s="2" t="s">
        <v>129</v>
      </c>
      <c r="L3307" s="2">
        <v>2338</v>
      </c>
      <c r="M3307" s="2" t="s">
        <v>417</v>
      </c>
      <c r="N3307" s="2">
        <v>320</v>
      </c>
      <c r="O3307" s="2">
        <v>356825.54</v>
      </c>
      <c r="P3307" s="2">
        <v>1115.08</v>
      </c>
    </row>
    <row r="3308" spans="1:16" outlineLevel="1" x14ac:dyDescent="0.2">
      <c r="A3308" s="5"/>
      <c r="D3308" s="3" t="s">
        <v>780</v>
      </c>
      <c r="N3308" s="2">
        <f>SUBTOTAL(9,N3307:N3307)</f>
        <v>320</v>
      </c>
      <c r="O3308" s="2">
        <f>SUBTOTAL(9,O3307:O3307)</f>
        <v>356825.54</v>
      </c>
      <c r="P3308" s="2">
        <f>+O3308/N3308</f>
        <v>1115.0798124999999</v>
      </c>
    </row>
    <row r="3309" spans="1:16" outlineLevel="2" x14ac:dyDescent="0.2">
      <c r="A3309" s="5">
        <v>46160</v>
      </c>
      <c r="B3309" s="2">
        <v>159464</v>
      </c>
      <c r="C3309" s="2">
        <v>2</v>
      </c>
      <c r="D3309" s="2" t="s">
        <v>470</v>
      </c>
      <c r="E3309" s="2" t="s">
        <v>23</v>
      </c>
      <c r="F3309" s="2" t="s">
        <v>47</v>
      </c>
      <c r="G3309" s="2" t="s">
        <v>22</v>
      </c>
      <c r="H3309" s="2" t="s">
        <v>23</v>
      </c>
      <c r="I3309" s="2" t="s">
        <v>23</v>
      </c>
      <c r="J3309" s="2">
        <v>86</v>
      </c>
      <c r="K3309" s="2" t="s">
        <v>73</v>
      </c>
      <c r="L3309" s="2">
        <v>2338</v>
      </c>
      <c r="M3309" s="2" t="s">
        <v>417</v>
      </c>
      <c r="N3309" s="2">
        <v>7</v>
      </c>
      <c r="O3309" s="2">
        <v>177106.29</v>
      </c>
      <c r="P3309" s="2">
        <v>25300.9</v>
      </c>
    </row>
    <row r="3310" spans="1:16" outlineLevel="1" x14ac:dyDescent="0.2">
      <c r="A3310" s="5"/>
      <c r="D3310" s="3" t="s">
        <v>779</v>
      </c>
      <c r="N3310" s="2">
        <f>SUBTOTAL(9,N3309:N3309)</f>
        <v>7</v>
      </c>
      <c r="O3310" s="2">
        <f>SUBTOTAL(9,O3309:O3309)</f>
        <v>177106.29</v>
      </c>
      <c r="P3310" s="2">
        <f>+O3310/N3310</f>
        <v>25300.898571428574</v>
      </c>
    </row>
    <row r="3311" spans="1:16" outlineLevel="2" x14ac:dyDescent="0.2">
      <c r="A3311" s="5">
        <v>46160</v>
      </c>
      <c r="B3311" s="2">
        <v>159465</v>
      </c>
      <c r="C3311" s="2">
        <v>1</v>
      </c>
      <c r="D3311" s="2" t="s">
        <v>451</v>
      </c>
      <c r="E3311" s="2" t="s">
        <v>23</v>
      </c>
      <c r="F3311" s="2" t="s">
        <v>405</v>
      </c>
      <c r="G3311" s="2" t="s">
        <v>22</v>
      </c>
      <c r="H3311" s="2" t="s">
        <v>23</v>
      </c>
      <c r="I3311" s="2" t="s">
        <v>23</v>
      </c>
      <c r="J3311" s="2">
        <v>1</v>
      </c>
      <c r="K3311" s="2" t="s">
        <v>24</v>
      </c>
      <c r="L3311" s="2">
        <v>2273</v>
      </c>
      <c r="M3311" s="2" t="s">
        <v>452</v>
      </c>
      <c r="N3311" s="2">
        <v>49</v>
      </c>
      <c r="O3311" s="2">
        <v>617139.91</v>
      </c>
      <c r="P3311" s="2">
        <v>12594.69</v>
      </c>
    </row>
    <row r="3312" spans="1:16" outlineLevel="1" x14ac:dyDescent="0.2">
      <c r="A3312" s="5"/>
      <c r="D3312" s="3" t="s">
        <v>775</v>
      </c>
      <c r="N3312" s="2">
        <f>SUBTOTAL(9,N3311:N3311)</f>
        <v>49</v>
      </c>
      <c r="O3312" s="2">
        <f>SUBTOTAL(9,O3311:O3311)</f>
        <v>617139.91</v>
      </c>
      <c r="P3312" s="2">
        <f>+O3312/N3312</f>
        <v>12594.692040816328</v>
      </c>
    </row>
    <row r="3313" spans="1:16" outlineLevel="2" x14ac:dyDescent="0.2">
      <c r="A3313" s="5">
        <v>46160</v>
      </c>
      <c r="B3313" s="2">
        <v>159466</v>
      </c>
      <c r="C3313" s="2">
        <v>1</v>
      </c>
      <c r="D3313" s="2" t="s">
        <v>404</v>
      </c>
      <c r="E3313" s="2" t="s">
        <v>23</v>
      </c>
      <c r="F3313" s="2" t="s">
        <v>405</v>
      </c>
      <c r="G3313" s="2" t="s">
        <v>22</v>
      </c>
      <c r="H3313" s="2" t="s">
        <v>23</v>
      </c>
      <c r="I3313" s="2" t="s">
        <v>23</v>
      </c>
      <c r="J3313" s="2">
        <v>1</v>
      </c>
      <c r="K3313" s="2" t="s">
        <v>24</v>
      </c>
      <c r="L3313" s="2">
        <v>1795</v>
      </c>
      <c r="M3313" s="2" t="s">
        <v>506</v>
      </c>
      <c r="N3313" s="2">
        <v>14</v>
      </c>
      <c r="O3313" s="2">
        <v>623042.98</v>
      </c>
      <c r="P3313" s="2">
        <v>44503.07</v>
      </c>
    </row>
    <row r="3314" spans="1:16" outlineLevel="1" x14ac:dyDescent="0.2">
      <c r="A3314" s="5"/>
      <c r="D3314" s="3" t="s">
        <v>769</v>
      </c>
      <c r="N3314" s="2">
        <f>SUBTOTAL(9,N3313:N3313)</f>
        <v>14</v>
      </c>
      <c r="O3314" s="2">
        <f>SUBTOTAL(9,O3313:O3313)</f>
        <v>623042.98</v>
      </c>
      <c r="P3314" s="2">
        <f>+O3314/N3314</f>
        <v>44503.07</v>
      </c>
    </row>
    <row r="3315" spans="1:16" outlineLevel="2" x14ac:dyDescent="0.2">
      <c r="A3315" s="5">
        <v>46164</v>
      </c>
      <c r="B3315" s="2">
        <v>159467</v>
      </c>
      <c r="C3315" s="2">
        <v>1</v>
      </c>
      <c r="D3315" s="2" t="s">
        <v>38</v>
      </c>
      <c r="E3315" s="2" t="s">
        <v>39</v>
      </c>
      <c r="F3315" s="2" t="s">
        <v>144</v>
      </c>
      <c r="G3315" s="2" t="s">
        <v>22</v>
      </c>
      <c r="H3315" s="2" t="s">
        <v>23</v>
      </c>
      <c r="I3315" s="2" t="s">
        <v>23</v>
      </c>
      <c r="J3315" s="2">
        <v>1</v>
      </c>
      <c r="K3315" s="2" t="s">
        <v>24</v>
      </c>
      <c r="L3315" s="2">
        <v>25101</v>
      </c>
      <c r="M3315" s="2" t="s">
        <v>473</v>
      </c>
      <c r="N3315" s="2">
        <v>66</v>
      </c>
      <c r="O3315" s="2">
        <v>2598364.12</v>
      </c>
      <c r="P3315" s="2">
        <v>39369.15</v>
      </c>
    </row>
    <row r="3316" spans="1:16" outlineLevel="1" x14ac:dyDescent="0.2">
      <c r="A3316" s="5"/>
      <c r="D3316" s="3" t="s">
        <v>721</v>
      </c>
      <c r="N3316" s="2">
        <f>SUBTOTAL(9,N3315:N3315)</f>
        <v>66</v>
      </c>
      <c r="O3316" s="2">
        <f>SUBTOTAL(9,O3315:O3315)</f>
        <v>2598364.12</v>
      </c>
      <c r="P3316" s="2">
        <f>+O3316/N3316</f>
        <v>39369.153333333335</v>
      </c>
    </row>
    <row r="3317" spans="1:16" outlineLevel="2" x14ac:dyDescent="0.2">
      <c r="A3317" s="5">
        <v>46160</v>
      </c>
      <c r="B3317" s="2">
        <v>159468</v>
      </c>
      <c r="C3317" s="2">
        <v>1</v>
      </c>
      <c r="D3317" s="2" t="s">
        <v>143</v>
      </c>
      <c r="E3317" s="2" t="s">
        <v>23</v>
      </c>
      <c r="F3317" s="2" t="s">
        <v>144</v>
      </c>
      <c r="G3317" s="2" t="s">
        <v>22</v>
      </c>
      <c r="H3317" s="2" t="s">
        <v>23</v>
      </c>
      <c r="I3317" s="2" t="s">
        <v>23</v>
      </c>
      <c r="J3317" s="2">
        <v>1</v>
      </c>
      <c r="K3317" s="2" t="s">
        <v>24</v>
      </c>
      <c r="L3317" s="2">
        <v>2101</v>
      </c>
      <c r="M3317" s="2" t="s">
        <v>145</v>
      </c>
      <c r="N3317" s="2">
        <v>200</v>
      </c>
      <c r="O3317" s="2">
        <v>2601712.11</v>
      </c>
      <c r="P3317" s="2">
        <v>13008.56</v>
      </c>
    </row>
    <row r="3318" spans="1:16" outlineLevel="1" x14ac:dyDescent="0.2">
      <c r="A3318" s="5"/>
      <c r="D3318" s="3" t="s">
        <v>706</v>
      </c>
      <c r="N3318" s="2">
        <f>SUBTOTAL(9,N3317:N3317)</f>
        <v>200</v>
      </c>
      <c r="O3318" s="2">
        <f>SUBTOTAL(9,O3317:O3317)</f>
        <v>2601712.11</v>
      </c>
      <c r="P3318" s="2">
        <f>+O3318/N3318</f>
        <v>13008.56055</v>
      </c>
    </row>
    <row r="3319" spans="1:16" outlineLevel="2" x14ac:dyDescent="0.2">
      <c r="A3319" s="5">
        <v>46160</v>
      </c>
      <c r="B3319" s="2">
        <v>159469</v>
      </c>
      <c r="C3319" s="2">
        <v>1</v>
      </c>
      <c r="D3319" s="2" t="s">
        <v>26</v>
      </c>
      <c r="E3319" s="2" t="s">
        <v>23</v>
      </c>
      <c r="F3319" s="2" t="s">
        <v>201</v>
      </c>
      <c r="G3319" s="2" t="s">
        <v>22</v>
      </c>
      <c r="H3319" s="2" t="s">
        <v>23</v>
      </c>
      <c r="I3319" s="2" t="s">
        <v>23</v>
      </c>
      <c r="J3319" s="2">
        <v>5</v>
      </c>
      <c r="K3319" s="2" t="s">
        <v>27</v>
      </c>
      <c r="L3319" s="2">
        <v>3048</v>
      </c>
      <c r="M3319" s="2" t="s">
        <v>53</v>
      </c>
      <c r="N3319" s="2">
        <v>150</v>
      </c>
      <c r="O3319" s="2">
        <v>908976.32</v>
      </c>
      <c r="P3319" s="2">
        <v>6059.84</v>
      </c>
    </row>
    <row r="3320" spans="1:16" outlineLevel="1" x14ac:dyDescent="0.2">
      <c r="A3320" s="5"/>
      <c r="D3320" s="3" t="s">
        <v>711</v>
      </c>
      <c r="N3320" s="2">
        <f>SUBTOTAL(9,N3319:N3319)</f>
        <v>150</v>
      </c>
      <c r="O3320" s="2">
        <f>SUBTOTAL(9,O3319:O3319)</f>
        <v>908976.32</v>
      </c>
      <c r="P3320" s="2">
        <f>+O3320/N3320</f>
        <v>6059.8421333333326</v>
      </c>
    </row>
    <row r="3321" spans="1:16" outlineLevel="2" x14ac:dyDescent="0.2">
      <c r="A3321" s="5">
        <v>46160</v>
      </c>
      <c r="B3321" s="2">
        <v>159470</v>
      </c>
      <c r="C3321" s="2">
        <v>1</v>
      </c>
      <c r="D3321" s="2" t="s">
        <v>57</v>
      </c>
      <c r="E3321" s="2" t="s">
        <v>493</v>
      </c>
      <c r="F3321" s="2" t="s">
        <v>31</v>
      </c>
      <c r="G3321" s="2" t="s">
        <v>22</v>
      </c>
      <c r="H3321" s="2" t="s">
        <v>23</v>
      </c>
      <c r="I3321" s="2" t="s">
        <v>23</v>
      </c>
      <c r="J3321" s="2">
        <v>1</v>
      </c>
      <c r="K3321" s="2" t="s">
        <v>24</v>
      </c>
      <c r="L3321" s="2">
        <v>226</v>
      </c>
      <c r="M3321" s="2" t="s">
        <v>59</v>
      </c>
      <c r="N3321" s="2">
        <v>42</v>
      </c>
      <c r="O3321" s="2">
        <v>1681809.63</v>
      </c>
      <c r="P3321" s="2">
        <v>40043.089999999997</v>
      </c>
    </row>
    <row r="3322" spans="1:16" outlineLevel="1" x14ac:dyDescent="0.2">
      <c r="A3322" s="5"/>
      <c r="D3322" s="3" t="s">
        <v>716</v>
      </c>
      <c r="N3322" s="2">
        <f>SUBTOTAL(9,N3321:N3321)</f>
        <v>42</v>
      </c>
      <c r="O3322" s="2">
        <f>SUBTOTAL(9,O3321:O3321)</f>
        <v>1681809.63</v>
      </c>
      <c r="P3322" s="2">
        <f>+O3322/N3322</f>
        <v>40043.086428571427</v>
      </c>
    </row>
    <row r="3323" spans="1:16" outlineLevel="2" x14ac:dyDescent="0.2">
      <c r="A3323" s="5">
        <v>46160</v>
      </c>
      <c r="B3323" s="2">
        <v>159470</v>
      </c>
      <c r="C3323" s="2">
        <v>2</v>
      </c>
      <c r="D3323" s="2" t="s">
        <v>60</v>
      </c>
      <c r="E3323" s="2" t="s">
        <v>179</v>
      </c>
      <c r="F3323" s="2" t="s">
        <v>31</v>
      </c>
      <c r="G3323" s="2" t="s">
        <v>22</v>
      </c>
      <c r="H3323" s="2" t="s">
        <v>23</v>
      </c>
      <c r="I3323" s="2" t="s">
        <v>23</v>
      </c>
      <c r="J3323" s="2">
        <v>1</v>
      </c>
      <c r="K3323" s="2" t="s">
        <v>24</v>
      </c>
      <c r="L3323" s="2">
        <v>226</v>
      </c>
      <c r="M3323" s="2" t="s">
        <v>59</v>
      </c>
      <c r="N3323" s="2">
        <v>56</v>
      </c>
      <c r="O3323" s="2">
        <v>2247912.66</v>
      </c>
      <c r="P3323" s="2">
        <v>40141.300000000003</v>
      </c>
    </row>
    <row r="3324" spans="1:16" outlineLevel="2" x14ac:dyDescent="0.2">
      <c r="A3324" s="5">
        <v>46160</v>
      </c>
      <c r="B3324" s="2">
        <v>159470</v>
      </c>
      <c r="C3324" s="2">
        <v>4</v>
      </c>
      <c r="D3324" s="2" t="s">
        <v>60</v>
      </c>
      <c r="E3324" s="2" t="s">
        <v>346</v>
      </c>
      <c r="F3324" s="2" t="s">
        <v>31</v>
      </c>
      <c r="G3324" s="2" t="s">
        <v>22</v>
      </c>
      <c r="H3324" s="2" t="s">
        <v>23</v>
      </c>
      <c r="I3324" s="2" t="s">
        <v>23</v>
      </c>
      <c r="J3324" s="2">
        <v>78</v>
      </c>
      <c r="K3324" s="2" t="s">
        <v>212</v>
      </c>
      <c r="L3324" s="2">
        <v>226</v>
      </c>
      <c r="M3324" s="2" t="s">
        <v>59</v>
      </c>
      <c r="N3324" s="2">
        <v>91</v>
      </c>
      <c r="O3324" s="2">
        <v>1960084.49</v>
      </c>
      <c r="P3324" s="2">
        <v>21539.39</v>
      </c>
    </row>
    <row r="3325" spans="1:16" outlineLevel="1" x14ac:dyDescent="0.2">
      <c r="A3325" s="5"/>
      <c r="D3325" s="3" t="s">
        <v>728</v>
      </c>
      <c r="N3325" s="2">
        <f>SUBTOTAL(9,N3323:N3324)</f>
        <v>147</v>
      </c>
      <c r="O3325" s="2">
        <f>SUBTOTAL(9,O3323:O3324)</f>
        <v>4207997.1500000004</v>
      </c>
      <c r="P3325" s="2">
        <f>+O3325/N3325</f>
        <v>28625.830952380955</v>
      </c>
    </row>
    <row r="3326" spans="1:16" outlineLevel="2" x14ac:dyDescent="0.2">
      <c r="A3326" s="5">
        <v>46160</v>
      </c>
      <c r="B3326" s="2">
        <v>159473</v>
      </c>
      <c r="C3326" s="2">
        <v>1</v>
      </c>
      <c r="D3326" s="2" t="s">
        <v>434</v>
      </c>
      <c r="E3326" s="2" t="s">
        <v>435</v>
      </c>
      <c r="F3326" s="2" t="s">
        <v>31</v>
      </c>
      <c r="G3326" s="2" t="s">
        <v>22</v>
      </c>
      <c r="H3326" s="2" t="s">
        <v>23</v>
      </c>
      <c r="I3326" s="2" t="s">
        <v>23</v>
      </c>
      <c r="J3326" s="2">
        <v>78</v>
      </c>
      <c r="K3326" s="2" t="s">
        <v>212</v>
      </c>
      <c r="L3326" s="2">
        <v>226</v>
      </c>
      <c r="M3326" s="2" t="s">
        <v>59</v>
      </c>
      <c r="N3326" s="2">
        <v>77</v>
      </c>
      <c r="O3326" s="2">
        <v>1412151.86</v>
      </c>
      <c r="P3326" s="2">
        <v>18339.63</v>
      </c>
    </row>
    <row r="3327" spans="1:16" outlineLevel="1" x14ac:dyDescent="0.2">
      <c r="A3327" s="5"/>
      <c r="D3327" s="3" t="s">
        <v>773</v>
      </c>
      <c r="N3327" s="2">
        <f>SUBTOTAL(9,N3326:N3326)</f>
        <v>77</v>
      </c>
      <c r="O3327" s="2">
        <f>SUBTOTAL(9,O3326:O3326)</f>
        <v>1412151.86</v>
      </c>
      <c r="P3327" s="2">
        <f>+O3327/N3327</f>
        <v>18339.634545454548</v>
      </c>
    </row>
    <row r="3328" spans="1:16" outlineLevel="2" x14ac:dyDescent="0.2">
      <c r="A3328" s="5">
        <v>46168</v>
      </c>
      <c r="B3328" s="2">
        <v>159479</v>
      </c>
      <c r="C3328" s="2">
        <v>301</v>
      </c>
      <c r="D3328" s="2" t="s">
        <v>110</v>
      </c>
      <c r="E3328" s="2" t="s">
        <v>111</v>
      </c>
      <c r="F3328" s="2" t="s">
        <v>47</v>
      </c>
      <c r="G3328" s="2" t="s">
        <v>22</v>
      </c>
      <c r="H3328" s="2" t="s">
        <v>23</v>
      </c>
      <c r="I3328" s="2" t="s">
        <v>23</v>
      </c>
      <c r="J3328" s="2">
        <v>1</v>
      </c>
      <c r="K3328" s="2" t="s">
        <v>24</v>
      </c>
      <c r="L3328" s="2">
        <v>1974</v>
      </c>
      <c r="M3328" s="2" t="s">
        <v>95</v>
      </c>
      <c r="N3328" s="2">
        <v>11</v>
      </c>
      <c r="O3328" s="2">
        <v>46413.52</v>
      </c>
      <c r="P3328" s="2">
        <v>4219.41</v>
      </c>
    </row>
    <row r="3329" spans="1:16" outlineLevel="1" x14ac:dyDescent="0.2">
      <c r="A3329" s="5"/>
      <c r="D3329" s="3" t="s">
        <v>697</v>
      </c>
      <c r="N3329" s="2">
        <f>SUBTOTAL(9,N3328:N3328)</f>
        <v>11</v>
      </c>
      <c r="O3329" s="2">
        <f>SUBTOTAL(9,O3328:O3328)</f>
        <v>46413.52</v>
      </c>
      <c r="P3329" s="2">
        <f>+O3329/N3329</f>
        <v>4219.4109090909087</v>
      </c>
    </row>
    <row r="3330" spans="1:16" outlineLevel="2" x14ac:dyDescent="0.2">
      <c r="A3330" s="5">
        <v>46171</v>
      </c>
      <c r="B3330" s="2">
        <v>159481</v>
      </c>
      <c r="C3330" s="2">
        <v>300</v>
      </c>
      <c r="D3330" s="2" t="s">
        <v>45</v>
      </c>
      <c r="E3330" s="2" t="s">
        <v>46</v>
      </c>
      <c r="F3330" s="2" t="s">
        <v>47</v>
      </c>
      <c r="G3330" s="2" t="s">
        <v>22</v>
      </c>
      <c r="H3330" s="2" t="s">
        <v>23</v>
      </c>
      <c r="I3330" s="2" t="s">
        <v>23</v>
      </c>
      <c r="J3330" s="2">
        <v>2</v>
      </c>
      <c r="K3330" s="2" t="s">
        <v>48</v>
      </c>
      <c r="L3330" s="2">
        <v>492</v>
      </c>
      <c r="M3330" s="2" t="s">
        <v>269</v>
      </c>
      <c r="N3330" s="2">
        <v>1</v>
      </c>
      <c r="O3330" s="2">
        <v>7165.51</v>
      </c>
      <c r="P3330" s="2">
        <v>7165.51</v>
      </c>
    </row>
    <row r="3331" spans="1:16" outlineLevel="1" x14ac:dyDescent="0.2">
      <c r="A3331" s="5"/>
      <c r="D3331" s="3" t="s">
        <v>733</v>
      </c>
      <c r="N3331" s="2">
        <f>SUBTOTAL(9,N3330:N3330)</f>
        <v>1</v>
      </c>
      <c r="O3331" s="2">
        <f>SUBTOTAL(9,O3330:O3330)</f>
        <v>7165.51</v>
      </c>
      <c r="P3331" s="2">
        <f>+O3331/N3331</f>
        <v>7165.51</v>
      </c>
    </row>
    <row r="3332" spans="1:16" outlineLevel="2" x14ac:dyDescent="0.2">
      <c r="A3332" s="5">
        <v>46168</v>
      </c>
      <c r="B3332" s="2">
        <v>159483</v>
      </c>
      <c r="C3332" s="2">
        <v>315</v>
      </c>
      <c r="D3332" s="2" t="s">
        <v>203</v>
      </c>
      <c r="E3332" s="2" t="s">
        <v>125</v>
      </c>
      <c r="F3332" s="2" t="s">
        <v>47</v>
      </c>
      <c r="G3332" s="2" t="s">
        <v>22</v>
      </c>
      <c r="H3332" s="2" t="s">
        <v>23</v>
      </c>
      <c r="I3332" s="2" t="s">
        <v>23</v>
      </c>
      <c r="J3332" s="2">
        <v>2</v>
      </c>
      <c r="K3332" s="2" t="s">
        <v>48</v>
      </c>
      <c r="L3332" s="2">
        <v>1557</v>
      </c>
      <c r="M3332" s="2" t="s">
        <v>98</v>
      </c>
      <c r="N3332" s="2">
        <v>10</v>
      </c>
      <c r="O3332" s="2">
        <v>71655.100000000006</v>
      </c>
      <c r="P3332" s="2">
        <v>7165.51</v>
      </c>
    </row>
    <row r="3333" spans="1:16" outlineLevel="1" x14ac:dyDescent="0.2">
      <c r="A3333" s="5"/>
      <c r="D3333" s="3" t="s">
        <v>735</v>
      </c>
      <c r="N3333" s="2">
        <f>SUBTOTAL(9,N3332:N3332)</f>
        <v>10</v>
      </c>
      <c r="O3333" s="2">
        <f>SUBTOTAL(9,O3332:O3332)</f>
        <v>71655.100000000006</v>
      </c>
      <c r="P3333" s="2">
        <f>+O3333/N3333</f>
        <v>7165.51</v>
      </c>
    </row>
    <row r="3334" spans="1:16" outlineLevel="2" x14ac:dyDescent="0.2">
      <c r="A3334" s="5">
        <v>46174</v>
      </c>
      <c r="B3334" s="2">
        <v>159483</v>
      </c>
      <c r="C3334" s="2">
        <v>316</v>
      </c>
      <c r="D3334" s="2" t="s">
        <v>45</v>
      </c>
      <c r="E3334" s="2" t="s">
        <v>125</v>
      </c>
      <c r="F3334" s="2" t="s">
        <v>23</v>
      </c>
      <c r="G3334" s="2" t="s">
        <v>22</v>
      </c>
      <c r="H3334" s="2" t="s">
        <v>23</v>
      </c>
      <c r="I3334" s="2" t="s">
        <v>23</v>
      </c>
      <c r="J3334" s="2">
        <v>2</v>
      </c>
      <c r="K3334" s="2" t="s">
        <v>48</v>
      </c>
      <c r="L3334" s="2">
        <v>1557</v>
      </c>
      <c r="M3334" s="2" t="s">
        <v>98</v>
      </c>
      <c r="N3334" s="2">
        <v>72</v>
      </c>
      <c r="O3334" s="2">
        <v>556054.54</v>
      </c>
      <c r="P3334" s="2">
        <v>7722.98</v>
      </c>
    </row>
    <row r="3335" spans="1:16" outlineLevel="1" x14ac:dyDescent="0.2">
      <c r="A3335" s="5"/>
      <c r="D3335" s="3" t="s">
        <v>733</v>
      </c>
      <c r="N3335" s="2">
        <f>SUBTOTAL(9,N3334:N3334)</f>
        <v>72</v>
      </c>
      <c r="O3335" s="2">
        <f>SUBTOTAL(9,O3334:O3334)</f>
        <v>556054.54</v>
      </c>
      <c r="P3335" s="2">
        <f>+O3335/N3335</f>
        <v>7722.9797222222223</v>
      </c>
    </row>
    <row r="3336" spans="1:16" outlineLevel="2" x14ac:dyDescent="0.2">
      <c r="A3336" s="5">
        <v>46160</v>
      </c>
      <c r="B3336" s="2">
        <v>159492</v>
      </c>
      <c r="C3336" s="2">
        <v>304</v>
      </c>
      <c r="D3336" s="2" t="s">
        <v>54</v>
      </c>
      <c r="E3336" s="2" t="s">
        <v>151</v>
      </c>
      <c r="F3336" s="2" t="s">
        <v>47</v>
      </c>
      <c r="G3336" s="2" t="s">
        <v>23</v>
      </c>
      <c r="H3336" s="2" t="s">
        <v>23</v>
      </c>
      <c r="I3336" s="2" t="s">
        <v>23</v>
      </c>
      <c r="J3336" s="2">
        <v>2</v>
      </c>
      <c r="K3336" s="2" t="s">
        <v>48</v>
      </c>
      <c r="L3336" s="2">
        <v>25095</v>
      </c>
      <c r="M3336" s="2" t="s">
        <v>216</v>
      </c>
      <c r="N3336" s="2">
        <v>7</v>
      </c>
      <c r="O3336" s="2">
        <v>34290.089999999997</v>
      </c>
      <c r="P3336" s="2">
        <v>4898.58</v>
      </c>
    </row>
    <row r="3337" spans="1:16" outlineLevel="2" x14ac:dyDescent="0.2">
      <c r="A3337" s="5">
        <v>46160</v>
      </c>
      <c r="B3337" s="2">
        <v>159492</v>
      </c>
      <c r="C3337" s="2">
        <v>315</v>
      </c>
      <c r="D3337" s="2" t="s">
        <v>54</v>
      </c>
      <c r="E3337" s="2" t="s">
        <v>20</v>
      </c>
      <c r="F3337" s="2" t="s">
        <v>47</v>
      </c>
      <c r="G3337" s="2" t="s">
        <v>23</v>
      </c>
      <c r="H3337" s="2" t="s">
        <v>23</v>
      </c>
      <c r="I3337" s="2" t="s">
        <v>23</v>
      </c>
      <c r="J3337" s="2">
        <v>2</v>
      </c>
      <c r="K3337" s="2" t="s">
        <v>48</v>
      </c>
      <c r="L3337" s="2">
        <v>25095</v>
      </c>
      <c r="M3337" s="2" t="s">
        <v>216</v>
      </c>
      <c r="N3337" s="2">
        <v>18</v>
      </c>
      <c r="O3337" s="2">
        <v>104709.74</v>
      </c>
      <c r="P3337" s="2">
        <v>5817.21</v>
      </c>
    </row>
    <row r="3338" spans="1:16" outlineLevel="1" x14ac:dyDescent="0.2">
      <c r="A3338" s="5"/>
      <c r="D3338" s="3" t="s">
        <v>719</v>
      </c>
      <c r="N3338" s="2">
        <f>SUBTOTAL(9,N3336:N3337)</f>
        <v>25</v>
      </c>
      <c r="O3338" s="2">
        <f>SUBTOTAL(9,O3336:O3337)</f>
        <v>138999.83000000002</v>
      </c>
      <c r="P3338" s="2">
        <f>+O3338/N3338</f>
        <v>5559.9932000000008</v>
      </c>
    </row>
    <row r="3339" spans="1:16" outlineLevel="2" x14ac:dyDescent="0.2">
      <c r="A3339" s="5">
        <v>46160</v>
      </c>
      <c r="B3339" s="2">
        <v>159495</v>
      </c>
      <c r="C3339" s="2">
        <v>2</v>
      </c>
      <c r="D3339" s="2" t="s">
        <v>150</v>
      </c>
      <c r="E3339" s="2" t="s">
        <v>151</v>
      </c>
      <c r="F3339" s="2" t="s">
        <v>40</v>
      </c>
      <c r="G3339" s="2" t="s">
        <v>22</v>
      </c>
      <c r="H3339" s="2" t="s">
        <v>23</v>
      </c>
      <c r="I3339" s="2" t="s">
        <v>273</v>
      </c>
      <c r="J3339" s="2">
        <v>1</v>
      </c>
      <c r="K3339" s="2" t="s">
        <v>24</v>
      </c>
      <c r="L3339" s="2">
        <v>634</v>
      </c>
      <c r="M3339" s="2" t="s">
        <v>153</v>
      </c>
      <c r="N3339" s="2">
        <v>268</v>
      </c>
      <c r="O3339" s="2">
        <v>7468340.5800000001</v>
      </c>
      <c r="P3339" s="2">
        <v>27866.94</v>
      </c>
    </row>
    <row r="3340" spans="1:16" outlineLevel="2" x14ac:dyDescent="0.2">
      <c r="A3340" s="5">
        <v>46180</v>
      </c>
      <c r="B3340" s="2">
        <v>159495</v>
      </c>
      <c r="C3340" s="2">
        <v>3</v>
      </c>
      <c r="D3340" s="2" t="s">
        <v>150</v>
      </c>
      <c r="E3340" s="2" t="s">
        <v>151</v>
      </c>
      <c r="F3340" s="2" t="s">
        <v>40</v>
      </c>
      <c r="G3340" s="2" t="s">
        <v>22</v>
      </c>
      <c r="H3340" s="2" t="s">
        <v>23</v>
      </c>
      <c r="I3340" s="2" t="s">
        <v>23</v>
      </c>
      <c r="J3340" s="2">
        <v>1</v>
      </c>
      <c r="K3340" s="2" t="s">
        <v>24</v>
      </c>
      <c r="L3340" s="2">
        <v>634</v>
      </c>
      <c r="M3340" s="2" t="s">
        <v>153</v>
      </c>
      <c r="N3340" s="2">
        <v>34</v>
      </c>
      <c r="O3340" s="2">
        <v>990312.06</v>
      </c>
      <c r="P3340" s="2">
        <v>29126.83</v>
      </c>
    </row>
    <row r="3341" spans="1:16" outlineLevel="1" x14ac:dyDescent="0.2">
      <c r="A3341" s="5"/>
      <c r="D3341" s="3" t="s">
        <v>718</v>
      </c>
      <c r="N3341" s="2">
        <f>SUBTOTAL(9,N3339:N3340)</f>
        <v>302</v>
      </c>
      <c r="O3341" s="2">
        <f>SUBTOTAL(9,O3339:O3340)</f>
        <v>8458652.6400000006</v>
      </c>
      <c r="P3341" s="2">
        <f>+O3341/N3341</f>
        <v>28008.783576158941</v>
      </c>
    </row>
    <row r="3342" spans="1:16" outlineLevel="2" x14ac:dyDescent="0.2">
      <c r="A3342" s="5">
        <v>46170</v>
      </c>
      <c r="B3342" s="2">
        <v>159497</v>
      </c>
      <c r="C3342" s="2">
        <v>1</v>
      </c>
      <c r="D3342" s="2" t="s">
        <v>83</v>
      </c>
      <c r="E3342" s="2" t="s">
        <v>508</v>
      </c>
      <c r="F3342" s="2" t="s">
        <v>63</v>
      </c>
      <c r="G3342" s="2" t="s">
        <v>22</v>
      </c>
      <c r="H3342" s="2" t="s">
        <v>23</v>
      </c>
      <c r="I3342" s="2" t="s">
        <v>23</v>
      </c>
      <c r="J3342" s="2">
        <v>1</v>
      </c>
      <c r="K3342" s="2" t="s">
        <v>24</v>
      </c>
      <c r="L3342" s="2">
        <v>2573</v>
      </c>
      <c r="M3342" s="2" t="s">
        <v>509</v>
      </c>
      <c r="N3342" s="2">
        <v>124</v>
      </c>
      <c r="O3342" s="2">
        <v>4165798.81</v>
      </c>
      <c r="P3342" s="2">
        <v>33595.15</v>
      </c>
    </row>
    <row r="3343" spans="1:16" outlineLevel="2" x14ac:dyDescent="0.2">
      <c r="A3343" s="5">
        <v>46187</v>
      </c>
      <c r="B3343" s="2">
        <v>159497</v>
      </c>
      <c r="C3343" s="2">
        <v>2</v>
      </c>
      <c r="D3343" s="2" t="s">
        <v>83</v>
      </c>
      <c r="E3343" s="2" t="s">
        <v>508</v>
      </c>
      <c r="F3343" s="2" t="s">
        <v>63</v>
      </c>
      <c r="G3343" s="2" t="s">
        <v>22</v>
      </c>
      <c r="H3343" s="2" t="s">
        <v>23</v>
      </c>
      <c r="I3343" s="2" t="s">
        <v>532</v>
      </c>
      <c r="J3343" s="2">
        <v>1</v>
      </c>
      <c r="K3343" s="2" t="s">
        <v>24</v>
      </c>
      <c r="L3343" s="2">
        <v>2573</v>
      </c>
      <c r="M3343" s="2" t="s">
        <v>509</v>
      </c>
      <c r="N3343" s="2">
        <v>103</v>
      </c>
      <c r="O3343" s="2">
        <v>3592992.99</v>
      </c>
      <c r="P3343" s="2">
        <v>34883.43</v>
      </c>
    </row>
    <row r="3344" spans="1:16" outlineLevel="1" x14ac:dyDescent="0.2">
      <c r="A3344" s="5"/>
      <c r="D3344" s="3" t="s">
        <v>701</v>
      </c>
      <c r="N3344" s="2">
        <f>SUBTOTAL(9,N3342:N3343)</f>
        <v>227</v>
      </c>
      <c r="O3344" s="2">
        <f>SUBTOTAL(9,O3342:O3343)</f>
        <v>7758791.8000000007</v>
      </c>
      <c r="P3344" s="2">
        <f>+O3344/N3344</f>
        <v>34179.699559471366</v>
      </c>
    </row>
    <row r="3345" spans="1:16" outlineLevel="2" x14ac:dyDescent="0.2">
      <c r="A3345" s="5">
        <v>46160</v>
      </c>
      <c r="B3345" s="2">
        <v>159498</v>
      </c>
      <c r="C3345" s="2">
        <v>1</v>
      </c>
      <c r="D3345" s="2" t="s">
        <v>197</v>
      </c>
      <c r="E3345" s="2" t="s">
        <v>533</v>
      </c>
      <c r="F3345" s="2" t="s">
        <v>40</v>
      </c>
      <c r="G3345" s="2" t="s">
        <v>22</v>
      </c>
      <c r="H3345" s="2" t="s">
        <v>23</v>
      </c>
      <c r="I3345" s="2" t="s">
        <v>23</v>
      </c>
      <c r="J3345" s="2">
        <v>1</v>
      </c>
      <c r="K3345" s="2" t="s">
        <v>24</v>
      </c>
      <c r="L3345" s="2">
        <v>2541</v>
      </c>
      <c r="M3345" s="2" t="s">
        <v>534</v>
      </c>
      <c r="N3345" s="2">
        <v>90</v>
      </c>
      <c r="O3345" s="2">
        <v>5577708.8600000003</v>
      </c>
      <c r="P3345" s="2">
        <v>61974.54</v>
      </c>
    </row>
    <row r="3346" spans="1:16" outlineLevel="2" x14ac:dyDescent="0.2">
      <c r="A3346" s="5">
        <v>46160</v>
      </c>
      <c r="B3346" s="2">
        <v>159498</v>
      </c>
      <c r="C3346" s="2">
        <v>2</v>
      </c>
      <c r="D3346" s="2" t="s">
        <v>197</v>
      </c>
      <c r="E3346" s="2" t="s">
        <v>535</v>
      </c>
      <c r="F3346" s="2" t="s">
        <v>40</v>
      </c>
      <c r="G3346" s="2" t="s">
        <v>22</v>
      </c>
      <c r="H3346" s="2" t="s">
        <v>23</v>
      </c>
      <c r="I3346" s="2" t="s">
        <v>23</v>
      </c>
      <c r="J3346" s="2">
        <v>1</v>
      </c>
      <c r="K3346" s="2" t="s">
        <v>24</v>
      </c>
      <c r="L3346" s="2">
        <v>2541</v>
      </c>
      <c r="M3346" s="2" t="s">
        <v>534</v>
      </c>
      <c r="N3346" s="2">
        <v>56</v>
      </c>
      <c r="O3346" s="2">
        <v>2589551.2000000002</v>
      </c>
      <c r="P3346" s="2">
        <v>46241.99</v>
      </c>
    </row>
    <row r="3347" spans="1:16" outlineLevel="2" x14ac:dyDescent="0.2">
      <c r="A3347" s="5">
        <v>46160</v>
      </c>
      <c r="B3347" s="2">
        <v>159498</v>
      </c>
      <c r="C3347" s="2">
        <v>3</v>
      </c>
      <c r="D3347" s="2" t="s">
        <v>197</v>
      </c>
      <c r="E3347" s="2" t="s">
        <v>536</v>
      </c>
      <c r="F3347" s="2" t="s">
        <v>63</v>
      </c>
      <c r="G3347" s="2" t="s">
        <v>22</v>
      </c>
      <c r="H3347" s="2" t="s">
        <v>23</v>
      </c>
      <c r="I3347" s="2" t="s">
        <v>23</v>
      </c>
      <c r="J3347" s="2">
        <v>68</v>
      </c>
      <c r="K3347" s="2" t="s">
        <v>537</v>
      </c>
      <c r="L3347" s="2">
        <v>2541</v>
      </c>
      <c r="M3347" s="2" t="s">
        <v>534</v>
      </c>
      <c r="N3347" s="2">
        <v>105</v>
      </c>
      <c r="O3347" s="2">
        <v>4004122.88</v>
      </c>
      <c r="P3347" s="2">
        <v>38134.5</v>
      </c>
    </row>
    <row r="3348" spans="1:16" outlineLevel="2" x14ac:dyDescent="0.2">
      <c r="A3348" s="5">
        <v>46160</v>
      </c>
      <c r="B3348" s="2">
        <v>159498</v>
      </c>
      <c r="C3348" s="2">
        <v>4</v>
      </c>
      <c r="D3348" s="2" t="s">
        <v>197</v>
      </c>
      <c r="E3348" s="2" t="s">
        <v>538</v>
      </c>
      <c r="F3348" s="2" t="s">
        <v>40</v>
      </c>
      <c r="G3348" s="2" t="s">
        <v>22</v>
      </c>
      <c r="H3348" s="2" t="s">
        <v>23</v>
      </c>
      <c r="I3348" s="2" t="s">
        <v>23</v>
      </c>
      <c r="J3348" s="2">
        <v>1</v>
      </c>
      <c r="K3348" s="2" t="s">
        <v>24</v>
      </c>
      <c r="L3348" s="2">
        <v>2541</v>
      </c>
      <c r="M3348" s="2" t="s">
        <v>534</v>
      </c>
      <c r="N3348" s="2">
        <v>90</v>
      </c>
      <c r="O3348" s="2">
        <v>5502512.0599999996</v>
      </c>
      <c r="P3348" s="2">
        <v>61139.02</v>
      </c>
    </row>
    <row r="3349" spans="1:16" outlineLevel="2" x14ac:dyDescent="0.2">
      <c r="A3349" s="5">
        <v>46162</v>
      </c>
      <c r="B3349" s="2">
        <v>159499</v>
      </c>
      <c r="C3349" s="2">
        <v>1</v>
      </c>
      <c r="D3349" s="2" t="s">
        <v>197</v>
      </c>
      <c r="E3349" s="2" t="s">
        <v>533</v>
      </c>
      <c r="F3349" s="2" t="s">
        <v>40</v>
      </c>
      <c r="G3349" s="2" t="s">
        <v>22</v>
      </c>
      <c r="H3349" s="2" t="s">
        <v>23</v>
      </c>
      <c r="I3349" s="2" t="s">
        <v>23</v>
      </c>
      <c r="J3349" s="2">
        <v>1</v>
      </c>
      <c r="K3349" s="2" t="s">
        <v>24</v>
      </c>
      <c r="L3349" s="2">
        <v>2541</v>
      </c>
      <c r="M3349" s="2" t="s">
        <v>534</v>
      </c>
      <c r="N3349" s="2">
        <v>331</v>
      </c>
      <c r="O3349" s="2">
        <v>19753431.300000001</v>
      </c>
      <c r="P3349" s="2">
        <v>59678.04</v>
      </c>
    </row>
    <row r="3350" spans="1:16" outlineLevel="1" x14ac:dyDescent="0.2">
      <c r="A3350" s="5"/>
      <c r="D3350" s="3" t="s">
        <v>734</v>
      </c>
      <c r="N3350" s="2">
        <f>SUBTOTAL(9,N3345:N3349)</f>
        <v>672</v>
      </c>
      <c r="O3350" s="2">
        <f>SUBTOTAL(9,O3345:O3349)</f>
        <v>37427326.299999997</v>
      </c>
      <c r="P3350" s="2">
        <f>+O3350/N3350</f>
        <v>55695.426041666666</v>
      </c>
    </row>
    <row r="3351" spans="1:16" outlineLevel="2" x14ac:dyDescent="0.2">
      <c r="A3351" s="5">
        <v>46164</v>
      </c>
      <c r="B3351" s="2">
        <v>159499</v>
      </c>
      <c r="C3351" s="2">
        <v>3</v>
      </c>
      <c r="D3351" s="2" t="s">
        <v>539</v>
      </c>
      <c r="E3351" s="2" t="s">
        <v>538</v>
      </c>
      <c r="F3351" s="2" t="s">
        <v>40</v>
      </c>
      <c r="G3351" s="2" t="s">
        <v>22</v>
      </c>
      <c r="H3351" s="2" t="s">
        <v>23</v>
      </c>
      <c r="I3351" s="2" t="s">
        <v>23</v>
      </c>
      <c r="J3351" s="2">
        <v>86</v>
      </c>
      <c r="K3351" s="2" t="s">
        <v>73</v>
      </c>
      <c r="L3351" s="2">
        <v>2541</v>
      </c>
      <c r="M3351" s="2" t="s">
        <v>534</v>
      </c>
      <c r="N3351" s="2">
        <v>22</v>
      </c>
      <c r="O3351" s="2">
        <v>797019.53</v>
      </c>
      <c r="P3351" s="2">
        <v>36228.160000000003</v>
      </c>
    </row>
    <row r="3352" spans="1:16" outlineLevel="1" x14ac:dyDescent="0.2">
      <c r="A3352" s="5"/>
      <c r="D3352" s="3" t="s">
        <v>795</v>
      </c>
      <c r="N3352" s="2">
        <f>SUBTOTAL(9,N3351:N3351)</f>
        <v>22</v>
      </c>
      <c r="O3352" s="2">
        <f>SUBTOTAL(9,O3351:O3351)</f>
        <v>797019.53</v>
      </c>
      <c r="P3352" s="2">
        <f>+O3352/N3352</f>
        <v>36228.160454545454</v>
      </c>
    </row>
    <row r="3353" spans="1:16" outlineLevel="2" x14ac:dyDescent="0.2">
      <c r="A3353" s="5">
        <v>46162</v>
      </c>
      <c r="B3353" s="2">
        <v>159499</v>
      </c>
      <c r="C3353" s="2">
        <v>4</v>
      </c>
      <c r="D3353" s="2" t="s">
        <v>197</v>
      </c>
      <c r="E3353" s="2" t="s">
        <v>538</v>
      </c>
      <c r="F3353" s="2" t="s">
        <v>40</v>
      </c>
      <c r="G3353" s="2" t="s">
        <v>22</v>
      </c>
      <c r="H3353" s="2" t="s">
        <v>23</v>
      </c>
      <c r="I3353" s="2" t="s">
        <v>23</v>
      </c>
      <c r="J3353" s="2">
        <v>1</v>
      </c>
      <c r="K3353" s="2" t="s">
        <v>24</v>
      </c>
      <c r="L3353" s="2">
        <v>2541</v>
      </c>
      <c r="M3353" s="2" t="s">
        <v>534</v>
      </c>
      <c r="N3353" s="2">
        <v>92</v>
      </c>
      <c r="O3353" s="2">
        <v>5177372.8600000003</v>
      </c>
      <c r="P3353" s="2">
        <v>56275.79</v>
      </c>
    </row>
    <row r="3354" spans="1:16" outlineLevel="1" x14ac:dyDescent="0.2">
      <c r="A3354" s="5"/>
      <c r="D3354" s="3" t="s">
        <v>734</v>
      </c>
      <c r="N3354" s="2">
        <f>SUBTOTAL(9,N3353:N3353)</f>
        <v>92</v>
      </c>
      <c r="O3354" s="2">
        <f>SUBTOTAL(9,O3353:O3353)</f>
        <v>5177372.8600000003</v>
      </c>
      <c r="P3354" s="2">
        <f>+O3354/N3354</f>
        <v>56275.791956521745</v>
      </c>
    </row>
    <row r="3355" spans="1:16" outlineLevel="2" x14ac:dyDescent="0.2">
      <c r="A3355" s="5">
        <v>46160</v>
      </c>
      <c r="B3355" s="2">
        <v>159500</v>
      </c>
      <c r="C3355" s="2">
        <v>2</v>
      </c>
      <c r="D3355" s="2" t="s">
        <v>75</v>
      </c>
      <c r="E3355" s="2" t="s">
        <v>23</v>
      </c>
      <c r="F3355" s="2" t="s">
        <v>108</v>
      </c>
      <c r="G3355" s="2" t="s">
        <v>22</v>
      </c>
      <c r="H3355" s="2" t="s">
        <v>23</v>
      </c>
      <c r="I3355" s="2" t="s">
        <v>23</v>
      </c>
      <c r="J3355" s="2">
        <v>1</v>
      </c>
      <c r="K3355" s="2" t="s">
        <v>24</v>
      </c>
      <c r="L3355" s="2">
        <v>2024</v>
      </c>
      <c r="M3355" s="2" t="s">
        <v>76</v>
      </c>
      <c r="N3355" s="2">
        <v>320</v>
      </c>
      <c r="O3355" s="2">
        <v>10282130.24</v>
      </c>
      <c r="P3355" s="2">
        <v>32131.66</v>
      </c>
    </row>
    <row r="3356" spans="1:16" outlineLevel="2" x14ac:dyDescent="0.2">
      <c r="A3356" s="5">
        <v>46160</v>
      </c>
      <c r="B3356" s="2">
        <v>159500</v>
      </c>
      <c r="C3356" s="2">
        <v>3</v>
      </c>
      <c r="D3356" s="2" t="s">
        <v>75</v>
      </c>
      <c r="E3356" s="2" t="s">
        <v>23</v>
      </c>
      <c r="F3356" s="2" t="s">
        <v>108</v>
      </c>
      <c r="G3356" s="2" t="s">
        <v>22</v>
      </c>
      <c r="H3356" s="2" t="s">
        <v>23</v>
      </c>
      <c r="I3356" s="2" t="s">
        <v>23</v>
      </c>
      <c r="J3356" s="2">
        <v>1</v>
      </c>
      <c r="K3356" s="2" t="s">
        <v>24</v>
      </c>
      <c r="L3356" s="2">
        <v>2024</v>
      </c>
      <c r="M3356" s="2" t="s">
        <v>76</v>
      </c>
      <c r="N3356" s="2">
        <v>160</v>
      </c>
      <c r="O3356" s="2">
        <v>5077756.3499999996</v>
      </c>
      <c r="P3356" s="2">
        <v>31735.98</v>
      </c>
    </row>
    <row r="3357" spans="1:16" outlineLevel="1" x14ac:dyDescent="0.2">
      <c r="A3357" s="5"/>
      <c r="D3357" s="3" t="s">
        <v>729</v>
      </c>
      <c r="N3357" s="2">
        <f>SUBTOTAL(9,N3355:N3356)</f>
        <v>480</v>
      </c>
      <c r="O3357" s="2">
        <f>SUBTOTAL(9,O3355:O3356)</f>
        <v>15359886.59</v>
      </c>
      <c r="P3357" s="2">
        <f>+O3357/N3357</f>
        <v>31999.763729166665</v>
      </c>
    </row>
    <row r="3358" spans="1:16" outlineLevel="2" x14ac:dyDescent="0.2">
      <c r="A3358" s="5">
        <v>46168</v>
      </c>
      <c r="B3358" s="2">
        <v>159501</v>
      </c>
      <c r="C3358" s="2">
        <v>4</v>
      </c>
      <c r="D3358" s="2" t="s">
        <v>38</v>
      </c>
      <c r="E3358" s="2" t="s">
        <v>39</v>
      </c>
      <c r="F3358" s="2" t="s">
        <v>40</v>
      </c>
      <c r="G3358" s="2" t="s">
        <v>22</v>
      </c>
      <c r="H3358" s="2" t="s">
        <v>23</v>
      </c>
      <c r="I3358" s="2" t="s">
        <v>395</v>
      </c>
      <c r="J3358" s="2">
        <v>40</v>
      </c>
      <c r="K3358" s="2" t="s">
        <v>43</v>
      </c>
      <c r="L3358" s="2">
        <v>2579</v>
      </c>
      <c r="M3358" s="2" t="s">
        <v>44</v>
      </c>
      <c r="N3358" s="2">
        <v>189</v>
      </c>
      <c r="O3358" s="2">
        <v>3247295.23</v>
      </c>
      <c r="P3358" s="2">
        <v>17181.46</v>
      </c>
    </row>
    <row r="3359" spans="1:16" outlineLevel="1" x14ac:dyDescent="0.2">
      <c r="A3359" s="5"/>
      <c r="D3359" s="3" t="s">
        <v>721</v>
      </c>
      <c r="N3359" s="2">
        <f>SUBTOTAL(9,N3358:N3358)</f>
        <v>189</v>
      </c>
      <c r="O3359" s="2">
        <f>SUBTOTAL(9,O3358:O3358)</f>
        <v>3247295.23</v>
      </c>
      <c r="P3359" s="2">
        <f>+O3359/N3359</f>
        <v>17181.456243386245</v>
      </c>
    </row>
    <row r="3360" spans="1:16" outlineLevel="2" x14ac:dyDescent="0.2">
      <c r="A3360" s="5">
        <v>46168</v>
      </c>
      <c r="B3360" s="2">
        <v>159507</v>
      </c>
      <c r="C3360" s="2">
        <v>1</v>
      </c>
      <c r="D3360" s="2" t="s">
        <v>33</v>
      </c>
      <c r="E3360" s="2" t="s">
        <v>34</v>
      </c>
      <c r="F3360" s="2" t="s">
        <v>47</v>
      </c>
      <c r="G3360" s="2" t="s">
        <v>22</v>
      </c>
      <c r="H3360" s="2" t="s">
        <v>23</v>
      </c>
      <c r="I3360" s="2" t="s">
        <v>540</v>
      </c>
      <c r="J3360" s="2">
        <v>1</v>
      </c>
      <c r="K3360" s="2" t="s">
        <v>24</v>
      </c>
      <c r="L3360" s="2">
        <v>29100</v>
      </c>
      <c r="M3360" s="2" t="s">
        <v>541</v>
      </c>
      <c r="N3360" s="2">
        <v>140</v>
      </c>
      <c r="O3360" s="2">
        <v>2775991.85</v>
      </c>
      <c r="P3360" s="2">
        <v>19828.509999999998</v>
      </c>
    </row>
    <row r="3361" spans="1:16" outlineLevel="2" x14ac:dyDescent="0.2">
      <c r="A3361" s="5">
        <v>46176</v>
      </c>
      <c r="B3361" s="2">
        <v>159507</v>
      </c>
      <c r="C3361" s="2">
        <v>3</v>
      </c>
      <c r="D3361" s="2" t="s">
        <v>33</v>
      </c>
      <c r="E3361" s="2" t="s">
        <v>34</v>
      </c>
      <c r="F3361" s="2" t="s">
        <v>35</v>
      </c>
      <c r="G3361" s="2" t="s">
        <v>22</v>
      </c>
      <c r="H3361" s="2" t="s">
        <v>23</v>
      </c>
      <c r="I3361" s="2" t="s">
        <v>154</v>
      </c>
      <c r="J3361" s="2">
        <v>1</v>
      </c>
      <c r="K3361" s="2" t="s">
        <v>24</v>
      </c>
      <c r="L3361" s="2">
        <v>2909</v>
      </c>
      <c r="M3361" s="2" t="s">
        <v>542</v>
      </c>
      <c r="N3361" s="2">
        <v>132</v>
      </c>
      <c r="O3361" s="2">
        <v>2505870.7400000002</v>
      </c>
      <c r="P3361" s="2">
        <v>18983.87</v>
      </c>
    </row>
    <row r="3362" spans="1:16" outlineLevel="2" x14ac:dyDescent="0.2">
      <c r="A3362" s="5">
        <v>46168</v>
      </c>
      <c r="B3362" s="2">
        <v>159507</v>
      </c>
      <c r="C3362" s="2">
        <v>4</v>
      </c>
      <c r="D3362" s="2" t="s">
        <v>33</v>
      </c>
      <c r="E3362" s="2" t="s">
        <v>34</v>
      </c>
      <c r="F3362" s="2" t="s">
        <v>47</v>
      </c>
      <c r="G3362" s="2" t="s">
        <v>22</v>
      </c>
      <c r="H3362" s="2" t="s">
        <v>23</v>
      </c>
      <c r="I3362" s="2" t="s">
        <v>543</v>
      </c>
      <c r="J3362" s="2">
        <v>1</v>
      </c>
      <c r="K3362" s="2" t="s">
        <v>24</v>
      </c>
      <c r="L3362" s="2">
        <v>29100</v>
      </c>
      <c r="M3362" s="2" t="s">
        <v>541</v>
      </c>
      <c r="N3362" s="2">
        <v>180</v>
      </c>
      <c r="O3362" s="2">
        <v>3798519.64</v>
      </c>
      <c r="P3362" s="2">
        <v>21102.89</v>
      </c>
    </row>
    <row r="3363" spans="1:16" outlineLevel="1" x14ac:dyDescent="0.2">
      <c r="A3363" s="5"/>
      <c r="D3363" s="3" t="s">
        <v>705</v>
      </c>
      <c r="N3363" s="2">
        <f>SUBTOTAL(9,N3360:N3362)</f>
        <v>452</v>
      </c>
      <c r="O3363" s="2">
        <f>SUBTOTAL(9,O3360:O3362)</f>
        <v>9080382.2300000004</v>
      </c>
      <c r="P3363" s="2">
        <f>+O3363/N3363</f>
        <v>20089.341216814159</v>
      </c>
    </row>
    <row r="3364" spans="1:16" outlineLevel="2" x14ac:dyDescent="0.2">
      <c r="A3364" s="5">
        <v>46176</v>
      </c>
      <c r="B3364" s="2">
        <v>159508</v>
      </c>
      <c r="C3364" s="2">
        <v>4</v>
      </c>
      <c r="D3364" s="2" t="s">
        <v>57</v>
      </c>
      <c r="E3364" s="2" t="s">
        <v>259</v>
      </c>
      <c r="F3364" s="2" t="s">
        <v>31</v>
      </c>
      <c r="G3364" s="2" t="s">
        <v>22</v>
      </c>
      <c r="H3364" s="2" t="s">
        <v>23</v>
      </c>
      <c r="I3364" s="2" t="s">
        <v>23</v>
      </c>
      <c r="J3364" s="2">
        <v>1</v>
      </c>
      <c r="K3364" s="2" t="s">
        <v>24</v>
      </c>
      <c r="L3364" s="2">
        <v>226</v>
      </c>
      <c r="M3364" s="2" t="s">
        <v>59</v>
      </c>
      <c r="N3364" s="2">
        <v>49</v>
      </c>
      <c r="O3364" s="2">
        <v>959774.16</v>
      </c>
      <c r="P3364" s="2">
        <v>19587.23</v>
      </c>
    </row>
    <row r="3365" spans="1:16" outlineLevel="1" x14ac:dyDescent="0.2">
      <c r="A3365" s="5"/>
      <c r="D3365" s="3" t="s">
        <v>716</v>
      </c>
      <c r="N3365" s="2">
        <f>SUBTOTAL(9,N3364:N3364)</f>
        <v>49</v>
      </c>
      <c r="O3365" s="2">
        <f>SUBTOTAL(9,O3364:O3364)</f>
        <v>959774.16</v>
      </c>
      <c r="P3365" s="2">
        <f>+O3365/N3365</f>
        <v>19587.227755102042</v>
      </c>
    </row>
    <row r="3366" spans="1:16" outlineLevel="2" x14ac:dyDescent="0.2">
      <c r="A3366" s="5">
        <v>46171</v>
      </c>
      <c r="B3366" s="2">
        <v>159511</v>
      </c>
      <c r="C3366" s="2">
        <v>1</v>
      </c>
      <c r="D3366" s="2" t="s">
        <v>539</v>
      </c>
      <c r="E3366" s="2" t="s">
        <v>284</v>
      </c>
      <c r="F3366" s="2" t="s">
        <v>252</v>
      </c>
      <c r="G3366" s="2" t="s">
        <v>22</v>
      </c>
      <c r="H3366" s="2" t="s">
        <v>23</v>
      </c>
      <c r="I3366" s="2" t="s">
        <v>23</v>
      </c>
      <c r="J3366" s="2">
        <v>86</v>
      </c>
      <c r="K3366" s="2" t="s">
        <v>73</v>
      </c>
      <c r="L3366" s="2">
        <v>3003</v>
      </c>
      <c r="M3366" s="2" t="s">
        <v>414</v>
      </c>
      <c r="N3366" s="2">
        <v>73</v>
      </c>
      <c r="O3366" s="2">
        <v>955264.22</v>
      </c>
      <c r="P3366" s="2">
        <v>13085.81</v>
      </c>
    </row>
    <row r="3367" spans="1:16" outlineLevel="1" x14ac:dyDescent="0.2">
      <c r="A3367" s="5"/>
      <c r="D3367" s="3" t="s">
        <v>795</v>
      </c>
      <c r="N3367" s="2">
        <f>SUBTOTAL(9,N3366:N3366)</f>
        <v>73</v>
      </c>
      <c r="O3367" s="2">
        <f>SUBTOTAL(9,O3366:O3366)</f>
        <v>955264.22</v>
      </c>
      <c r="P3367" s="2">
        <f>+O3367/N3367</f>
        <v>13085.811232876711</v>
      </c>
    </row>
    <row r="3368" spans="1:16" outlineLevel="2" x14ac:dyDescent="0.2">
      <c r="A3368" s="5">
        <v>46171</v>
      </c>
      <c r="B3368" s="2">
        <v>159511</v>
      </c>
      <c r="C3368" s="2">
        <v>2</v>
      </c>
      <c r="D3368" s="2" t="s">
        <v>197</v>
      </c>
      <c r="E3368" s="2" t="s">
        <v>284</v>
      </c>
      <c r="F3368" s="2" t="s">
        <v>252</v>
      </c>
      <c r="G3368" s="2" t="s">
        <v>22</v>
      </c>
      <c r="H3368" s="2" t="s">
        <v>23</v>
      </c>
      <c r="I3368" s="2" t="s">
        <v>23</v>
      </c>
      <c r="J3368" s="2">
        <v>1</v>
      </c>
      <c r="K3368" s="2" t="s">
        <v>24</v>
      </c>
      <c r="L3368" s="2">
        <v>3003</v>
      </c>
      <c r="M3368" s="2" t="s">
        <v>414</v>
      </c>
      <c r="N3368" s="2">
        <v>72</v>
      </c>
      <c r="O3368" s="2">
        <v>1051710.72</v>
      </c>
      <c r="P3368" s="2">
        <v>14607.09</v>
      </c>
    </row>
    <row r="3369" spans="1:16" outlineLevel="1" x14ac:dyDescent="0.2">
      <c r="A3369" s="5"/>
      <c r="D3369" s="3" t="s">
        <v>734</v>
      </c>
      <c r="N3369" s="2">
        <f>SUBTOTAL(9,N3368:N3368)</f>
        <v>72</v>
      </c>
      <c r="O3369" s="2">
        <f>SUBTOTAL(9,O3368:O3368)</f>
        <v>1051710.72</v>
      </c>
      <c r="P3369" s="2">
        <f>+O3369/N3369</f>
        <v>14607.093333333332</v>
      </c>
    </row>
    <row r="3370" spans="1:16" outlineLevel="2" x14ac:dyDescent="0.2">
      <c r="A3370" s="5">
        <v>46160</v>
      </c>
      <c r="B3370" s="2">
        <v>159512</v>
      </c>
      <c r="C3370" s="2">
        <v>5</v>
      </c>
      <c r="D3370" s="2" t="s">
        <v>45</v>
      </c>
      <c r="E3370" s="2" t="s">
        <v>125</v>
      </c>
      <c r="F3370" s="2" t="s">
        <v>289</v>
      </c>
      <c r="G3370" s="2" t="s">
        <v>22</v>
      </c>
      <c r="H3370" s="2" t="s">
        <v>23</v>
      </c>
      <c r="I3370" s="2" t="s">
        <v>23</v>
      </c>
      <c r="J3370" s="2">
        <v>2</v>
      </c>
      <c r="K3370" s="2" t="s">
        <v>48</v>
      </c>
      <c r="L3370" s="2">
        <v>106</v>
      </c>
      <c r="M3370" s="2" t="s">
        <v>486</v>
      </c>
      <c r="N3370" s="2">
        <v>56</v>
      </c>
      <c r="O3370" s="2">
        <v>2057153.86</v>
      </c>
      <c r="P3370" s="2">
        <v>36734.89</v>
      </c>
    </row>
    <row r="3371" spans="1:16" outlineLevel="2" x14ac:dyDescent="0.2">
      <c r="A3371" s="5">
        <v>46160</v>
      </c>
      <c r="B3371" s="2">
        <v>159512</v>
      </c>
      <c r="C3371" s="2">
        <v>6</v>
      </c>
      <c r="D3371" s="2" t="s">
        <v>45</v>
      </c>
      <c r="E3371" s="2" t="s">
        <v>125</v>
      </c>
      <c r="F3371" s="2" t="s">
        <v>289</v>
      </c>
      <c r="G3371" s="2" t="s">
        <v>22</v>
      </c>
      <c r="H3371" s="2" t="s">
        <v>23</v>
      </c>
      <c r="I3371" s="2" t="s">
        <v>23</v>
      </c>
      <c r="J3371" s="2">
        <v>2</v>
      </c>
      <c r="K3371" s="2" t="s">
        <v>48</v>
      </c>
      <c r="L3371" s="2">
        <v>106</v>
      </c>
      <c r="M3371" s="2" t="s">
        <v>486</v>
      </c>
      <c r="N3371" s="2">
        <v>56</v>
      </c>
      <c r="O3371" s="2">
        <v>2178288</v>
      </c>
      <c r="P3371" s="2">
        <v>38898</v>
      </c>
    </row>
    <row r="3372" spans="1:16" outlineLevel="2" x14ac:dyDescent="0.2">
      <c r="A3372" s="5">
        <v>46160</v>
      </c>
      <c r="B3372" s="2">
        <v>159513</v>
      </c>
      <c r="C3372" s="2">
        <v>9</v>
      </c>
      <c r="D3372" s="2" t="s">
        <v>45</v>
      </c>
      <c r="E3372" s="2" t="s">
        <v>228</v>
      </c>
      <c r="F3372" s="2" t="s">
        <v>289</v>
      </c>
      <c r="G3372" s="2" t="s">
        <v>22</v>
      </c>
      <c r="H3372" s="2" t="s">
        <v>23</v>
      </c>
      <c r="I3372" s="2" t="s">
        <v>23</v>
      </c>
      <c r="J3372" s="2">
        <v>41</v>
      </c>
      <c r="K3372" s="2" t="s">
        <v>129</v>
      </c>
      <c r="L3372" s="2">
        <v>801</v>
      </c>
      <c r="M3372" s="2" t="s">
        <v>56</v>
      </c>
      <c r="N3372" s="2">
        <v>50</v>
      </c>
      <c r="O3372" s="2">
        <v>834905.8</v>
      </c>
      <c r="P3372" s="2">
        <v>16698.12</v>
      </c>
    </row>
    <row r="3373" spans="1:16" outlineLevel="2" x14ac:dyDescent="0.2">
      <c r="A3373" s="5">
        <v>46160</v>
      </c>
      <c r="B3373" s="2">
        <v>159513</v>
      </c>
      <c r="C3373" s="2">
        <v>10</v>
      </c>
      <c r="D3373" s="2" t="s">
        <v>45</v>
      </c>
      <c r="E3373" s="2" t="s">
        <v>228</v>
      </c>
      <c r="F3373" s="2" t="s">
        <v>289</v>
      </c>
      <c r="G3373" s="2" t="s">
        <v>22</v>
      </c>
      <c r="H3373" s="2" t="s">
        <v>23</v>
      </c>
      <c r="I3373" s="2" t="s">
        <v>23</v>
      </c>
      <c r="J3373" s="2">
        <v>41</v>
      </c>
      <c r="K3373" s="2" t="s">
        <v>129</v>
      </c>
      <c r="L3373" s="2">
        <v>801</v>
      </c>
      <c r="M3373" s="2" t="s">
        <v>56</v>
      </c>
      <c r="N3373" s="2">
        <v>45</v>
      </c>
      <c r="O3373" s="2">
        <v>865698.45</v>
      </c>
      <c r="P3373" s="2">
        <v>19237.740000000002</v>
      </c>
    </row>
    <row r="3374" spans="1:16" outlineLevel="2" x14ac:dyDescent="0.2">
      <c r="A3374" s="5">
        <v>46160</v>
      </c>
      <c r="B3374" s="2">
        <v>159513</v>
      </c>
      <c r="C3374" s="2">
        <v>11</v>
      </c>
      <c r="D3374" s="2" t="s">
        <v>45</v>
      </c>
      <c r="E3374" s="2" t="s">
        <v>228</v>
      </c>
      <c r="F3374" s="2" t="s">
        <v>289</v>
      </c>
      <c r="G3374" s="2" t="s">
        <v>22</v>
      </c>
      <c r="H3374" s="2" t="s">
        <v>23</v>
      </c>
      <c r="I3374" s="2" t="s">
        <v>23</v>
      </c>
      <c r="J3374" s="2">
        <v>41</v>
      </c>
      <c r="K3374" s="2" t="s">
        <v>129</v>
      </c>
      <c r="L3374" s="2">
        <v>801</v>
      </c>
      <c r="M3374" s="2" t="s">
        <v>56</v>
      </c>
      <c r="N3374" s="2">
        <v>26</v>
      </c>
      <c r="O3374" s="2">
        <v>623152.88</v>
      </c>
      <c r="P3374" s="2">
        <v>23967.42</v>
      </c>
    </row>
    <row r="3375" spans="1:16" outlineLevel="1" x14ac:dyDescent="0.2">
      <c r="A3375" s="5"/>
      <c r="D3375" s="3" t="s">
        <v>733</v>
      </c>
      <c r="N3375" s="2">
        <f>SUBTOTAL(9,N3370:N3374)</f>
        <v>233</v>
      </c>
      <c r="O3375" s="2">
        <f>SUBTOTAL(9,O3370:O3374)</f>
        <v>6559198.9900000002</v>
      </c>
      <c r="P3375" s="2">
        <f>+O3375/N3375</f>
        <v>28151.068626609442</v>
      </c>
    </row>
    <row r="3376" spans="1:16" outlineLevel="2" x14ac:dyDescent="0.2">
      <c r="A3376" s="5">
        <v>46160</v>
      </c>
      <c r="B3376" s="2">
        <v>159513</v>
      </c>
      <c r="C3376" s="2">
        <v>13</v>
      </c>
      <c r="D3376" s="2" t="s">
        <v>226</v>
      </c>
      <c r="E3376" s="2" t="s">
        <v>530</v>
      </c>
      <c r="F3376" s="2" t="s">
        <v>289</v>
      </c>
      <c r="G3376" s="2" t="s">
        <v>22</v>
      </c>
      <c r="H3376" s="2" t="s">
        <v>23</v>
      </c>
      <c r="I3376" s="2" t="s">
        <v>23</v>
      </c>
      <c r="J3376" s="2">
        <v>41</v>
      </c>
      <c r="K3376" s="2" t="s">
        <v>129</v>
      </c>
      <c r="L3376" s="2">
        <v>801</v>
      </c>
      <c r="M3376" s="2" t="s">
        <v>56</v>
      </c>
      <c r="N3376" s="2">
        <v>24</v>
      </c>
      <c r="O3376" s="2">
        <v>495875.66</v>
      </c>
      <c r="P3376" s="2">
        <v>20661.490000000002</v>
      </c>
    </row>
    <row r="3377" spans="1:16" outlineLevel="2" x14ac:dyDescent="0.2">
      <c r="A3377" s="5">
        <v>46160</v>
      </c>
      <c r="B3377" s="2">
        <v>159513</v>
      </c>
      <c r="C3377" s="2">
        <v>16</v>
      </c>
      <c r="D3377" s="2" t="s">
        <v>226</v>
      </c>
      <c r="E3377" s="2" t="s">
        <v>151</v>
      </c>
      <c r="F3377" s="2" t="s">
        <v>289</v>
      </c>
      <c r="G3377" s="2" t="s">
        <v>22</v>
      </c>
      <c r="H3377" s="2" t="s">
        <v>23</v>
      </c>
      <c r="I3377" s="2" t="s">
        <v>23</v>
      </c>
      <c r="J3377" s="2">
        <v>41</v>
      </c>
      <c r="K3377" s="2" t="s">
        <v>129</v>
      </c>
      <c r="L3377" s="2">
        <v>801</v>
      </c>
      <c r="M3377" s="2" t="s">
        <v>56</v>
      </c>
      <c r="N3377" s="2">
        <v>24</v>
      </c>
      <c r="O3377" s="2">
        <v>425867.51</v>
      </c>
      <c r="P3377" s="2">
        <v>17744.48</v>
      </c>
    </row>
    <row r="3378" spans="1:16" outlineLevel="2" x14ac:dyDescent="0.2">
      <c r="A3378" s="5">
        <v>46160</v>
      </c>
      <c r="B3378" s="2">
        <v>159513</v>
      </c>
      <c r="C3378" s="2">
        <v>17</v>
      </c>
      <c r="D3378" s="2" t="s">
        <v>226</v>
      </c>
      <c r="E3378" s="2" t="s">
        <v>544</v>
      </c>
      <c r="F3378" s="2" t="s">
        <v>289</v>
      </c>
      <c r="G3378" s="2" t="s">
        <v>22</v>
      </c>
      <c r="H3378" s="2" t="s">
        <v>23</v>
      </c>
      <c r="I3378" s="2" t="s">
        <v>23</v>
      </c>
      <c r="J3378" s="2">
        <v>41</v>
      </c>
      <c r="K3378" s="2" t="s">
        <v>129</v>
      </c>
      <c r="L3378" s="2">
        <v>801</v>
      </c>
      <c r="M3378" s="2" t="s">
        <v>56</v>
      </c>
      <c r="N3378" s="2">
        <v>26</v>
      </c>
      <c r="O3378" s="2">
        <v>783704.34</v>
      </c>
      <c r="P3378" s="2">
        <v>30142.47</v>
      </c>
    </row>
    <row r="3379" spans="1:16" outlineLevel="2" x14ac:dyDescent="0.2">
      <c r="A3379" s="5">
        <v>46160</v>
      </c>
      <c r="B3379" s="2">
        <v>159513</v>
      </c>
      <c r="C3379" s="2">
        <v>18</v>
      </c>
      <c r="D3379" s="2" t="s">
        <v>226</v>
      </c>
      <c r="E3379" s="2" t="s">
        <v>544</v>
      </c>
      <c r="F3379" s="2" t="s">
        <v>289</v>
      </c>
      <c r="G3379" s="2" t="s">
        <v>22</v>
      </c>
      <c r="H3379" s="2" t="s">
        <v>23</v>
      </c>
      <c r="I3379" s="2" t="s">
        <v>23</v>
      </c>
      <c r="J3379" s="2">
        <v>41</v>
      </c>
      <c r="K3379" s="2" t="s">
        <v>129</v>
      </c>
      <c r="L3379" s="2">
        <v>801</v>
      </c>
      <c r="M3379" s="2" t="s">
        <v>56</v>
      </c>
      <c r="N3379" s="2">
        <v>28</v>
      </c>
      <c r="O3379" s="2">
        <v>885421.74</v>
      </c>
      <c r="P3379" s="2">
        <v>31622.21</v>
      </c>
    </row>
    <row r="3380" spans="1:16" outlineLevel="1" x14ac:dyDescent="0.2">
      <c r="A3380" s="5"/>
      <c r="D3380" s="3" t="s">
        <v>736</v>
      </c>
      <c r="N3380" s="2">
        <f>SUBTOTAL(9,N3376:N3379)</f>
        <v>102</v>
      </c>
      <c r="O3380" s="2">
        <f>SUBTOTAL(9,O3376:O3379)</f>
        <v>2590869.25</v>
      </c>
      <c r="P3380" s="2">
        <f>+O3380/N3380</f>
        <v>25400.678921568626</v>
      </c>
    </row>
    <row r="3381" spans="1:16" outlineLevel="2" x14ac:dyDescent="0.2">
      <c r="A3381" s="5">
        <v>46160</v>
      </c>
      <c r="B3381" s="2">
        <v>159514</v>
      </c>
      <c r="C3381" s="2">
        <v>1</v>
      </c>
      <c r="D3381" s="2" t="s">
        <v>70</v>
      </c>
      <c r="E3381" s="2" t="s">
        <v>23</v>
      </c>
      <c r="F3381" s="2" t="s">
        <v>63</v>
      </c>
      <c r="G3381" s="2" t="s">
        <v>22</v>
      </c>
      <c r="H3381" s="2" t="s">
        <v>23</v>
      </c>
      <c r="I3381" s="2" t="s">
        <v>23</v>
      </c>
      <c r="J3381" s="2">
        <v>68</v>
      </c>
      <c r="K3381" s="2" t="s">
        <v>537</v>
      </c>
      <c r="L3381" s="2">
        <v>896</v>
      </c>
      <c r="M3381" s="2" t="s">
        <v>74</v>
      </c>
      <c r="N3381" s="2">
        <v>45</v>
      </c>
      <c r="O3381" s="2">
        <v>5026980.1500000004</v>
      </c>
      <c r="P3381" s="2">
        <v>111710.67</v>
      </c>
    </row>
    <row r="3382" spans="1:16" outlineLevel="1" x14ac:dyDescent="0.2">
      <c r="A3382" s="5"/>
      <c r="D3382" s="3" t="s">
        <v>695</v>
      </c>
      <c r="N3382" s="2">
        <f>SUBTOTAL(9,N3381:N3381)</f>
        <v>45</v>
      </c>
      <c r="O3382" s="2">
        <f>SUBTOTAL(9,O3381:O3381)</f>
        <v>5026980.1500000004</v>
      </c>
      <c r="P3382" s="2">
        <f>+O3382/N3382</f>
        <v>111710.67000000001</v>
      </c>
    </row>
    <row r="3383" spans="1:16" outlineLevel="2" x14ac:dyDescent="0.2">
      <c r="A3383" s="5">
        <v>46176</v>
      </c>
      <c r="B3383" s="2">
        <v>159515</v>
      </c>
      <c r="C3383" s="2">
        <v>315</v>
      </c>
      <c r="D3383" s="2" t="s">
        <v>524</v>
      </c>
      <c r="E3383" s="2" t="s">
        <v>23</v>
      </c>
      <c r="F3383" s="2" t="s">
        <v>72</v>
      </c>
      <c r="G3383" s="2" t="s">
        <v>22</v>
      </c>
      <c r="H3383" s="2" t="s">
        <v>23</v>
      </c>
      <c r="I3383" s="2" t="s">
        <v>23</v>
      </c>
      <c r="J3383" s="2">
        <v>1</v>
      </c>
      <c r="K3383" s="2" t="s">
        <v>24</v>
      </c>
      <c r="L3383" s="2">
        <v>684</v>
      </c>
      <c r="M3383" s="2" t="s">
        <v>69</v>
      </c>
      <c r="N3383" s="2">
        <v>67</v>
      </c>
      <c r="O3383" s="2">
        <v>181114.59</v>
      </c>
      <c r="P3383" s="2">
        <v>2703.2</v>
      </c>
    </row>
    <row r="3384" spans="1:16" outlineLevel="1" x14ac:dyDescent="0.2">
      <c r="A3384" s="5"/>
      <c r="D3384" s="3" t="s">
        <v>794</v>
      </c>
      <c r="N3384" s="2">
        <f>SUBTOTAL(9,N3383:N3383)</f>
        <v>67</v>
      </c>
      <c r="O3384" s="2">
        <f>SUBTOTAL(9,O3383:O3383)</f>
        <v>181114.59</v>
      </c>
      <c r="P3384" s="2">
        <f>+O3384/N3384</f>
        <v>2703.2028358208954</v>
      </c>
    </row>
    <row r="3385" spans="1:16" outlineLevel="2" x14ac:dyDescent="0.2">
      <c r="A3385" s="5">
        <v>46164</v>
      </c>
      <c r="B3385" s="2">
        <v>159518</v>
      </c>
      <c r="C3385" s="2">
        <v>315</v>
      </c>
      <c r="D3385" s="2" t="s">
        <v>545</v>
      </c>
      <c r="E3385" s="2" t="s">
        <v>51</v>
      </c>
      <c r="F3385" s="2" t="s">
        <v>47</v>
      </c>
      <c r="G3385" s="2" t="s">
        <v>22</v>
      </c>
      <c r="H3385" s="2" t="s">
        <v>23</v>
      </c>
      <c r="I3385" s="2" t="s">
        <v>23</v>
      </c>
      <c r="J3385" s="2">
        <v>5</v>
      </c>
      <c r="K3385" s="2" t="s">
        <v>27</v>
      </c>
      <c r="L3385" s="2">
        <v>3048</v>
      </c>
      <c r="M3385" s="2" t="s">
        <v>53</v>
      </c>
      <c r="N3385" s="2">
        <v>110</v>
      </c>
      <c r="O3385" s="2">
        <v>445633.72</v>
      </c>
      <c r="P3385" s="2">
        <v>4051.22</v>
      </c>
    </row>
    <row r="3386" spans="1:16" outlineLevel="1" x14ac:dyDescent="0.2">
      <c r="A3386" s="5"/>
      <c r="D3386" s="3" t="s">
        <v>796</v>
      </c>
      <c r="N3386" s="2">
        <f>SUBTOTAL(9,N3385:N3385)</f>
        <v>110</v>
      </c>
      <c r="O3386" s="2">
        <f>SUBTOTAL(9,O3385:O3385)</f>
        <v>445633.72</v>
      </c>
      <c r="P3386" s="2">
        <f>+O3386/N3386</f>
        <v>4051.2156363636359</v>
      </c>
    </row>
    <row r="3387" spans="1:16" outlineLevel="2" x14ac:dyDescent="0.2">
      <c r="A3387" s="5">
        <v>46171</v>
      </c>
      <c r="B3387" s="2">
        <v>159519</v>
      </c>
      <c r="C3387" s="2">
        <v>3</v>
      </c>
      <c r="D3387" s="2" t="s">
        <v>26</v>
      </c>
      <c r="E3387" s="2" t="s">
        <v>459</v>
      </c>
      <c r="F3387" s="2" t="s">
        <v>52</v>
      </c>
      <c r="G3387" s="2" t="s">
        <v>22</v>
      </c>
      <c r="H3387" s="2" t="s">
        <v>23</v>
      </c>
      <c r="I3387" s="2" t="s">
        <v>23</v>
      </c>
      <c r="J3387" s="2">
        <v>1</v>
      </c>
      <c r="K3387" s="2" t="s">
        <v>24</v>
      </c>
      <c r="L3387" s="2">
        <v>2602</v>
      </c>
      <c r="M3387" s="2" t="s">
        <v>464</v>
      </c>
      <c r="N3387" s="2">
        <v>34</v>
      </c>
      <c r="O3387" s="2">
        <v>84942.87</v>
      </c>
      <c r="P3387" s="2">
        <v>2498.3200000000002</v>
      </c>
    </row>
    <row r="3388" spans="1:16" outlineLevel="2" x14ac:dyDescent="0.2">
      <c r="A3388" s="5">
        <v>46171</v>
      </c>
      <c r="B3388" s="2">
        <v>159519</v>
      </c>
      <c r="C3388" s="2">
        <v>5</v>
      </c>
      <c r="D3388" s="2" t="s">
        <v>26</v>
      </c>
      <c r="E3388" s="2" t="s">
        <v>459</v>
      </c>
      <c r="F3388" s="2" t="s">
        <v>52</v>
      </c>
      <c r="G3388" s="2" t="s">
        <v>22</v>
      </c>
      <c r="H3388" s="2" t="s">
        <v>23</v>
      </c>
      <c r="I3388" s="2" t="s">
        <v>23</v>
      </c>
      <c r="J3388" s="2">
        <v>1</v>
      </c>
      <c r="K3388" s="2" t="s">
        <v>24</v>
      </c>
      <c r="L3388" s="2">
        <v>2602</v>
      </c>
      <c r="M3388" s="2" t="s">
        <v>464</v>
      </c>
      <c r="N3388" s="2">
        <v>7</v>
      </c>
      <c r="O3388" s="2">
        <v>17021.52</v>
      </c>
      <c r="P3388" s="2">
        <v>2431.65</v>
      </c>
    </row>
    <row r="3389" spans="1:16" outlineLevel="2" x14ac:dyDescent="0.2">
      <c r="A3389" s="5">
        <v>46171</v>
      </c>
      <c r="B3389" s="2">
        <v>159519</v>
      </c>
      <c r="C3389" s="2">
        <v>200</v>
      </c>
      <c r="D3389" s="2" t="s">
        <v>26</v>
      </c>
      <c r="E3389" s="2" t="s">
        <v>23</v>
      </c>
      <c r="F3389" s="2" t="s">
        <v>23</v>
      </c>
      <c r="G3389" s="2" t="s">
        <v>22</v>
      </c>
      <c r="H3389" s="2" t="s">
        <v>23</v>
      </c>
      <c r="I3389" s="2" t="s">
        <v>23</v>
      </c>
      <c r="J3389" s="2">
        <v>5</v>
      </c>
      <c r="K3389" s="2" t="s">
        <v>27</v>
      </c>
      <c r="L3389" s="2">
        <v>2602</v>
      </c>
      <c r="M3389" s="2" t="s">
        <v>464</v>
      </c>
      <c r="N3389" s="2">
        <v>54</v>
      </c>
      <c r="O3389" s="2">
        <v>233032.08</v>
      </c>
      <c r="P3389" s="2">
        <v>4315.41</v>
      </c>
    </row>
    <row r="3390" spans="1:16" outlineLevel="2" x14ac:dyDescent="0.2">
      <c r="A3390" s="5">
        <v>46199</v>
      </c>
      <c r="B3390" s="2">
        <v>159519</v>
      </c>
      <c r="C3390" s="2">
        <v>305</v>
      </c>
      <c r="D3390" s="2" t="s">
        <v>26</v>
      </c>
      <c r="E3390" s="2" t="s">
        <v>51</v>
      </c>
      <c r="F3390" s="2" t="s">
        <v>23</v>
      </c>
      <c r="G3390" s="2" t="s">
        <v>22</v>
      </c>
      <c r="H3390" s="2" t="s">
        <v>23</v>
      </c>
      <c r="I3390" s="2" t="s">
        <v>23</v>
      </c>
      <c r="J3390" s="2">
        <v>5</v>
      </c>
      <c r="K3390" s="2" t="s">
        <v>27</v>
      </c>
      <c r="L3390" s="2">
        <v>786</v>
      </c>
      <c r="M3390" s="2" t="s">
        <v>546</v>
      </c>
      <c r="N3390" s="2">
        <v>14</v>
      </c>
      <c r="O3390" s="2">
        <v>61112.66</v>
      </c>
      <c r="P3390" s="2">
        <v>4365.1899999999996</v>
      </c>
    </row>
    <row r="3391" spans="1:16" outlineLevel="2" x14ac:dyDescent="0.2">
      <c r="A3391" s="5">
        <v>46176</v>
      </c>
      <c r="B3391" s="2">
        <v>159519</v>
      </c>
      <c r="C3391" s="2">
        <v>306</v>
      </c>
      <c r="D3391" s="2" t="s">
        <v>26</v>
      </c>
      <c r="E3391" s="2" t="s">
        <v>55</v>
      </c>
      <c r="F3391" s="2" t="s">
        <v>23</v>
      </c>
      <c r="G3391" s="2" t="s">
        <v>23</v>
      </c>
      <c r="H3391" s="2" t="s">
        <v>23</v>
      </c>
      <c r="I3391" s="2" t="s">
        <v>23</v>
      </c>
      <c r="J3391" s="2">
        <v>5</v>
      </c>
      <c r="K3391" s="2" t="s">
        <v>27</v>
      </c>
      <c r="L3391" s="2">
        <v>2602</v>
      </c>
      <c r="M3391" s="2" t="s">
        <v>464</v>
      </c>
      <c r="N3391" s="2">
        <v>36</v>
      </c>
      <c r="O3391" s="2">
        <v>159013.72</v>
      </c>
      <c r="P3391" s="2">
        <v>4417.05</v>
      </c>
    </row>
    <row r="3392" spans="1:16" outlineLevel="2" x14ac:dyDescent="0.2">
      <c r="A3392" s="5">
        <v>46178</v>
      </c>
      <c r="B3392" s="2">
        <v>159519</v>
      </c>
      <c r="C3392" s="2">
        <v>315</v>
      </c>
      <c r="D3392" s="2" t="s">
        <v>26</v>
      </c>
      <c r="E3392" s="2" t="s">
        <v>55</v>
      </c>
      <c r="F3392" s="2" t="s">
        <v>23</v>
      </c>
      <c r="G3392" s="2" t="s">
        <v>23</v>
      </c>
      <c r="H3392" s="2" t="s">
        <v>23</v>
      </c>
      <c r="I3392" s="2" t="s">
        <v>23</v>
      </c>
      <c r="J3392" s="2">
        <v>5</v>
      </c>
      <c r="K3392" s="2" t="s">
        <v>27</v>
      </c>
      <c r="L3392" s="2">
        <v>2602</v>
      </c>
      <c r="M3392" s="2" t="s">
        <v>464</v>
      </c>
      <c r="N3392" s="2">
        <v>112</v>
      </c>
      <c r="O3392" s="2">
        <v>418893.47</v>
      </c>
      <c r="P3392" s="2">
        <v>3740.12</v>
      </c>
    </row>
    <row r="3393" spans="1:16" outlineLevel="1" x14ac:dyDescent="0.2">
      <c r="A3393" s="5"/>
      <c r="D3393" s="3" t="s">
        <v>711</v>
      </c>
      <c r="N3393" s="2">
        <f>SUBTOTAL(9,N3387:N3392)</f>
        <v>257</v>
      </c>
      <c r="O3393" s="2">
        <f>SUBTOTAL(9,O3387:O3392)</f>
        <v>974016.32</v>
      </c>
      <c r="P3393" s="2">
        <f>+O3393/N3393</f>
        <v>3789.9467704280155</v>
      </c>
    </row>
    <row r="3394" spans="1:16" outlineLevel="2" x14ac:dyDescent="0.2">
      <c r="A3394" s="5">
        <v>46162</v>
      </c>
      <c r="B3394" s="2">
        <v>159522</v>
      </c>
      <c r="C3394" s="2">
        <v>1</v>
      </c>
      <c r="D3394" s="2" t="s">
        <v>140</v>
      </c>
      <c r="E3394" s="2" t="s">
        <v>55</v>
      </c>
      <c r="F3394" s="2" t="s">
        <v>47</v>
      </c>
      <c r="G3394" s="2" t="s">
        <v>22</v>
      </c>
      <c r="H3394" s="2" t="s">
        <v>23</v>
      </c>
      <c r="I3394" s="2" t="s">
        <v>23</v>
      </c>
      <c r="J3394" s="2">
        <v>1</v>
      </c>
      <c r="K3394" s="2" t="s">
        <v>24</v>
      </c>
      <c r="L3394" s="2">
        <v>1833</v>
      </c>
      <c r="M3394" s="2" t="s">
        <v>142</v>
      </c>
      <c r="N3394" s="2">
        <v>2</v>
      </c>
      <c r="O3394" s="2">
        <v>18064.78</v>
      </c>
      <c r="P3394" s="2">
        <v>9032.39</v>
      </c>
    </row>
    <row r="3395" spans="1:16" outlineLevel="1" x14ac:dyDescent="0.2">
      <c r="A3395" s="5"/>
      <c r="D3395" s="3" t="s">
        <v>696</v>
      </c>
      <c r="N3395" s="2">
        <f>SUBTOTAL(9,N3394:N3394)</f>
        <v>2</v>
      </c>
      <c r="O3395" s="2">
        <f>SUBTOTAL(9,O3394:O3394)</f>
        <v>18064.78</v>
      </c>
      <c r="P3395" s="2">
        <f>+O3395/N3395</f>
        <v>9032.39</v>
      </c>
    </row>
    <row r="3396" spans="1:16" outlineLevel="2" x14ac:dyDescent="0.2">
      <c r="A3396" s="5">
        <v>46168</v>
      </c>
      <c r="B3396" s="2">
        <v>159522</v>
      </c>
      <c r="C3396" s="2">
        <v>315</v>
      </c>
      <c r="D3396" s="2" t="s">
        <v>54</v>
      </c>
      <c r="E3396" s="2" t="s">
        <v>30</v>
      </c>
      <c r="F3396" s="2" t="s">
        <v>47</v>
      </c>
      <c r="G3396" s="2" t="s">
        <v>22</v>
      </c>
      <c r="H3396" s="2" t="s">
        <v>23</v>
      </c>
      <c r="I3396" s="2" t="s">
        <v>23</v>
      </c>
      <c r="J3396" s="2">
        <v>2</v>
      </c>
      <c r="K3396" s="2" t="s">
        <v>48</v>
      </c>
      <c r="L3396" s="2">
        <v>25200</v>
      </c>
      <c r="M3396" s="2" t="s">
        <v>520</v>
      </c>
      <c r="N3396" s="2">
        <v>3</v>
      </c>
      <c r="O3396" s="2">
        <v>10295.25</v>
      </c>
      <c r="P3396" s="2">
        <v>3431.75</v>
      </c>
    </row>
    <row r="3397" spans="1:16" outlineLevel="2" x14ac:dyDescent="0.2">
      <c r="A3397" s="5">
        <v>46162</v>
      </c>
      <c r="B3397" s="2">
        <v>159523</v>
      </c>
      <c r="C3397" s="2">
        <v>315</v>
      </c>
      <c r="D3397" s="2" t="s">
        <v>54</v>
      </c>
      <c r="E3397" s="2" t="s">
        <v>30</v>
      </c>
      <c r="F3397" s="2" t="s">
        <v>47</v>
      </c>
      <c r="G3397" s="2" t="s">
        <v>22</v>
      </c>
      <c r="H3397" s="2" t="s">
        <v>23</v>
      </c>
      <c r="I3397" s="2" t="s">
        <v>23</v>
      </c>
      <c r="J3397" s="2">
        <v>2</v>
      </c>
      <c r="K3397" s="2" t="s">
        <v>48</v>
      </c>
      <c r="L3397" s="2">
        <v>25095</v>
      </c>
      <c r="M3397" s="2" t="s">
        <v>216</v>
      </c>
      <c r="N3397" s="2">
        <v>8</v>
      </c>
      <c r="O3397" s="2">
        <v>72259.12</v>
      </c>
      <c r="P3397" s="2">
        <v>9032.39</v>
      </c>
    </row>
    <row r="3398" spans="1:16" outlineLevel="2" x14ac:dyDescent="0.2">
      <c r="A3398" s="5">
        <v>46162</v>
      </c>
      <c r="B3398" s="2">
        <v>159523</v>
      </c>
      <c r="C3398" s="2">
        <v>316</v>
      </c>
      <c r="D3398" s="2" t="s">
        <v>54</v>
      </c>
      <c r="E3398" s="2" t="s">
        <v>20</v>
      </c>
      <c r="F3398" s="2" t="s">
        <v>47</v>
      </c>
      <c r="G3398" s="2" t="s">
        <v>22</v>
      </c>
      <c r="H3398" s="2" t="s">
        <v>23</v>
      </c>
      <c r="I3398" s="2" t="s">
        <v>23</v>
      </c>
      <c r="J3398" s="2">
        <v>2</v>
      </c>
      <c r="K3398" s="2" t="s">
        <v>48</v>
      </c>
      <c r="L3398" s="2">
        <v>25095</v>
      </c>
      <c r="M3398" s="2" t="s">
        <v>216</v>
      </c>
      <c r="N3398" s="2">
        <v>98</v>
      </c>
      <c r="O3398" s="2">
        <v>497165.24</v>
      </c>
      <c r="P3398" s="2">
        <v>5073.1099999999997</v>
      </c>
    </row>
    <row r="3399" spans="1:16" outlineLevel="2" x14ac:dyDescent="0.2">
      <c r="A3399" s="5">
        <v>46162</v>
      </c>
      <c r="B3399" s="2">
        <v>159523</v>
      </c>
      <c r="C3399" s="2">
        <v>317</v>
      </c>
      <c r="D3399" s="2" t="s">
        <v>54</v>
      </c>
      <c r="E3399" s="2" t="s">
        <v>20</v>
      </c>
      <c r="F3399" s="2" t="s">
        <v>47</v>
      </c>
      <c r="G3399" s="2" t="s">
        <v>22</v>
      </c>
      <c r="H3399" s="2" t="s">
        <v>23</v>
      </c>
      <c r="I3399" s="2" t="s">
        <v>23</v>
      </c>
      <c r="J3399" s="2">
        <v>1</v>
      </c>
      <c r="K3399" s="2" t="s">
        <v>24</v>
      </c>
      <c r="L3399" s="2">
        <v>25095</v>
      </c>
      <c r="M3399" s="2" t="s">
        <v>216</v>
      </c>
      <c r="N3399" s="2">
        <v>25</v>
      </c>
      <c r="O3399" s="2">
        <v>158602.07</v>
      </c>
      <c r="P3399" s="2">
        <v>6344.08</v>
      </c>
    </row>
    <row r="3400" spans="1:16" outlineLevel="1" x14ac:dyDescent="0.2">
      <c r="A3400" s="5"/>
      <c r="D3400" s="3" t="s">
        <v>719</v>
      </c>
      <c r="N3400" s="2">
        <f>SUBTOTAL(9,N3396:N3399)</f>
        <v>134</v>
      </c>
      <c r="O3400" s="2">
        <f>SUBTOTAL(9,O3396:O3399)</f>
        <v>738321.67999999993</v>
      </c>
      <c r="P3400" s="2">
        <f>+O3400/N3400</f>
        <v>5509.863283582089</v>
      </c>
    </row>
    <row r="3401" spans="1:16" outlineLevel="2" x14ac:dyDescent="0.2">
      <c r="A3401" s="5">
        <v>46162</v>
      </c>
      <c r="B3401" s="2">
        <v>159540</v>
      </c>
      <c r="C3401" s="2">
        <v>1</v>
      </c>
      <c r="D3401" s="2" t="s">
        <v>474</v>
      </c>
      <c r="E3401" s="2" t="s">
        <v>475</v>
      </c>
      <c r="F3401" s="2" t="s">
        <v>47</v>
      </c>
      <c r="G3401" s="2" t="s">
        <v>22</v>
      </c>
      <c r="H3401" s="2" t="s">
        <v>23</v>
      </c>
      <c r="I3401" s="2" t="s">
        <v>23</v>
      </c>
      <c r="J3401" s="2">
        <v>41</v>
      </c>
      <c r="K3401" s="2" t="s">
        <v>129</v>
      </c>
      <c r="L3401" s="2">
        <v>2338</v>
      </c>
      <c r="M3401" s="2" t="s">
        <v>417</v>
      </c>
      <c r="N3401" s="2">
        <v>320</v>
      </c>
      <c r="O3401" s="2">
        <v>344723.84</v>
      </c>
      <c r="P3401" s="2">
        <v>1077.26</v>
      </c>
    </row>
    <row r="3402" spans="1:16" outlineLevel="1" x14ac:dyDescent="0.2">
      <c r="A3402" s="5"/>
      <c r="D3402" s="3" t="s">
        <v>780</v>
      </c>
      <c r="N3402" s="2">
        <f>SUBTOTAL(9,N3401:N3401)</f>
        <v>320</v>
      </c>
      <c r="O3402" s="2">
        <f>SUBTOTAL(9,O3401:O3401)</f>
        <v>344723.84</v>
      </c>
      <c r="P3402" s="2">
        <f>+O3402/N3402</f>
        <v>1077.2620000000002</v>
      </c>
    </row>
    <row r="3403" spans="1:16" outlineLevel="2" x14ac:dyDescent="0.2">
      <c r="A3403" s="5">
        <v>46162</v>
      </c>
      <c r="B3403" s="2">
        <v>159540</v>
      </c>
      <c r="C3403" s="2">
        <v>2</v>
      </c>
      <c r="D3403" s="2" t="s">
        <v>470</v>
      </c>
      <c r="E3403" s="2" t="s">
        <v>23</v>
      </c>
      <c r="F3403" s="2" t="s">
        <v>47</v>
      </c>
      <c r="G3403" s="2" t="s">
        <v>22</v>
      </c>
      <c r="H3403" s="2" t="s">
        <v>23</v>
      </c>
      <c r="I3403" s="2" t="s">
        <v>23</v>
      </c>
      <c r="J3403" s="2">
        <v>86</v>
      </c>
      <c r="K3403" s="2" t="s">
        <v>73</v>
      </c>
      <c r="L3403" s="2">
        <v>2338</v>
      </c>
      <c r="M3403" s="2" t="s">
        <v>417</v>
      </c>
      <c r="N3403" s="2">
        <v>5</v>
      </c>
      <c r="O3403" s="2">
        <v>199179.37</v>
      </c>
      <c r="P3403" s="2">
        <v>39835.870000000003</v>
      </c>
    </row>
    <row r="3404" spans="1:16" outlineLevel="1" x14ac:dyDescent="0.2">
      <c r="A3404" s="5"/>
      <c r="D3404" s="3" t="s">
        <v>779</v>
      </c>
      <c r="N3404" s="2">
        <f>SUBTOTAL(9,N3403:N3403)</f>
        <v>5</v>
      </c>
      <c r="O3404" s="2">
        <f>SUBTOTAL(9,O3403:O3403)</f>
        <v>199179.37</v>
      </c>
      <c r="P3404" s="2">
        <f>+O3404/N3404</f>
        <v>39835.873999999996</v>
      </c>
    </row>
    <row r="3405" spans="1:16" outlineLevel="2" x14ac:dyDescent="0.2">
      <c r="A3405" s="5">
        <v>46162</v>
      </c>
      <c r="B3405" s="2">
        <v>159541</v>
      </c>
      <c r="C3405" s="2">
        <v>1</v>
      </c>
      <c r="D3405" s="2" t="s">
        <v>207</v>
      </c>
      <c r="E3405" s="2" t="s">
        <v>23</v>
      </c>
      <c r="F3405" s="2" t="s">
        <v>47</v>
      </c>
      <c r="G3405" s="2" t="s">
        <v>22</v>
      </c>
      <c r="H3405" s="2" t="s">
        <v>208</v>
      </c>
      <c r="I3405" s="2" t="s">
        <v>23</v>
      </c>
      <c r="J3405" s="2">
        <v>41</v>
      </c>
      <c r="K3405" s="2" t="s">
        <v>129</v>
      </c>
      <c r="L3405" s="2">
        <v>25213</v>
      </c>
      <c r="M3405" s="2" t="s">
        <v>130</v>
      </c>
      <c r="N3405" s="2">
        <v>25</v>
      </c>
      <c r="O3405" s="2">
        <v>85793.75</v>
      </c>
      <c r="P3405" s="2">
        <v>3431.75</v>
      </c>
    </row>
    <row r="3406" spans="1:16" outlineLevel="2" x14ac:dyDescent="0.2">
      <c r="A3406" s="5">
        <v>46162</v>
      </c>
      <c r="B3406" s="2">
        <v>159541</v>
      </c>
      <c r="C3406" s="2">
        <v>2</v>
      </c>
      <c r="D3406" s="2" t="s">
        <v>207</v>
      </c>
      <c r="E3406" s="2" t="s">
        <v>23</v>
      </c>
      <c r="F3406" s="2" t="s">
        <v>47</v>
      </c>
      <c r="G3406" s="2" t="s">
        <v>22</v>
      </c>
      <c r="H3406" s="2" t="s">
        <v>209</v>
      </c>
      <c r="I3406" s="2" t="s">
        <v>23</v>
      </c>
      <c r="J3406" s="2">
        <v>41</v>
      </c>
      <c r="K3406" s="2" t="s">
        <v>129</v>
      </c>
      <c r="L3406" s="2">
        <v>25213</v>
      </c>
      <c r="M3406" s="2" t="s">
        <v>130</v>
      </c>
      <c r="N3406" s="2">
        <v>25</v>
      </c>
      <c r="O3406" s="2">
        <v>74499.360000000001</v>
      </c>
      <c r="P3406" s="2">
        <v>2979.97</v>
      </c>
    </row>
    <row r="3407" spans="1:16" outlineLevel="1" x14ac:dyDescent="0.2">
      <c r="A3407" s="5"/>
      <c r="D3407" s="3" t="s">
        <v>699</v>
      </c>
      <c r="N3407" s="2">
        <f>SUBTOTAL(9,N3405:N3406)</f>
        <v>50</v>
      </c>
      <c r="O3407" s="2">
        <f>SUBTOTAL(9,O3405:O3406)</f>
        <v>160293.10999999999</v>
      </c>
      <c r="P3407" s="2">
        <f>+O3407/N3407</f>
        <v>3205.8621999999996</v>
      </c>
    </row>
    <row r="3408" spans="1:16" outlineLevel="2" x14ac:dyDescent="0.2">
      <c r="A3408" s="5">
        <v>46162</v>
      </c>
      <c r="B3408" s="2">
        <v>159541</v>
      </c>
      <c r="C3408" s="2">
        <v>3</v>
      </c>
      <c r="D3408" s="2" t="s">
        <v>128</v>
      </c>
      <c r="E3408" s="2" t="s">
        <v>23</v>
      </c>
      <c r="F3408" s="2" t="s">
        <v>47</v>
      </c>
      <c r="G3408" s="2" t="s">
        <v>22</v>
      </c>
      <c r="H3408" s="2" t="s">
        <v>23</v>
      </c>
      <c r="I3408" s="2" t="s">
        <v>23</v>
      </c>
      <c r="J3408" s="2">
        <v>41</v>
      </c>
      <c r="K3408" s="2" t="s">
        <v>129</v>
      </c>
      <c r="L3408" s="2">
        <v>25213</v>
      </c>
      <c r="M3408" s="2" t="s">
        <v>130</v>
      </c>
      <c r="N3408" s="2">
        <v>50</v>
      </c>
      <c r="O3408" s="2">
        <v>185029.18</v>
      </c>
      <c r="P3408" s="2">
        <v>3700.58</v>
      </c>
    </row>
    <row r="3409" spans="1:16" outlineLevel="1" x14ac:dyDescent="0.2">
      <c r="A3409" s="5"/>
      <c r="D3409" s="3" t="s">
        <v>732</v>
      </c>
      <c r="N3409" s="2">
        <f>SUBTOTAL(9,N3408:N3408)</f>
        <v>50</v>
      </c>
      <c r="O3409" s="2">
        <f>SUBTOTAL(9,O3408:O3408)</f>
        <v>185029.18</v>
      </c>
      <c r="P3409" s="2">
        <f>+O3409/N3409</f>
        <v>3700.5835999999999</v>
      </c>
    </row>
    <row r="3410" spans="1:16" outlineLevel="2" x14ac:dyDescent="0.2">
      <c r="A3410" s="5">
        <v>46162</v>
      </c>
      <c r="B3410" s="2">
        <v>159541</v>
      </c>
      <c r="C3410" s="2">
        <v>4</v>
      </c>
      <c r="D3410" s="2" t="s">
        <v>207</v>
      </c>
      <c r="E3410" s="2" t="s">
        <v>23</v>
      </c>
      <c r="F3410" s="2" t="s">
        <v>47</v>
      </c>
      <c r="G3410" s="2" t="s">
        <v>22</v>
      </c>
      <c r="H3410" s="2" t="s">
        <v>23</v>
      </c>
      <c r="I3410" s="2" t="s">
        <v>23</v>
      </c>
      <c r="J3410" s="2">
        <v>1</v>
      </c>
      <c r="K3410" s="2" t="s">
        <v>24</v>
      </c>
      <c r="L3410" s="2">
        <v>25213</v>
      </c>
      <c r="M3410" s="2" t="s">
        <v>130</v>
      </c>
      <c r="N3410" s="2">
        <v>4</v>
      </c>
      <c r="O3410" s="2">
        <v>332963.12</v>
      </c>
      <c r="P3410" s="2">
        <v>83240.78</v>
      </c>
    </row>
    <row r="3411" spans="1:16" outlineLevel="2" x14ac:dyDescent="0.2">
      <c r="A3411" s="5">
        <v>46162</v>
      </c>
      <c r="B3411" s="2">
        <v>159541</v>
      </c>
      <c r="C3411" s="2">
        <v>5</v>
      </c>
      <c r="D3411" s="2" t="s">
        <v>207</v>
      </c>
      <c r="E3411" s="2" t="s">
        <v>23</v>
      </c>
      <c r="F3411" s="2" t="s">
        <v>47</v>
      </c>
      <c r="G3411" s="2" t="s">
        <v>360</v>
      </c>
      <c r="H3411" s="2" t="s">
        <v>23</v>
      </c>
      <c r="I3411" s="2" t="s">
        <v>23</v>
      </c>
      <c r="J3411" s="2">
        <v>1</v>
      </c>
      <c r="K3411" s="2" t="s">
        <v>24</v>
      </c>
      <c r="L3411" s="2">
        <v>25213</v>
      </c>
      <c r="M3411" s="2" t="s">
        <v>130</v>
      </c>
      <c r="N3411" s="2">
        <v>2</v>
      </c>
      <c r="O3411" s="2">
        <v>130077.46</v>
      </c>
      <c r="P3411" s="2">
        <v>65038.73</v>
      </c>
    </row>
    <row r="3412" spans="1:16" outlineLevel="1" x14ac:dyDescent="0.2">
      <c r="A3412" s="5"/>
      <c r="D3412" s="3" t="s">
        <v>699</v>
      </c>
      <c r="N3412" s="2">
        <f>SUBTOTAL(9,N3410:N3411)</f>
        <v>6</v>
      </c>
      <c r="O3412" s="2">
        <f>SUBTOTAL(9,O3410:O3411)</f>
        <v>463040.58</v>
      </c>
      <c r="P3412" s="2">
        <f>+O3412/N3412</f>
        <v>77173.430000000008</v>
      </c>
    </row>
    <row r="3413" spans="1:16" outlineLevel="2" x14ac:dyDescent="0.2">
      <c r="A3413" s="5">
        <v>46162</v>
      </c>
      <c r="B3413" s="2">
        <v>159541</v>
      </c>
      <c r="C3413" s="2">
        <v>6</v>
      </c>
      <c r="D3413" s="2" t="s">
        <v>128</v>
      </c>
      <c r="E3413" s="2" t="s">
        <v>23</v>
      </c>
      <c r="F3413" s="2" t="s">
        <v>47</v>
      </c>
      <c r="G3413" s="2" t="s">
        <v>360</v>
      </c>
      <c r="H3413" s="2" t="s">
        <v>23</v>
      </c>
      <c r="I3413" s="2" t="s">
        <v>23</v>
      </c>
      <c r="J3413" s="2">
        <v>1</v>
      </c>
      <c r="K3413" s="2" t="s">
        <v>24</v>
      </c>
      <c r="L3413" s="2">
        <v>25213</v>
      </c>
      <c r="M3413" s="2" t="s">
        <v>130</v>
      </c>
      <c r="N3413" s="2">
        <v>2</v>
      </c>
      <c r="O3413" s="2">
        <v>162747.82</v>
      </c>
      <c r="P3413" s="2">
        <v>81373.91</v>
      </c>
    </row>
    <row r="3414" spans="1:16" outlineLevel="1" x14ac:dyDescent="0.2">
      <c r="A3414" s="5"/>
      <c r="D3414" s="3" t="s">
        <v>732</v>
      </c>
      <c r="N3414" s="2">
        <f>SUBTOTAL(9,N3413:N3413)</f>
        <v>2</v>
      </c>
      <c r="O3414" s="2">
        <f>SUBTOTAL(9,O3413:O3413)</f>
        <v>162747.82</v>
      </c>
      <c r="P3414" s="2">
        <f>+O3414/N3414</f>
        <v>81373.91</v>
      </c>
    </row>
    <row r="3415" spans="1:16" outlineLevel="2" x14ac:dyDescent="0.2">
      <c r="A3415" s="5">
        <v>46162</v>
      </c>
      <c r="B3415" s="2">
        <v>159543</v>
      </c>
      <c r="C3415" s="2">
        <v>502</v>
      </c>
      <c r="D3415" s="2" t="s">
        <v>54</v>
      </c>
      <c r="E3415" s="2" t="s">
        <v>30</v>
      </c>
      <c r="F3415" s="2" t="s">
        <v>23</v>
      </c>
      <c r="G3415" s="2" t="s">
        <v>22</v>
      </c>
      <c r="H3415" s="2" t="s">
        <v>23</v>
      </c>
      <c r="I3415" s="2" t="s">
        <v>23</v>
      </c>
      <c r="J3415" s="2">
        <v>2</v>
      </c>
      <c r="K3415" s="2" t="s">
        <v>48</v>
      </c>
      <c r="L3415" s="2">
        <v>626</v>
      </c>
      <c r="M3415" s="2" t="s">
        <v>49</v>
      </c>
      <c r="N3415" s="2">
        <v>4</v>
      </c>
      <c r="O3415" s="2">
        <v>28662.04</v>
      </c>
      <c r="P3415" s="2">
        <v>7165.51</v>
      </c>
    </row>
    <row r="3416" spans="1:16" outlineLevel="1" x14ac:dyDescent="0.2">
      <c r="A3416" s="5"/>
      <c r="D3416" s="3" t="s">
        <v>719</v>
      </c>
      <c r="N3416" s="2">
        <f>SUBTOTAL(9,N3415:N3415)</f>
        <v>4</v>
      </c>
      <c r="O3416" s="2">
        <f>SUBTOTAL(9,O3415:O3415)</f>
        <v>28662.04</v>
      </c>
      <c r="P3416" s="2">
        <f>+O3416/N3416</f>
        <v>7165.51</v>
      </c>
    </row>
    <row r="3417" spans="1:16" outlineLevel="2" x14ac:dyDescent="0.2">
      <c r="A3417" s="5">
        <v>46178</v>
      </c>
      <c r="B3417" s="2">
        <v>159544</v>
      </c>
      <c r="C3417" s="2">
        <v>315</v>
      </c>
      <c r="D3417" s="2" t="s">
        <v>110</v>
      </c>
      <c r="E3417" s="2" t="s">
        <v>111</v>
      </c>
      <c r="F3417" s="2" t="s">
        <v>47</v>
      </c>
      <c r="G3417" s="2" t="s">
        <v>23</v>
      </c>
      <c r="H3417" s="2" t="s">
        <v>23</v>
      </c>
      <c r="I3417" s="2" t="s">
        <v>23</v>
      </c>
      <c r="J3417" s="2">
        <v>1</v>
      </c>
      <c r="K3417" s="2" t="s">
        <v>24</v>
      </c>
      <c r="L3417" s="2">
        <v>1974</v>
      </c>
      <c r="M3417" s="2" t="s">
        <v>95</v>
      </c>
      <c r="N3417" s="2">
        <v>7</v>
      </c>
      <c r="O3417" s="2">
        <v>39561.29</v>
      </c>
      <c r="P3417" s="2">
        <v>5651.61</v>
      </c>
    </row>
    <row r="3418" spans="1:16" outlineLevel="1" x14ac:dyDescent="0.2">
      <c r="A3418" s="5"/>
      <c r="D3418" s="3" t="s">
        <v>697</v>
      </c>
      <c r="N3418" s="2">
        <f>SUBTOTAL(9,N3417:N3417)</f>
        <v>7</v>
      </c>
      <c r="O3418" s="2">
        <f>SUBTOTAL(9,O3417:O3417)</f>
        <v>39561.29</v>
      </c>
      <c r="P3418" s="2">
        <f>+O3418/N3418</f>
        <v>5651.6128571428571</v>
      </c>
    </row>
    <row r="3419" spans="1:16" outlineLevel="2" x14ac:dyDescent="0.2">
      <c r="A3419" s="5">
        <v>46171</v>
      </c>
      <c r="B3419" s="2">
        <v>159545</v>
      </c>
      <c r="C3419" s="2">
        <v>2</v>
      </c>
      <c r="D3419" s="2" t="s">
        <v>45</v>
      </c>
      <c r="E3419" s="2" t="s">
        <v>46</v>
      </c>
      <c r="F3419" s="2" t="s">
        <v>47</v>
      </c>
      <c r="G3419" s="2" t="s">
        <v>22</v>
      </c>
      <c r="H3419" s="2" t="s">
        <v>23</v>
      </c>
      <c r="I3419" s="2" t="s">
        <v>23</v>
      </c>
      <c r="J3419" s="2">
        <v>2</v>
      </c>
      <c r="K3419" s="2" t="s">
        <v>48</v>
      </c>
      <c r="L3419" s="2">
        <v>2316</v>
      </c>
      <c r="M3419" s="2" t="s">
        <v>206</v>
      </c>
      <c r="N3419" s="2">
        <v>12</v>
      </c>
      <c r="O3419" s="2">
        <v>112012.68</v>
      </c>
      <c r="P3419" s="2">
        <v>9334.39</v>
      </c>
    </row>
    <row r="3420" spans="1:16" outlineLevel="2" x14ac:dyDescent="0.2">
      <c r="A3420" s="5">
        <v>46171</v>
      </c>
      <c r="B3420" s="2">
        <v>159545</v>
      </c>
      <c r="C3420" s="2">
        <v>304</v>
      </c>
      <c r="D3420" s="2" t="s">
        <v>45</v>
      </c>
      <c r="E3420" s="2" t="s">
        <v>46</v>
      </c>
      <c r="F3420" s="2" t="s">
        <v>47</v>
      </c>
      <c r="G3420" s="2" t="s">
        <v>22</v>
      </c>
      <c r="H3420" s="2" t="s">
        <v>23</v>
      </c>
      <c r="I3420" s="2" t="s">
        <v>23</v>
      </c>
      <c r="J3420" s="2">
        <v>2</v>
      </c>
      <c r="K3420" s="2" t="s">
        <v>48</v>
      </c>
      <c r="L3420" s="2">
        <v>2316</v>
      </c>
      <c r="M3420" s="2" t="s">
        <v>206</v>
      </c>
      <c r="N3420" s="2">
        <v>2</v>
      </c>
      <c r="O3420" s="2">
        <v>14331.02</v>
      </c>
      <c r="P3420" s="2">
        <v>7165.51</v>
      </c>
    </row>
    <row r="3421" spans="1:16" outlineLevel="2" x14ac:dyDescent="0.2">
      <c r="A3421" s="5">
        <v>46168</v>
      </c>
      <c r="B3421" s="2">
        <v>159545</v>
      </c>
      <c r="C3421" s="2">
        <v>316</v>
      </c>
      <c r="D3421" s="2" t="s">
        <v>45</v>
      </c>
      <c r="E3421" s="2" t="s">
        <v>547</v>
      </c>
      <c r="F3421" s="2" t="s">
        <v>47</v>
      </c>
      <c r="G3421" s="2" t="s">
        <v>22</v>
      </c>
      <c r="H3421" s="2" t="s">
        <v>23</v>
      </c>
      <c r="I3421" s="2" t="s">
        <v>23</v>
      </c>
      <c r="J3421" s="2">
        <v>2</v>
      </c>
      <c r="K3421" s="2" t="s">
        <v>48</v>
      </c>
      <c r="L3421" s="2">
        <v>2165</v>
      </c>
      <c r="M3421" s="2" t="s">
        <v>206</v>
      </c>
      <c r="N3421" s="2">
        <v>21</v>
      </c>
      <c r="O3421" s="2">
        <v>189680.19</v>
      </c>
      <c r="P3421" s="2">
        <v>9032.39</v>
      </c>
    </row>
    <row r="3422" spans="1:16" outlineLevel="2" x14ac:dyDescent="0.2">
      <c r="A3422" s="5">
        <v>46164</v>
      </c>
      <c r="B3422" s="2">
        <v>159545</v>
      </c>
      <c r="C3422" s="2">
        <v>502</v>
      </c>
      <c r="D3422" s="2" t="s">
        <v>45</v>
      </c>
      <c r="E3422" s="2" t="s">
        <v>46</v>
      </c>
      <c r="F3422" s="2" t="s">
        <v>23</v>
      </c>
      <c r="G3422" s="2" t="s">
        <v>22</v>
      </c>
      <c r="H3422" s="2" t="s">
        <v>23</v>
      </c>
      <c r="I3422" s="2" t="s">
        <v>23</v>
      </c>
      <c r="J3422" s="2">
        <v>2</v>
      </c>
      <c r="K3422" s="2" t="s">
        <v>48</v>
      </c>
      <c r="L3422" s="2">
        <v>2316</v>
      </c>
      <c r="M3422" s="2" t="s">
        <v>206</v>
      </c>
      <c r="N3422" s="2">
        <v>13</v>
      </c>
      <c r="O3422" s="2">
        <v>63281.55</v>
      </c>
      <c r="P3422" s="2">
        <v>4867.8100000000004</v>
      </c>
    </row>
    <row r="3423" spans="1:16" outlineLevel="1" x14ac:dyDescent="0.2">
      <c r="A3423" s="5"/>
      <c r="D3423" s="3" t="s">
        <v>733</v>
      </c>
      <c r="N3423" s="2">
        <f>SUBTOTAL(9,N3419:N3422)</f>
        <v>48</v>
      </c>
      <c r="O3423" s="2">
        <f>SUBTOTAL(9,O3419:O3422)</f>
        <v>379305.44</v>
      </c>
      <c r="P3423" s="2">
        <f>+O3423/N3423</f>
        <v>7902.1966666666667</v>
      </c>
    </row>
    <row r="3424" spans="1:16" outlineLevel="2" x14ac:dyDescent="0.2">
      <c r="A3424" s="5">
        <v>46163</v>
      </c>
      <c r="B3424" s="2">
        <v>159548</v>
      </c>
      <c r="C3424" s="2">
        <v>503</v>
      </c>
      <c r="D3424" s="2" t="s">
        <v>54</v>
      </c>
      <c r="E3424" s="2" t="s">
        <v>30</v>
      </c>
      <c r="F3424" s="2" t="s">
        <v>23</v>
      </c>
      <c r="G3424" s="2" t="s">
        <v>22</v>
      </c>
      <c r="H3424" s="2" t="s">
        <v>23</v>
      </c>
      <c r="I3424" s="2" t="s">
        <v>23</v>
      </c>
      <c r="J3424" s="2">
        <v>2</v>
      </c>
      <c r="K3424" s="2" t="s">
        <v>48</v>
      </c>
      <c r="L3424" s="2">
        <v>341</v>
      </c>
      <c r="M3424" s="2" t="s">
        <v>142</v>
      </c>
      <c r="N3424" s="2">
        <v>5</v>
      </c>
      <c r="O3424" s="2">
        <v>26493.15</v>
      </c>
      <c r="P3424" s="2">
        <v>5298.63</v>
      </c>
    </row>
    <row r="3425" spans="1:16" outlineLevel="1" x14ac:dyDescent="0.2">
      <c r="A3425" s="5"/>
      <c r="D3425" s="3" t="s">
        <v>719</v>
      </c>
      <c r="N3425" s="2">
        <f>SUBTOTAL(9,N3424:N3424)</f>
        <v>5</v>
      </c>
      <c r="O3425" s="2">
        <f>SUBTOTAL(9,O3424:O3424)</f>
        <v>26493.15</v>
      </c>
      <c r="P3425" s="2">
        <f>+O3425/N3425</f>
        <v>5298.63</v>
      </c>
    </row>
    <row r="3426" spans="1:16" outlineLevel="2" x14ac:dyDescent="0.2">
      <c r="A3426" s="5">
        <v>46168</v>
      </c>
      <c r="B3426" s="2">
        <v>159554</v>
      </c>
      <c r="C3426" s="2">
        <v>1</v>
      </c>
      <c r="D3426" s="2" t="s">
        <v>140</v>
      </c>
      <c r="E3426" s="2" t="s">
        <v>23</v>
      </c>
      <c r="F3426" s="2" t="s">
        <v>47</v>
      </c>
      <c r="G3426" s="2" t="s">
        <v>22</v>
      </c>
      <c r="H3426" s="2" t="s">
        <v>23</v>
      </c>
      <c r="I3426" s="2" t="s">
        <v>23</v>
      </c>
      <c r="J3426" s="2">
        <v>1</v>
      </c>
      <c r="K3426" s="2" t="s">
        <v>24</v>
      </c>
      <c r="L3426" s="2">
        <v>1833</v>
      </c>
      <c r="M3426" s="2" t="s">
        <v>142</v>
      </c>
      <c r="N3426" s="2">
        <v>9</v>
      </c>
      <c r="O3426" s="2">
        <v>123296.22</v>
      </c>
      <c r="P3426" s="2">
        <v>13699.58</v>
      </c>
    </row>
    <row r="3427" spans="1:16" outlineLevel="2" x14ac:dyDescent="0.2">
      <c r="A3427" s="5">
        <v>46164</v>
      </c>
      <c r="B3427" s="2">
        <v>159559</v>
      </c>
      <c r="C3427" s="2">
        <v>1</v>
      </c>
      <c r="D3427" s="2" t="s">
        <v>140</v>
      </c>
      <c r="E3427" s="2" t="s">
        <v>141</v>
      </c>
      <c r="F3427" s="2" t="s">
        <v>108</v>
      </c>
      <c r="G3427" s="2" t="s">
        <v>22</v>
      </c>
      <c r="H3427" s="2" t="s">
        <v>23</v>
      </c>
      <c r="I3427" s="2" t="s">
        <v>23</v>
      </c>
      <c r="J3427" s="2">
        <v>1</v>
      </c>
      <c r="K3427" s="2" t="s">
        <v>24</v>
      </c>
      <c r="L3427" s="2">
        <v>1833</v>
      </c>
      <c r="M3427" s="2" t="s">
        <v>142</v>
      </c>
      <c r="N3427" s="2">
        <v>20</v>
      </c>
      <c r="O3427" s="2">
        <v>481215.14</v>
      </c>
      <c r="P3427" s="2">
        <v>24060.76</v>
      </c>
    </row>
    <row r="3428" spans="1:16" outlineLevel="1" x14ac:dyDescent="0.2">
      <c r="A3428" s="5"/>
      <c r="D3428" s="3" t="s">
        <v>696</v>
      </c>
      <c r="N3428" s="2">
        <f>SUBTOTAL(9,N3426:N3427)</f>
        <v>29</v>
      </c>
      <c r="O3428" s="2">
        <f>SUBTOTAL(9,O3426:O3427)</f>
        <v>604511.36</v>
      </c>
      <c r="P3428" s="2">
        <f>+O3428/N3428</f>
        <v>20845.219310344826</v>
      </c>
    </row>
    <row r="3429" spans="1:16" outlineLevel="2" x14ac:dyDescent="0.2">
      <c r="A3429" s="5">
        <v>46164</v>
      </c>
      <c r="B3429" s="2">
        <v>159560</v>
      </c>
      <c r="C3429" s="2">
        <v>1</v>
      </c>
      <c r="D3429" s="2" t="s">
        <v>38</v>
      </c>
      <c r="E3429" s="2" t="s">
        <v>39</v>
      </c>
      <c r="F3429" s="2" t="s">
        <v>144</v>
      </c>
      <c r="G3429" s="2" t="s">
        <v>22</v>
      </c>
      <c r="H3429" s="2" t="s">
        <v>23</v>
      </c>
      <c r="I3429" s="2" t="s">
        <v>23</v>
      </c>
      <c r="J3429" s="2">
        <v>1</v>
      </c>
      <c r="K3429" s="2" t="s">
        <v>24</v>
      </c>
      <c r="L3429" s="2">
        <v>25101</v>
      </c>
      <c r="M3429" s="2" t="s">
        <v>473</v>
      </c>
      <c r="N3429" s="2">
        <v>160</v>
      </c>
      <c r="O3429" s="2">
        <v>5449400.9000000004</v>
      </c>
      <c r="P3429" s="2">
        <v>34058.76</v>
      </c>
    </row>
    <row r="3430" spans="1:16" outlineLevel="1" x14ac:dyDescent="0.2">
      <c r="A3430" s="5"/>
      <c r="D3430" s="3" t="s">
        <v>721</v>
      </c>
      <c r="N3430" s="2">
        <f>SUBTOTAL(9,N3429:N3429)</f>
        <v>160</v>
      </c>
      <c r="O3430" s="2">
        <f>SUBTOTAL(9,O3429:O3429)</f>
        <v>5449400.9000000004</v>
      </c>
      <c r="P3430" s="2">
        <f>+O3430/N3430</f>
        <v>34058.755625000005</v>
      </c>
    </row>
    <row r="3431" spans="1:16" outlineLevel="2" x14ac:dyDescent="0.2">
      <c r="A3431" s="5">
        <v>46164</v>
      </c>
      <c r="B3431" s="2">
        <v>159561</v>
      </c>
      <c r="C3431" s="2">
        <v>1</v>
      </c>
      <c r="D3431" s="2" t="s">
        <v>207</v>
      </c>
      <c r="E3431" s="2" t="s">
        <v>23</v>
      </c>
      <c r="F3431" s="2" t="s">
        <v>47</v>
      </c>
      <c r="G3431" s="2" t="s">
        <v>22</v>
      </c>
      <c r="H3431" s="2" t="s">
        <v>208</v>
      </c>
      <c r="I3431" s="2" t="s">
        <v>23</v>
      </c>
      <c r="J3431" s="2">
        <v>41</v>
      </c>
      <c r="K3431" s="2" t="s">
        <v>129</v>
      </c>
      <c r="L3431" s="2">
        <v>25213</v>
      </c>
      <c r="M3431" s="2" t="s">
        <v>130</v>
      </c>
      <c r="N3431" s="2">
        <v>50</v>
      </c>
      <c r="O3431" s="2">
        <v>171587.5</v>
      </c>
      <c r="P3431" s="2">
        <v>3431.75</v>
      </c>
    </row>
    <row r="3432" spans="1:16" outlineLevel="2" x14ac:dyDescent="0.2">
      <c r="A3432" s="5">
        <v>46164</v>
      </c>
      <c r="B3432" s="2">
        <v>159561</v>
      </c>
      <c r="C3432" s="2">
        <v>2</v>
      </c>
      <c r="D3432" s="2" t="s">
        <v>207</v>
      </c>
      <c r="E3432" s="2" t="s">
        <v>23</v>
      </c>
      <c r="F3432" s="2" t="s">
        <v>47</v>
      </c>
      <c r="G3432" s="2" t="s">
        <v>22</v>
      </c>
      <c r="H3432" s="2" t="s">
        <v>209</v>
      </c>
      <c r="I3432" s="2" t="s">
        <v>23</v>
      </c>
      <c r="J3432" s="2">
        <v>41</v>
      </c>
      <c r="K3432" s="2" t="s">
        <v>129</v>
      </c>
      <c r="L3432" s="2">
        <v>25213</v>
      </c>
      <c r="M3432" s="2" t="s">
        <v>130</v>
      </c>
      <c r="N3432" s="2">
        <v>25</v>
      </c>
      <c r="O3432" s="2">
        <v>74751.95</v>
      </c>
      <c r="P3432" s="2">
        <v>2990.08</v>
      </c>
    </row>
    <row r="3433" spans="1:16" outlineLevel="1" x14ac:dyDescent="0.2">
      <c r="A3433" s="5"/>
      <c r="D3433" s="3" t="s">
        <v>699</v>
      </c>
      <c r="N3433" s="2">
        <f>SUBTOTAL(9,N3431:N3432)</f>
        <v>75</v>
      </c>
      <c r="O3433" s="2">
        <f>SUBTOTAL(9,O3431:O3432)</f>
        <v>246339.45</v>
      </c>
      <c r="P3433" s="2">
        <f>+O3433/N3433</f>
        <v>3284.5260000000003</v>
      </c>
    </row>
    <row r="3434" spans="1:16" outlineLevel="2" x14ac:dyDescent="0.2">
      <c r="A3434" s="5">
        <v>46164</v>
      </c>
      <c r="B3434" s="2">
        <v>159561</v>
      </c>
      <c r="C3434" s="2">
        <v>3</v>
      </c>
      <c r="D3434" s="2" t="s">
        <v>128</v>
      </c>
      <c r="E3434" s="2" t="s">
        <v>23</v>
      </c>
      <c r="F3434" s="2" t="s">
        <v>47</v>
      </c>
      <c r="G3434" s="2" t="s">
        <v>22</v>
      </c>
      <c r="H3434" s="2" t="s">
        <v>23</v>
      </c>
      <c r="I3434" s="2" t="s">
        <v>23</v>
      </c>
      <c r="J3434" s="2">
        <v>41</v>
      </c>
      <c r="K3434" s="2" t="s">
        <v>129</v>
      </c>
      <c r="L3434" s="2">
        <v>25213</v>
      </c>
      <c r="M3434" s="2" t="s">
        <v>130</v>
      </c>
      <c r="N3434" s="2">
        <v>50</v>
      </c>
      <c r="O3434" s="2">
        <v>184469.11</v>
      </c>
      <c r="P3434" s="2">
        <v>3689.38</v>
      </c>
    </row>
    <row r="3435" spans="1:16" outlineLevel="1" x14ac:dyDescent="0.2">
      <c r="A3435" s="5"/>
      <c r="D3435" s="3" t="s">
        <v>732</v>
      </c>
      <c r="N3435" s="2">
        <f>SUBTOTAL(9,N3434:N3434)</f>
        <v>50</v>
      </c>
      <c r="O3435" s="2">
        <f>SUBTOTAL(9,O3434:O3434)</f>
        <v>184469.11</v>
      </c>
      <c r="P3435" s="2">
        <f>+O3435/N3435</f>
        <v>3689.3821999999996</v>
      </c>
    </row>
    <row r="3436" spans="1:16" outlineLevel="2" x14ac:dyDescent="0.2">
      <c r="A3436" s="5">
        <v>46164</v>
      </c>
      <c r="B3436" s="2">
        <v>159561</v>
      </c>
      <c r="C3436" s="2">
        <v>4</v>
      </c>
      <c r="D3436" s="2" t="s">
        <v>207</v>
      </c>
      <c r="E3436" s="2" t="s">
        <v>23</v>
      </c>
      <c r="F3436" s="2" t="s">
        <v>47</v>
      </c>
      <c r="G3436" s="2" t="s">
        <v>22</v>
      </c>
      <c r="H3436" s="2" t="s">
        <v>23</v>
      </c>
      <c r="I3436" s="2" t="s">
        <v>23</v>
      </c>
      <c r="J3436" s="2">
        <v>1</v>
      </c>
      <c r="K3436" s="2" t="s">
        <v>24</v>
      </c>
      <c r="L3436" s="2">
        <v>25213</v>
      </c>
      <c r="M3436" s="2" t="s">
        <v>130</v>
      </c>
      <c r="N3436" s="2">
        <v>3</v>
      </c>
      <c r="O3436" s="2">
        <v>251122.5</v>
      </c>
      <c r="P3436" s="2">
        <v>83707.5</v>
      </c>
    </row>
    <row r="3437" spans="1:16" outlineLevel="2" x14ac:dyDescent="0.2">
      <c r="A3437" s="5">
        <v>46164</v>
      </c>
      <c r="B3437" s="2">
        <v>159561</v>
      </c>
      <c r="C3437" s="2">
        <v>5</v>
      </c>
      <c r="D3437" s="2" t="s">
        <v>207</v>
      </c>
      <c r="E3437" s="2" t="s">
        <v>23</v>
      </c>
      <c r="F3437" s="2" t="s">
        <v>47</v>
      </c>
      <c r="G3437" s="2" t="s">
        <v>210</v>
      </c>
      <c r="H3437" s="2" t="s">
        <v>23</v>
      </c>
      <c r="I3437" s="2" t="s">
        <v>23</v>
      </c>
      <c r="J3437" s="2">
        <v>1</v>
      </c>
      <c r="K3437" s="2" t="s">
        <v>24</v>
      </c>
      <c r="L3437" s="2">
        <v>25213</v>
      </c>
      <c r="M3437" s="2" t="s">
        <v>130</v>
      </c>
      <c r="N3437" s="2">
        <v>2</v>
      </c>
      <c r="O3437" s="2">
        <v>131944.34</v>
      </c>
      <c r="P3437" s="2">
        <v>65972.17</v>
      </c>
    </row>
    <row r="3438" spans="1:16" outlineLevel="1" x14ac:dyDescent="0.2">
      <c r="A3438" s="5"/>
      <c r="D3438" s="3" t="s">
        <v>699</v>
      </c>
      <c r="N3438" s="2">
        <f>SUBTOTAL(9,N3436:N3437)</f>
        <v>5</v>
      </c>
      <c r="O3438" s="2">
        <f>SUBTOTAL(9,O3436:O3437)</f>
        <v>383066.83999999997</v>
      </c>
      <c r="P3438" s="2">
        <f>+O3438/N3438</f>
        <v>76613.367999999988</v>
      </c>
    </row>
    <row r="3439" spans="1:16" outlineLevel="2" x14ac:dyDescent="0.2">
      <c r="A3439" s="5">
        <v>46164</v>
      </c>
      <c r="B3439" s="2">
        <v>159561</v>
      </c>
      <c r="C3439" s="2">
        <v>6</v>
      </c>
      <c r="D3439" s="2" t="s">
        <v>128</v>
      </c>
      <c r="E3439" s="2" t="s">
        <v>23</v>
      </c>
      <c r="F3439" s="2" t="s">
        <v>47</v>
      </c>
      <c r="G3439" s="2" t="s">
        <v>22</v>
      </c>
      <c r="H3439" s="2" t="s">
        <v>23</v>
      </c>
      <c r="I3439" s="2" t="s">
        <v>23</v>
      </c>
      <c r="J3439" s="2">
        <v>1</v>
      </c>
      <c r="K3439" s="2" t="s">
        <v>24</v>
      </c>
      <c r="L3439" s="2">
        <v>25213</v>
      </c>
      <c r="M3439" s="2" t="s">
        <v>130</v>
      </c>
      <c r="N3439" s="2">
        <v>3</v>
      </c>
      <c r="O3439" s="2">
        <v>266057.53000000003</v>
      </c>
      <c r="P3439" s="2">
        <v>88685.84</v>
      </c>
    </row>
    <row r="3440" spans="1:16" outlineLevel="1" x14ac:dyDescent="0.2">
      <c r="A3440" s="5"/>
      <c r="D3440" s="3" t="s">
        <v>732</v>
      </c>
      <c r="N3440" s="2">
        <f>SUBTOTAL(9,N3439:N3439)</f>
        <v>3</v>
      </c>
      <c r="O3440" s="2">
        <f>SUBTOTAL(9,O3439:O3439)</f>
        <v>266057.53000000003</v>
      </c>
      <c r="P3440" s="2">
        <f>+O3440/N3440</f>
        <v>88685.843333333338</v>
      </c>
    </row>
    <row r="3441" spans="1:16" outlineLevel="2" x14ac:dyDescent="0.2">
      <c r="A3441" s="5">
        <v>46164</v>
      </c>
      <c r="B3441" s="2">
        <v>159562</v>
      </c>
      <c r="C3441" s="2">
        <v>1</v>
      </c>
      <c r="D3441" s="2" t="s">
        <v>474</v>
      </c>
      <c r="E3441" s="2" t="s">
        <v>475</v>
      </c>
      <c r="F3441" s="2" t="s">
        <v>47</v>
      </c>
      <c r="G3441" s="2" t="s">
        <v>22</v>
      </c>
      <c r="H3441" s="2" t="s">
        <v>23</v>
      </c>
      <c r="I3441" s="2" t="s">
        <v>23</v>
      </c>
      <c r="J3441" s="2">
        <v>41</v>
      </c>
      <c r="K3441" s="2" t="s">
        <v>129</v>
      </c>
      <c r="L3441" s="2">
        <v>2338</v>
      </c>
      <c r="M3441" s="2" t="s">
        <v>417</v>
      </c>
      <c r="N3441" s="2">
        <v>448</v>
      </c>
      <c r="O3441" s="2">
        <v>491042.24</v>
      </c>
      <c r="P3441" s="2">
        <v>1096.08</v>
      </c>
    </row>
    <row r="3442" spans="1:16" outlineLevel="1" x14ac:dyDescent="0.2">
      <c r="A3442" s="5"/>
      <c r="D3442" s="3" t="s">
        <v>780</v>
      </c>
      <c r="N3442" s="2">
        <f>SUBTOTAL(9,N3441:N3441)</f>
        <v>448</v>
      </c>
      <c r="O3442" s="2">
        <f>SUBTOTAL(9,O3441:O3441)</f>
        <v>491042.24</v>
      </c>
      <c r="P3442" s="2">
        <f>+O3442/N3442</f>
        <v>1096.0764285714286</v>
      </c>
    </row>
    <row r="3443" spans="1:16" outlineLevel="2" x14ac:dyDescent="0.2">
      <c r="A3443" s="5">
        <v>46164</v>
      </c>
      <c r="B3443" s="2">
        <v>159562</v>
      </c>
      <c r="C3443" s="2">
        <v>2</v>
      </c>
      <c r="D3443" s="2" t="s">
        <v>470</v>
      </c>
      <c r="E3443" s="2" t="s">
        <v>23</v>
      </c>
      <c r="F3443" s="2" t="s">
        <v>47</v>
      </c>
      <c r="G3443" s="2" t="s">
        <v>22</v>
      </c>
      <c r="H3443" s="2" t="s">
        <v>23</v>
      </c>
      <c r="I3443" s="2" t="s">
        <v>23</v>
      </c>
      <c r="J3443" s="2">
        <v>68</v>
      </c>
      <c r="K3443" s="2" t="s">
        <v>537</v>
      </c>
      <c r="L3443" s="2">
        <v>2338</v>
      </c>
      <c r="M3443" s="2" t="s">
        <v>417</v>
      </c>
      <c r="N3443" s="2">
        <v>10</v>
      </c>
      <c r="O3443" s="2">
        <v>445332.64</v>
      </c>
      <c r="P3443" s="2">
        <v>44533.26</v>
      </c>
    </row>
    <row r="3444" spans="1:16" outlineLevel="1" x14ac:dyDescent="0.2">
      <c r="A3444" s="5"/>
      <c r="D3444" s="3" t="s">
        <v>779</v>
      </c>
      <c r="N3444" s="2">
        <f>SUBTOTAL(9,N3443:N3443)</f>
        <v>10</v>
      </c>
      <c r="O3444" s="2">
        <f>SUBTOTAL(9,O3443:O3443)</f>
        <v>445332.64</v>
      </c>
      <c r="P3444" s="2">
        <f>+O3444/N3444</f>
        <v>44533.264000000003</v>
      </c>
    </row>
    <row r="3445" spans="1:16" outlineLevel="2" x14ac:dyDescent="0.2">
      <c r="A3445" s="5">
        <v>46164</v>
      </c>
      <c r="B3445" s="2">
        <v>159563</v>
      </c>
      <c r="C3445" s="2">
        <v>1</v>
      </c>
      <c r="D3445" s="2" t="s">
        <v>404</v>
      </c>
      <c r="E3445" s="2" t="s">
        <v>548</v>
      </c>
      <c r="F3445" s="2" t="s">
        <v>47</v>
      </c>
      <c r="G3445" s="2" t="s">
        <v>22</v>
      </c>
      <c r="H3445" s="2" t="s">
        <v>23</v>
      </c>
      <c r="I3445" s="2" t="s">
        <v>23</v>
      </c>
      <c r="J3445" s="2">
        <v>1</v>
      </c>
      <c r="K3445" s="2" t="s">
        <v>24</v>
      </c>
      <c r="L3445" s="2">
        <v>1795</v>
      </c>
      <c r="M3445" s="2" t="s">
        <v>506</v>
      </c>
      <c r="N3445" s="2">
        <v>19</v>
      </c>
      <c r="O3445" s="2">
        <v>1275873.73</v>
      </c>
      <c r="P3445" s="2">
        <v>67151.25</v>
      </c>
    </row>
    <row r="3446" spans="1:16" outlineLevel="1" x14ac:dyDescent="0.2">
      <c r="A3446" s="5"/>
      <c r="D3446" s="3" t="s">
        <v>769</v>
      </c>
      <c r="N3446" s="2">
        <f>SUBTOTAL(9,N3445:N3445)</f>
        <v>19</v>
      </c>
      <c r="O3446" s="2">
        <f>SUBTOTAL(9,O3445:O3445)</f>
        <v>1275873.73</v>
      </c>
      <c r="P3446" s="2">
        <f>+O3446/N3446</f>
        <v>67151.248947368425</v>
      </c>
    </row>
    <row r="3447" spans="1:16" outlineLevel="2" x14ac:dyDescent="0.2">
      <c r="A3447" s="5">
        <v>46170</v>
      </c>
      <c r="B3447" s="2">
        <v>159577</v>
      </c>
      <c r="C3447" s="2">
        <v>1</v>
      </c>
      <c r="D3447" s="2" t="s">
        <v>140</v>
      </c>
      <c r="E3447" s="2" t="s">
        <v>55</v>
      </c>
      <c r="F3447" s="2" t="s">
        <v>23</v>
      </c>
      <c r="G3447" s="2" t="s">
        <v>23</v>
      </c>
      <c r="H3447" s="2" t="s">
        <v>23</v>
      </c>
      <c r="I3447" s="2" t="s">
        <v>23</v>
      </c>
      <c r="J3447" s="2">
        <v>1</v>
      </c>
      <c r="K3447" s="2" t="s">
        <v>24</v>
      </c>
      <c r="L3447" s="2">
        <v>1833</v>
      </c>
      <c r="M3447" s="2" t="s">
        <v>142</v>
      </c>
      <c r="N3447" s="2">
        <v>10</v>
      </c>
      <c r="O3447" s="2">
        <v>97791.41</v>
      </c>
      <c r="P3447" s="2">
        <v>9779.14</v>
      </c>
    </row>
    <row r="3448" spans="1:16" outlineLevel="1" x14ac:dyDescent="0.2">
      <c r="A3448" s="5"/>
      <c r="D3448" s="3" t="s">
        <v>696</v>
      </c>
      <c r="N3448" s="2">
        <f>SUBTOTAL(9,N3447:N3447)</f>
        <v>10</v>
      </c>
      <c r="O3448" s="2">
        <f>SUBTOTAL(9,O3447:O3447)</f>
        <v>97791.41</v>
      </c>
      <c r="P3448" s="2">
        <f>+O3448/N3448</f>
        <v>9779.1409999999996</v>
      </c>
    </row>
    <row r="3449" spans="1:16" outlineLevel="2" x14ac:dyDescent="0.2">
      <c r="A3449" s="5">
        <v>46168</v>
      </c>
      <c r="B3449" s="2">
        <v>159578</v>
      </c>
      <c r="C3449" s="2">
        <v>1</v>
      </c>
      <c r="D3449" s="2" t="s">
        <v>143</v>
      </c>
      <c r="E3449" s="2" t="s">
        <v>23</v>
      </c>
      <c r="F3449" s="2" t="s">
        <v>144</v>
      </c>
      <c r="G3449" s="2" t="s">
        <v>22</v>
      </c>
      <c r="H3449" s="2" t="s">
        <v>23</v>
      </c>
      <c r="I3449" s="2" t="s">
        <v>23</v>
      </c>
      <c r="J3449" s="2">
        <v>1</v>
      </c>
      <c r="K3449" s="2" t="s">
        <v>24</v>
      </c>
      <c r="L3449" s="2">
        <v>2101</v>
      </c>
      <c r="M3449" s="2" t="s">
        <v>145</v>
      </c>
      <c r="N3449" s="2">
        <v>150</v>
      </c>
      <c r="O3449" s="2">
        <v>2123654.7400000002</v>
      </c>
      <c r="P3449" s="2">
        <v>14157.7</v>
      </c>
    </row>
    <row r="3450" spans="1:16" outlineLevel="1" x14ac:dyDescent="0.2">
      <c r="A3450" s="5"/>
      <c r="D3450" s="3" t="s">
        <v>706</v>
      </c>
      <c r="N3450" s="2">
        <f>SUBTOTAL(9,N3449:N3449)</f>
        <v>150</v>
      </c>
      <c r="O3450" s="2">
        <f>SUBTOTAL(9,O3449:O3449)</f>
        <v>2123654.7400000002</v>
      </c>
      <c r="P3450" s="2">
        <f>+O3450/N3450</f>
        <v>14157.698266666668</v>
      </c>
    </row>
    <row r="3451" spans="1:16" outlineLevel="2" x14ac:dyDescent="0.2">
      <c r="A3451" s="5">
        <v>46171</v>
      </c>
      <c r="B3451" s="2">
        <v>159579</v>
      </c>
      <c r="C3451" s="2">
        <v>2</v>
      </c>
      <c r="D3451" s="2" t="s">
        <v>45</v>
      </c>
      <c r="E3451" s="2" t="s">
        <v>46</v>
      </c>
      <c r="F3451" s="2" t="s">
        <v>47</v>
      </c>
      <c r="G3451" s="2" t="s">
        <v>22</v>
      </c>
      <c r="H3451" s="2" t="s">
        <v>23</v>
      </c>
      <c r="I3451" s="2" t="s">
        <v>23</v>
      </c>
      <c r="J3451" s="2">
        <v>2</v>
      </c>
      <c r="K3451" s="2" t="s">
        <v>48</v>
      </c>
      <c r="L3451" s="2">
        <v>626</v>
      </c>
      <c r="M3451" s="2" t="s">
        <v>49</v>
      </c>
      <c r="N3451" s="2">
        <v>12</v>
      </c>
      <c r="O3451" s="2">
        <v>80385.48</v>
      </c>
      <c r="P3451" s="2">
        <v>6698.79</v>
      </c>
    </row>
    <row r="3452" spans="1:16" outlineLevel="1" x14ac:dyDescent="0.2">
      <c r="A3452" s="5"/>
      <c r="D3452" s="3" t="s">
        <v>733</v>
      </c>
      <c r="N3452" s="2">
        <f>SUBTOTAL(9,N3451:N3451)</f>
        <v>12</v>
      </c>
      <c r="O3452" s="2">
        <f>SUBTOTAL(9,O3451:O3451)</f>
        <v>80385.48</v>
      </c>
      <c r="P3452" s="2">
        <f>+O3452/N3452</f>
        <v>6698.79</v>
      </c>
    </row>
    <row r="3453" spans="1:16" outlineLevel="2" x14ac:dyDescent="0.2">
      <c r="A3453" s="5">
        <v>46183</v>
      </c>
      <c r="B3453" s="2">
        <v>159581</v>
      </c>
      <c r="C3453" s="2">
        <v>500</v>
      </c>
      <c r="D3453" s="2" t="s">
        <v>38</v>
      </c>
      <c r="E3453" s="2" t="s">
        <v>39</v>
      </c>
      <c r="F3453" s="2" t="s">
        <v>23</v>
      </c>
      <c r="G3453" s="2" t="s">
        <v>22</v>
      </c>
      <c r="H3453" s="2" t="s">
        <v>23</v>
      </c>
      <c r="I3453" s="2" t="s">
        <v>23</v>
      </c>
      <c r="J3453" s="2">
        <v>94</v>
      </c>
      <c r="K3453" s="2" t="s">
        <v>147</v>
      </c>
      <c r="L3453" s="2">
        <v>25101</v>
      </c>
      <c r="M3453" s="2" t="s">
        <v>473</v>
      </c>
      <c r="N3453" s="2">
        <v>10</v>
      </c>
      <c r="O3453" s="2">
        <v>258342.9</v>
      </c>
      <c r="P3453" s="2">
        <v>25834.29</v>
      </c>
    </row>
    <row r="3454" spans="1:16" outlineLevel="1" x14ac:dyDescent="0.2">
      <c r="A3454" s="5"/>
      <c r="D3454" s="3" t="s">
        <v>721</v>
      </c>
      <c r="N3454" s="2">
        <f>SUBTOTAL(9,N3453:N3453)</f>
        <v>10</v>
      </c>
      <c r="O3454" s="2">
        <f>SUBTOTAL(9,O3453:O3453)</f>
        <v>258342.9</v>
      </c>
      <c r="P3454" s="2">
        <f>+O3454/N3454</f>
        <v>25834.29</v>
      </c>
    </row>
    <row r="3455" spans="1:16" outlineLevel="2" x14ac:dyDescent="0.2">
      <c r="A3455" s="5">
        <v>46168</v>
      </c>
      <c r="B3455" s="2">
        <v>159582</v>
      </c>
      <c r="C3455" s="2">
        <v>1</v>
      </c>
      <c r="D3455" s="2" t="s">
        <v>67</v>
      </c>
      <c r="E3455" s="2" t="s">
        <v>23</v>
      </c>
      <c r="F3455" s="2" t="s">
        <v>47</v>
      </c>
      <c r="G3455" s="2" t="s">
        <v>22</v>
      </c>
      <c r="H3455" s="2" t="s">
        <v>23</v>
      </c>
      <c r="I3455" s="2" t="s">
        <v>23</v>
      </c>
      <c r="J3455" s="2">
        <v>2</v>
      </c>
      <c r="K3455" s="2" t="s">
        <v>48</v>
      </c>
      <c r="L3455" s="2">
        <v>25114</v>
      </c>
      <c r="M3455" s="2" t="s">
        <v>278</v>
      </c>
      <c r="N3455" s="2">
        <v>57</v>
      </c>
      <c r="O3455" s="2">
        <v>271218.39</v>
      </c>
      <c r="P3455" s="2">
        <v>4758.22</v>
      </c>
    </row>
    <row r="3456" spans="1:16" outlineLevel="1" x14ac:dyDescent="0.2">
      <c r="A3456" s="5"/>
      <c r="D3456" s="3" t="s">
        <v>720</v>
      </c>
      <c r="N3456" s="2">
        <f>SUBTOTAL(9,N3455:N3455)</f>
        <v>57</v>
      </c>
      <c r="O3456" s="2">
        <f>SUBTOTAL(9,O3455:O3455)</f>
        <v>271218.39</v>
      </c>
      <c r="P3456" s="2">
        <f>+O3456/N3456</f>
        <v>4758.2173684210529</v>
      </c>
    </row>
    <row r="3457" spans="1:16" outlineLevel="2" x14ac:dyDescent="0.2">
      <c r="A3457" s="5">
        <v>46168</v>
      </c>
      <c r="B3457" s="2">
        <v>159583</v>
      </c>
      <c r="C3457" s="2">
        <v>1</v>
      </c>
      <c r="D3457" s="2" t="s">
        <v>474</v>
      </c>
      <c r="E3457" s="2" t="s">
        <v>475</v>
      </c>
      <c r="F3457" s="2" t="s">
        <v>47</v>
      </c>
      <c r="G3457" s="2" t="s">
        <v>22</v>
      </c>
      <c r="H3457" s="2" t="s">
        <v>23</v>
      </c>
      <c r="I3457" s="2" t="s">
        <v>23</v>
      </c>
      <c r="J3457" s="2">
        <v>41</v>
      </c>
      <c r="K3457" s="2" t="s">
        <v>129</v>
      </c>
      <c r="L3457" s="2">
        <v>2338</v>
      </c>
      <c r="M3457" s="2" t="s">
        <v>417</v>
      </c>
      <c r="N3457" s="2">
        <v>320</v>
      </c>
      <c r="O3457" s="2">
        <v>441954.26</v>
      </c>
      <c r="P3457" s="2">
        <v>1381.11</v>
      </c>
    </row>
    <row r="3458" spans="1:16" outlineLevel="1" x14ac:dyDescent="0.2">
      <c r="A3458" s="5"/>
      <c r="D3458" s="3" t="s">
        <v>780</v>
      </c>
      <c r="N3458" s="2">
        <f>SUBTOTAL(9,N3457:N3457)</f>
        <v>320</v>
      </c>
      <c r="O3458" s="2">
        <f>SUBTOTAL(9,O3457:O3457)</f>
        <v>441954.26</v>
      </c>
      <c r="P3458" s="2">
        <f>+O3458/N3458</f>
        <v>1381.1070625</v>
      </c>
    </row>
    <row r="3459" spans="1:16" outlineLevel="2" x14ac:dyDescent="0.2">
      <c r="A3459" s="5">
        <v>46168</v>
      </c>
      <c r="B3459" s="2">
        <v>159583</v>
      </c>
      <c r="C3459" s="2">
        <v>2</v>
      </c>
      <c r="D3459" s="2" t="s">
        <v>470</v>
      </c>
      <c r="E3459" s="2" t="s">
        <v>23</v>
      </c>
      <c r="F3459" s="2" t="s">
        <v>47</v>
      </c>
      <c r="G3459" s="2" t="s">
        <v>22</v>
      </c>
      <c r="H3459" s="2" t="s">
        <v>23</v>
      </c>
      <c r="I3459" s="2" t="s">
        <v>23</v>
      </c>
      <c r="J3459" s="2">
        <v>93</v>
      </c>
      <c r="K3459" s="2" t="s">
        <v>183</v>
      </c>
      <c r="L3459" s="2">
        <v>2338</v>
      </c>
      <c r="M3459" s="2" t="s">
        <v>417</v>
      </c>
      <c r="N3459" s="2">
        <v>10</v>
      </c>
      <c r="O3459" s="2">
        <v>417027.5</v>
      </c>
      <c r="P3459" s="2">
        <v>41702.75</v>
      </c>
    </row>
    <row r="3460" spans="1:16" outlineLevel="1" x14ac:dyDescent="0.2">
      <c r="A3460" s="5"/>
      <c r="D3460" s="3" t="s">
        <v>779</v>
      </c>
      <c r="N3460" s="2">
        <f>SUBTOTAL(9,N3459:N3459)</f>
        <v>10</v>
      </c>
      <c r="O3460" s="2">
        <f>SUBTOTAL(9,O3459:O3459)</f>
        <v>417027.5</v>
      </c>
      <c r="P3460" s="2">
        <f>+O3460/N3460</f>
        <v>41702.75</v>
      </c>
    </row>
    <row r="3461" spans="1:16" outlineLevel="2" x14ac:dyDescent="0.2">
      <c r="A3461" s="5">
        <v>46168</v>
      </c>
      <c r="B3461" s="2">
        <v>159584</v>
      </c>
      <c r="C3461" s="2">
        <v>1</v>
      </c>
      <c r="D3461" s="2" t="s">
        <v>26</v>
      </c>
      <c r="E3461" s="2" t="s">
        <v>51</v>
      </c>
      <c r="F3461" s="2" t="s">
        <v>47</v>
      </c>
      <c r="G3461" s="2" t="s">
        <v>22</v>
      </c>
      <c r="H3461" s="2" t="s">
        <v>23</v>
      </c>
      <c r="I3461" s="2" t="s">
        <v>23</v>
      </c>
      <c r="J3461" s="2">
        <v>5</v>
      </c>
      <c r="K3461" s="2" t="s">
        <v>27</v>
      </c>
      <c r="L3461" s="2">
        <v>3048</v>
      </c>
      <c r="M3461" s="2" t="s">
        <v>53</v>
      </c>
      <c r="N3461" s="2">
        <v>131</v>
      </c>
      <c r="O3461" s="2">
        <v>687427.37</v>
      </c>
      <c r="P3461" s="2">
        <v>5247.54</v>
      </c>
    </row>
    <row r="3462" spans="1:16" outlineLevel="1" x14ac:dyDescent="0.2">
      <c r="A3462" s="5"/>
      <c r="D3462" s="3" t="s">
        <v>711</v>
      </c>
      <c r="N3462" s="2">
        <f>SUBTOTAL(9,N3461:N3461)</f>
        <v>131</v>
      </c>
      <c r="O3462" s="2">
        <f>SUBTOTAL(9,O3461:O3461)</f>
        <v>687427.37</v>
      </c>
      <c r="P3462" s="2">
        <f>+O3462/N3462</f>
        <v>5247.5371755725191</v>
      </c>
    </row>
    <row r="3463" spans="1:16" outlineLevel="2" x14ac:dyDescent="0.2">
      <c r="A3463" s="5">
        <v>46162</v>
      </c>
      <c r="B3463" s="2">
        <v>159588</v>
      </c>
      <c r="C3463" s="2">
        <v>2</v>
      </c>
      <c r="D3463" s="2" t="s">
        <v>45</v>
      </c>
      <c r="E3463" s="2" t="s">
        <v>228</v>
      </c>
      <c r="F3463" s="2" t="s">
        <v>289</v>
      </c>
      <c r="G3463" s="2" t="s">
        <v>22</v>
      </c>
      <c r="H3463" s="2" t="s">
        <v>23</v>
      </c>
      <c r="I3463" s="2" t="s">
        <v>23</v>
      </c>
      <c r="J3463" s="2">
        <v>2</v>
      </c>
      <c r="K3463" s="2" t="s">
        <v>48</v>
      </c>
      <c r="L3463" s="2">
        <v>801</v>
      </c>
      <c r="M3463" s="2" t="s">
        <v>56</v>
      </c>
      <c r="N3463" s="2">
        <v>40</v>
      </c>
      <c r="O3463" s="2">
        <v>434103.62</v>
      </c>
      <c r="P3463" s="2">
        <v>10852.59</v>
      </c>
    </row>
    <row r="3464" spans="1:16" outlineLevel="2" x14ac:dyDescent="0.2">
      <c r="A3464" s="5">
        <v>46162</v>
      </c>
      <c r="B3464" s="2">
        <v>159588</v>
      </c>
      <c r="C3464" s="2">
        <v>4</v>
      </c>
      <c r="D3464" s="2" t="s">
        <v>45</v>
      </c>
      <c r="E3464" s="2" t="s">
        <v>228</v>
      </c>
      <c r="F3464" s="2" t="s">
        <v>289</v>
      </c>
      <c r="G3464" s="2" t="s">
        <v>22</v>
      </c>
      <c r="H3464" s="2" t="s">
        <v>23</v>
      </c>
      <c r="I3464" s="2" t="s">
        <v>23</v>
      </c>
      <c r="J3464" s="2">
        <v>2</v>
      </c>
      <c r="K3464" s="2" t="s">
        <v>48</v>
      </c>
      <c r="L3464" s="2">
        <v>801</v>
      </c>
      <c r="M3464" s="2" t="s">
        <v>56</v>
      </c>
      <c r="N3464" s="2">
        <v>34</v>
      </c>
      <c r="O3464" s="2">
        <v>412579.66</v>
      </c>
      <c r="P3464" s="2">
        <v>12134.7</v>
      </c>
    </row>
    <row r="3465" spans="1:16" outlineLevel="1" x14ac:dyDescent="0.2">
      <c r="A3465" s="5"/>
      <c r="D3465" s="3" t="s">
        <v>733</v>
      </c>
      <c r="N3465" s="2">
        <f>SUBTOTAL(9,N3463:N3464)</f>
        <v>74</v>
      </c>
      <c r="O3465" s="2">
        <f>SUBTOTAL(9,O3463:O3464)</f>
        <v>846683.28</v>
      </c>
      <c r="P3465" s="2">
        <f>+O3465/N3465</f>
        <v>11441.665945945946</v>
      </c>
    </row>
    <row r="3466" spans="1:16" outlineLevel="2" x14ac:dyDescent="0.2">
      <c r="A3466" s="5">
        <v>46162</v>
      </c>
      <c r="B3466" s="2">
        <v>159588</v>
      </c>
      <c r="C3466" s="2">
        <v>6</v>
      </c>
      <c r="D3466" s="2" t="s">
        <v>226</v>
      </c>
      <c r="E3466" s="2" t="s">
        <v>530</v>
      </c>
      <c r="F3466" s="2" t="s">
        <v>289</v>
      </c>
      <c r="G3466" s="2" t="s">
        <v>22</v>
      </c>
      <c r="H3466" s="2" t="s">
        <v>23</v>
      </c>
      <c r="I3466" s="2" t="s">
        <v>23</v>
      </c>
      <c r="J3466" s="2">
        <v>2</v>
      </c>
      <c r="K3466" s="2" t="s">
        <v>48</v>
      </c>
      <c r="L3466" s="2">
        <v>801</v>
      </c>
      <c r="M3466" s="2" t="s">
        <v>56</v>
      </c>
      <c r="N3466" s="2">
        <v>16</v>
      </c>
      <c r="O3466" s="2">
        <v>310670.38</v>
      </c>
      <c r="P3466" s="2">
        <v>19416.900000000001</v>
      </c>
    </row>
    <row r="3467" spans="1:16" outlineLevel="2" x14ac:dyDescent="0.2">
      <c r="A3467" s="5">
        <v>46162</v>
      </c>
      <c r="B3467" s="2">
        <v>159588</v>
      </c>
      <c r="C3467" s="2">
        <v>8</v>
      </c>
      <c r="D3467" s="2" t="s">
        <v>226</v>
      </c>
      <c r="E3467" s="2" t="s">
        <v>151</v>
      </c>
      <c r="F3467" s="2" t="s">
        <v>289</v>
      </c>
      <c r="G3467" s="2" t="s">
        <v>22</v>
      </c>
      <c r="H3467" s="2" t="s">
        <v>23</v>
      </c>
      <c r="I3467" s="2" t="s">
        <v>23</v>
      </c>
      <c r="J3467" s="2">
        <v>2</v>
      </c>
      <c r="K3467" s="2" t="s">
        <v>48</v>
      </c>
      <c r="L3467" s="2">
        <v>801</v>
      </c>
      <c r="M3467" s="2" t="s">
        <v>56</v>
      </c>
      <c r="N3467" s="2">
        <v>16</v>
      </c>
      <c r="O3467" s="2">
        <v>262131.47</v>
      </c>
      <c r="P3467" s="2">
        <v>16383.22</v>
      </c>
    </row>
    <row r="3468" spans="1:16" outlineLevel="2" x14ac:dyDescent="0.2">
      <c r="A3468" s="5">
        <v>46162</v>
      </c>
      <c r="B3468" s="2">
        <v>159588</v>
      </c>
      <c r="C3468" s="2">
        <v>10</v>
      </c>
      <c r="D3468" s="2" t="s">
        <v>226</v>
      </c>
      <c r="E3468" s="2" t="s">
        <v>151</v>
      </c>
      <c r="F3468" s="2" t="s">
        <v>289</v>
      </c>
      <c r="G3468" s="2" t="s">
        <v>22</v>
      </c>
      <c r="H3468" s="2" t="s">
        <v>23</v>
      </c>
      <c r="I3468" s="2" t="s">
        <v>23</v>
      </c>
      <c r="J3468" s="2">
        <v>2</v>
      </c>
      <c r="K3468" s="2" t="s">
        <v>48</v>
      </c>
      <c r="L3468" s="2">
        <v>801</v>
      </c>
      <c r="M3468" s="2" t="s">
        <v>56</v>
      </c>
      <c r="N3468" s="2">
        <v>16</v>
      </c>
      <c r="O3468" s="2">
        <v>252165.67</v>
      </c>
      <c r="P3468" s="2">
        <v>15760.35</v>
      </c>
    </row>
    <row r="3469" spans="1:16" outlineLevel="2" x14ac:dyDescent="0.2">
      <c r="A3469" s="5">
        <v>46162</v>
      </c>
      <c r="B3469" s="2">
        <v>159588</v>
      </c>
      <c r="C3469" s="2">
        <v>11</v>
      </c>
      <c r="D3469" s="2" t="s">
        <v>226</v>
      </c>
      <c r="E3469" s="2" t="s">
        <v>544</v>
      </c>
      <c r="F3469" s="2" t="s">
        <v>289</v>
      </c>
      <c r="G3469" s="2" t="s">
        <v>22</v>
      </c>
      <c r="H3469" s="2" t="s">
        <v>23</v>
      </c>
      <c r="I3469" s="2" t="s">
        <v>23</v>
      </c>
      <c r="J3469" s="2">
        <v>2</v>
      </c>
      <c r="K3469" s="2" t="s">
        <v>48</v>
      </c>
      <c r="L3469" s="2">
        <v>801</v>
      </c>
      <c r="M3469" s="2" t="s">
        <v>56</v>
      </c>
      <c r="N3469" s="2">
        <v>23</v>
      </c>
      <c r="O3469" s="2">
        <v>648328.18999999994</v>
      </c>
      <c r="P3469" s="2">
        <v>28188.18</v>
      </c>
    </row>
    <row r="3470" spans="1:16" outlineLevel="2" x14ac:dyDescent="0.2">
      <c r="A3470" s="5">
        <v>46162</v>
      </c>
      <c r="B3470" s="2">
        <v>159588</v>
      </c>
      <c r="C3470" s="2">
        <v>12</v>
      </c>
      <c r="D3470" s="2" t="s">
        <v>226</v>
      </c>
      <c r="E3470" s="2" t="s">
        <v>544</v>
      </c>
      <c r="F3470" s="2" t="s">
        <v>289</v>
      </c>
      <c r="G3470" s="2" t="s">
        <v>22</v>
      </c>
      <c r="H3470" s="2" t="s">
        <v>23</v>
      </c>
      <c r="I3470" s="2" t="s">
        <v>23</v>
      </c>
      <c r="J3470" s="2">
        <v>2</v>
      </c>
      <c r="K3470" s="2" t="s">
        <v>48</v>
      </c>
      <c r="L3470" s="2">
        <v>801</v>
      </c>
      <c r="M3470" s="2" t="s">
        <v>56</v>
      </c>
      <c r="N3470" s="2">
        <v>16</v>
      </c>
      <c r="O3470" s="2">
        <v>463754.4</v>
      </c>
      <c r="P3470" s="2">
        <v>28984.65</v>
      </c>
    </row>
    <row r="3471" spans="1:16" outlineLevel="1" x14ac:dyDescent="0.2">
      <c r="A3471" s="5"/>
      <c r="D3471" s="3" t="s">
        <v>736</v>
      </c>
      <c r="N3471" s="2">
        <f>SUBTOTAL(9,N3466:N3470)</f>
        <v>87</v>
      </c>
      <c r="O3471" s="2">
        <f>SUBTOTAL(9,O3466:O3470)</f>
        <v>1937050.1099999999</v>
      </c>
      <c r="P3471" s="2">
        <f>+O3471/N3471</f>
        <v>22264.943793103448</v>
      </c>
    </row>
    <row r="3472" spans="1:16" outlineLevel="2" x14ac:dyDescent="0.2">
      <c r="A3472" s="5">
        <v>46168</v>
      </c>
      <c r="B3472" s="2">
        <v>159588</v>
      </c>
      <c r="C3472" s="2">
        <v>304</v>
      </c>
      <c r="D3472" s="2" t="s">
        <v>45</v>
      </c>
      <c r="E3472" s="2" t="s">
        <v>549</v>
      </c>
      <c r="F3472" s="2" t="s">
        <v>289</v>
      </c>
      <c r="G3472" s="2" t="s">
        <v>22</v>
      </c>
      <c r="H3472" s="2" t="s">
        <v>23</v>
      </c>
      <c r="I3472" s="2" t="s">
        <v>23</v>
      </c>
      <c r="J3472" s="2">
        <v>2</v>
      </c>
      <c r="K3472" s="2" t="s">
        <v>48</v>
      </c>
      <c r="L3472" s="2">
        <v>801</v>
      </c>
      <c r="M3472" s="2" t="s">
        <v>56</v>
      </c>
      <c r="N3472" s="2">
        <v>7</v>
      </c>
      <c r="O3472" s="2">
        <v>30556.36</v>
      </c>
      <c r="P3472" s="2">
        <v>4365.1899999999996</v>
      </c>
    </row>
    <row r="3473" spans="1:16" outlineLevel="1" x14ac:dyDescent="0.2">
      <c r="A3473" s="5"/>
      <c r="D3473" s="3" t="s">
        <v>733</v>
      </c>
      <c r="N3473" s="2">
        <f>SUBTOTAL(9,N3472:N3472)</f>
        <v>7</v>
      </c>
      <c r="O3473" s="2">
        <f>SUBTOTAL(9,O3472:O3472)</f>
        <v>30556.36</v>
      </c>
      <c r="P3473" s="2">
        <f>+O3473/N3473</f>
        <v>4365.1942857142858</v>
      </c>
    </row>
    <row r="3474" spans="1:16" outlineLevel="2" x14ac:dyDescent="0.2">
      <c r="A3474" s="5">
        <v>46164</v>
      </c>
      <c r="B3474" s="2">
        <v>159588</v>
      </c>
      <c r="C3474" s="2">
        <v>315</v>
      </c>
      <c r="D3474" s="2" t="s">
        <v>406</v>
      </c>
      <c r="E3474" s="2" t="s">
        <v>228</v>
      </c>
      <c r="F3474" s="2" t="s">
        <v>289</v>
      </c>
      <c r="G3474" s="2" t="s">
        <v>22</v>
      </c>
      <c r="H3474" s="2" t="s">
        <v>23</v>
      </c>
      <c r="I3474" s="2" t="s">
        <v>23</v>
      </c>
      <c r="J3474" s="2">
        <v>2</v>
      </c>
      <c r="K3474" s="2" t="s">
        <v>48</v>
      </c>
      <c r="L3474" s="2">
        <v>801</v>
      </c>
      <c r="M3474" s="2" t="s">
        <v>56</v>
      </c>
      <c r="N3474" s="2">
        <v>14</v>
      </c>
      <c r="O3474" s="2">
        <v>82581.78</v>
      </c>
      <c r="P3474" s="2">
        <v>5898.7</v>
      </c>
    </row>
    <row r="3475" spans="1:16" outlineLevel="1" x14ac:dyDescent="0.2">
      <c r="A3475" s="5"/>
      <c r="D3475" s="3" t="s">
        <v>770</v>
      </c>
      <c r="N3475" s="2">
        <f>SUBTOTAL(9,N3474:N3474)</f>
        <v>14</v>
      </c>
      <c r="O3475" s="2">
        <f>SUBTOTAL(9,O3474:O3474)</f>
        <v>82581.78</v>
      </c>
      <c r="P3475" s="2">
        <f>+O3475/N3475</f>
        <v>5898.6985714285711</v>
      </c>
    </row>
    <row r="3476" spans="1:16" outlineLevel="2" x14ac:dyDescent="0.2">
      <c r="A3476" s="5">
        <v>46146</v>
      </c>
      <c r="B3476" s="2">
        <v>159601</v>
      </c>
      <c r="C3476" s="2">
        <v>315</v>
      </c>
      <c r="D3476" s="2" t="s">
        <v>45</v>
      </c>
      <c r="E3476" s="2" t="s">
        <v>46</v>
      </c>
      <c r="F3476" s="2" t="s">
        <v>55</v>
      </c>
      <c r="G3476" s="2" t="s">
        <v>23</v>
      </c>
      <c r="H3476" s="2" t="s">
        <v>23</v>
      </c>
      <c r="I3476" s="2" t="s">
        <v>23</v>
      </c>
      <c r="J3476" s="2">
        <v>2</v>
      </c>
      <c r="K3476" s="2" t="s">
        <v>48</v>
      </c>
      <c r="L3476" s="2">
        <v>2290</v>
      </c>
      <c r="M3476" s="2" t="s">
        <v>550</v>
      </c>
      <c r="N3476" s="2">
        <v>12</v>
      </c>
      <c r="O3476" s="2">
        <v>63583.56</v>
      </c>
      <c r="P3476" s="2">
        <v>5298.63</v>
      </c>
    </row>
    <row r="3477" spans="1:16" outlineLevel="1" x14ac:dyDescent="0.2">
      <c r="A3477" s="5"/>
      <c r="D3477" s="3" t="s">
        <v>733</v>
      </c>
      <c r="N3477" s="2">
        <f>SUBTOTAL(9,N3476:N3476)</f>
        <v>12</v>
      </c>
      <c r="O3477" s="2">
        <f>SUBTOTAL(9,O3476:O3476)</f>
        <v>63583.56</v>
      </c>
      <c r="P3477" s="2">
        <f>+O3477/N3477</f>
        <v>5298.63</v>
      </c>
    </row>
    <row r="3478" spans="1:16" outlineLevel="2" x14ac:dyDescent="0.2">
      <c r="A3478" s="5">
        <v>46146</v>
      </c>
      <c r="B3478" s="2">
        <v>159607</v>
      </c>
      <c r="C3478" s="2">
        <v>301</v>
      </c>
      <c r="D3478" s="2" t="s">
        <v>54</v>
      </c>
      <c r="E3478" s="2" t="s">
        <v>20</v>
      </c>
      <c r="F3478" s="2" t="s">
        <v>55</v>
      </c>
      <c r="G3478" s="2" t="s">
        <v>23</v>
      </c>
      <c r="H3478" s="2" t="s">
        <v>23</v>
      </c>
      <c r="I3478" s="2" t="s">
        <v>23</v>
      </c>
      <c r="J3478" s="2">
        <v>2</v>
      </c>
      <c r="K3478" s="2" t="s">
        <v>48</v>
      </c>
      <c r="L3478" s="2">
        <v>25095</v>
      </c>
      <c r="M3478" s="2" t="s">
        <v>216</v>
      </c>
      <c r="N3478" s="2">
        <v>36</v>
      </c>
      <c r="O3478" s="2">
        <v>142184.35999999999</v>
      </c>
      <c r="P3478" s="2">
        <v>3949.57</v>
      </c>
    </row>
    <row r="3479" spans="1:16" outlineLevel="1" x14ac:dyDescent="0.2">
      <c r="A3479" s="5"/>
      <c r="D3479" s="3" t="s">
        <v>719</v>
      </c>
      <c r="N3479" s="2">
        <f>SUBTOTAL(9,N3478:N3478)</f>
        <v>36</v>
      </c>
      <c r="O3479" s="2">
        <f>SUBTOTAL(9,O3478:O3478)</f>
        <v>142184.35999999999</v>
      </c>
      <c r="P3479" s="2">
        <f>+O3479/N3479</f>
        <v>3949.565555555555</v>
      </c>
    </row>
    <row r="3480" spans="1:16" outlineLevel="2" x14ac:dyDescent="0.2">
      <c r="A3480" s="5">
        <v>46162</v>
      </c>
      <c r="B3480" s="2">
        <v>159619</v>
      </c>
      <c r="C3480" s="2">
        <v>1</v>
      </c>
      <c r="D3480" s="2" t="s">
        <v>19</v>
      </c>
      <c r="E3480" s="2" t="s">
        <v>20</v>
      </c>
      <c r="F3480" s="2" t="s">
        <v>21</v>
      </c>
      <c r="G3480" s="2" t="s">
        <v>22</v>
      </c>
      <c r="H3480" s="2" t="s">
        <v>23</v>
      </c>
      <c r="I3480" s="2" t="s">
        <v>23</v>
      </c>
      <c r="J3480" s="2">
        <v>1</v>
      </c>
      <c r="K3480" s="2" t="s">
        <v>24</v>
      </c>
      <c r="L3480" s="2">
        <v>25205</v>
      </c>
      <c r="M3480" s="2" t="s">
        <v>171</v>
      </c>
      <c r="N3480" s="2">
        <v>203</v>
      </c>
      <c r="O3480" s="2">
        <v>14237454.619999999</v>
      </c>
      <c r="P3480" s="2">
        <v>70135.240000000005</v>
      </c>
    </row>
    <row r="3481" spans="1:16" outlineLevel="1" x14ac:dyDescent="0.2">
      <c r="A3481" s="5"/>
      <c r="D3481" s="3" t="s">
        <v>704</v>
      </c>
      <c r="N3481" s="2">
        <f>SUBTOTAL(9,N3480:N3480)</f>
        <v>203</v>
      </c>
      <c r="O3481" s="2">
        <f>SUBTOTAL(9,O3480:O3480)</f>
        <v>14237454.619999999</v>
      </c>
      <c r="P3481" s="2">
        <f>+O3481/N3481</f>
        <v>70135.24443349753</v>
      </c>
    </row>
    <row r="3482" spans="1:16" outlineLevel="2" x14ac:dyDescent="0.2">
      <c r="A3482" s="5">
        <v>46195</v>
      </c>
      <c r="B3482" s="2">
        <v>159620</v>
      </c>
      <c r="C3482" s="2">
        <v>1</v>
      </c>
      <c r="D3482" s="2" t="s">
        <v>92</v>
      </c>
      <c r="E3482" s="2" t="s">
        <v>551</v>
      </c>
      <c r="F3482" s="2" t="s">
        <v>40</v>
      </c>
      <c r="G3482" s="2" t="s">
        <v>22</v>
      </c>
      <c r="H3482" s="2" t="s">
        <v>23</v>
      </c>
      <c r="I3482" s="2" t="s">
        <v>23</v>
      </c>
      <c r="J3482" s="2">
        <v>5</v>
      </c>
      <c r="K3482" s="2" t="s">
        <v>27</v>
      </c>
      <c r="L3482" s="2">
        <v>2521</v>
      </c>
      <c r="M3482" s="2" t="s">
        <v>82</v>
      </c>
      <c r="N3482" s="2">
        <v>16</v>
      </c>
      <c r="O3482" s="2">
        <v>346443.04</v>
      </c>
      <c r="P3482" s="2">
        <v>21652.69</v>
      </c>
    </row>
    <row r="3483" spans="1:16" outlineLevel="1" x14ac:dyDescent="0.2">
      <c r="A3483" s="5"/>
      <c r="D3483" s="3" t="s">
        <v>702</v>
      </c>
      <c r="N3483" s="2">
        <f>SUBTOTAL(9,N3482:N3482)</f>
        <v>16</v>
      </c>
      <c r="O3483" s="2">
        <f>SUBTOTAL(9,O3482:O3482)</f>
        <v>346443.04</v>
      </c>
      <c r="P3483" s="2">
        <f>+O3483/N3483</f>
        <v>21652.69</v>
      </c>
    </row>
    <row r="3484" spans="1:16" outlineLevel="2" x14ac:dyDescent="0.2">
      <c r="A3484" s="5">
        <v>46168</v>
      </c>
      <c r="B3484" s="2">
        <v>159620</v>
      </c>
      <c r="C3484" s="2">
        <v>2</v>
      </c>
      <c r="D3484" s="2" t="s">
        <v>175</v>
      </c>
      <c r="E3484" s="2" t="s">
        <v>276</v>
      </c>
      <c r="F3484" s="2" t="s">
        <v>40</v>
      </c>
      <c r="G3484" s="2" t="s">
        <v>22</v>
      </c>
      <c r="H3484" s="2" t="s">
        <v>23</v>
      </c>
      <c r="I3484" s="2" t="s">
        <v>23</v>
      </c>
      <c r="J3484" s="2">
        <v>2</v>
      </c>
      <c r="K3484" s="2" t="s">
        <v>48</v>
      </c>
      <c r="L3484" s="2">
        <v>2521</v>
      </c>
      <c r="M3484" s="2" t="s">
        <v>82</v>
      </c>
      <c r="N3484" s="2">
        <v>20</v>
      </c>
      <c r="O3484" s="2">
        <v>561490.93000000005</v>
      </c>
      <c r="P3484" s="2">
        <v>28074.55</v>
      </c>
    </row>
    <row r="3485" spans="1:16" outlineLevel="1" x14ac:dyDescent="0.2">
      <c r="A3485" s="5"/>
      <c r="D3485" s="3" t="s">
        <v>725</v>
      </c>
      <c r="N3485" s="2">
        <f>SUBTOTAL(9,N3484:N3484)</f>
        <v>20</v>
      </c>
      <c r="O3485" s="2">
        <f>SUBTOTAL(9,O3484:O3484)</f>
        <v>561490.93000000005</v>
      </c>
      <c r="P3485" s="2">
        <f>+O3485/N3485</f>
        <v>28074.546500000004</v>
      </c>
    </row>
    <row r="3486" spans="1:16" outlineLevel="2" x14ac:dyDescent="0.2">
      <c r="A3486" s="5">
        <v>46164</v>
      </c>
      <c r="B3486" s="2">
        <v>159621</v>
      </c>
      <c r="C3486" s="2">
        <v>1</v>
      </c>
      <c r="D3486" s="2" t="s">
        <v>131</v>
      </c>
      <c r="E3486" s="2" t="s">
        <v>132</v>
      </c>
      <c r="F3486" s="2" t="s">
        <v>40</v>
      </c>
      <c r="G3486" s="2" t="s">
        <v>22</v>
      </c>
      <c r="H3486" s="2" t="s">
        <v>23</v>
      </c>
      <c r="I3486" s="2" t="s">
        <v>23</v>
      </c>
      <c r="J3486" s="2">
        <v>1</v>
      </c>
      <c r="K3486" s="2" t="s">
        <v>24</v>
      </c>
      <c r="L3486" s="2">
        <v>2521</v>
      </c>
      <c r="M3486" s="2" t="s">
        <v>82</v>
      </c>
      <c r="N3486" s="2">
        <v>322</v>
      </c>
      <c r="O3486" s="2">
        <v>9050335.5600000005</v>
      </c>
      <c r="P3486" s="2">
        <v>28106.63</v>
      </c>
    </row>
    <row r="3487" spans="1:16" outlineLevel="1" x14ac:dyDescent="0.2">
      <c r="A3487" s="5"/>
      <c r="D3487" s="3" t="s">
        <v>713</v>
      </c>
      <c r="N3487" s="2">
        <f>SUBTOTAL(9,N3486:N3486)</f>
        <v>322</v>
      </c>
      <c r="O3487" s="2">
        <f>SUBTOTAL(9,O3486:O3486)</f>
        <v>9050335.5600000005</v>
      </c>
      <c r="P3487" s="2">
        <f>+O3487/N3487</f>
        <v>28106.632173913044</v>
      </c>
    </row>
    <row r="3488" spans="1:16" outlineLevel="2" x14ac:dyDescent="0.2">
      <c r="A3488" s="5">
        <v>46162</v>
      </c>
      <c r="B3488" s="2">
        <v>159621</v>
      </c>
      <c r="C3488" s="2">
        <v>3</v>
      </c>
      <c r="D3488" s="2" t="s">
        <v>451</v>
      </c>
      <c r="E3488" s="2" t="s">
        <v>23</v>
      </c>
      <c r="F3488" s="2" t="s">
        <v>40</v>
      </c>
      <c r="G3488" s="2" t="s">
        <v>22</v>
      </c>
      <c r="H3488" s="2" t="s">
        <v>23</v>
      </c>
      <c r="I3488" s="2" t="s">
        <v>23</v>
      </c>
      <c r="J3488" s="2">
        <v>6</v>
      </c>
      <c r="K3488" s="2" t="s">
        <v>479</v>
      </c>
      <c r="L3488" s="2">
        <v>2521</v>
      </c>
      <c r="M3488" s="2" t="s">
        <v>82</v>
      </c>
      <c r="N3488" s="2">
        <v>233</v>
      </c>
      <c r="O3488" s="2">
        <v>5081243.4800000004</v>
      </c>
      <c r="P3488" s="2">
        <v>21807.91</v>
      </c>
    </row>
    <row r="3489" spans="1:16" outlineLevel="1" x14ac:dyDescent="0.2">
      <c r="A3489" s="5"/>
      <c r="D3489" s="3" t="s">
        <v>775</v>
      </c>
      <c r="N3489" s="2">
        <f>SUBTOTAL(9,N3488:N3488)</f>
        <v>233</v>
      </c>
      <c r="O3489" s="2">
        <f>SUBTOTAL(9,O3488:O3488)</f>
        <v>5081243.4800000004</v>
      </c>
      <c r="P3489" s="2">
        <f>+O3489/N3489</f>
        <v>21807.911931330473</v>
      </c>
    </row>
    <row r="3490" spans="1:16" outlineLevel="2" x14ac:dyDescent="0.2">
      <c r="A3490" s="5">
        <v>46162</v>
      </c>
      <c r="B3490" s="2">
        <v>159622</v>
      </c>
      <c r="C3490" s="2">
        <v>1</v>
      </c>
      <c r="D3490" s="2" t="s">
        <v>38</v>
      </c>
      <c r="E3490" s="2" t="s">
        <v>39</v>
      </c>
      <c r="F3490" s="2" t="s">
        <v>63</v>
      </c>
      <c r="G3490" s="2" t="s">
        <v>22</v>
      </c>
      <c r="H3490" s="2" t="s">
        <v>23</v>
      </c>
      <c r="I3490" s="2" t="s">
        <v>243</v>
      </c>
      <c r="J3490" s="2">
        <v>1</v>
      </c>
      <c r="K3490" s="2" t="s">
        <v>24</v>
      </c>
      <c r="L3490" s="2">
        <v>1846</v>
      </c>
      <c r="M3490" s="2" t="s">
        <v>134</v>
      </c>
      <c r="N3490" s="2">
        <v>263</v>
      </c>
      <c r="O3490" s="2">
        <v>27169193.5</v>
      </c>
      <c r="P3490" s="2">
        <v>103304.92</v>
      </c>
    </row>
    <row r="3491" spans="1:16" outlineLevel="2" x14ac:dyDescent="0.2">
      <c r="A3491" s="5">
        <v>46162</v>
      </c>
      <c r="B3491" s="2">
        <v>159622</v>
      </c>
      <c r="C3491" s="2">
        <v>2</v>
      </c>
      <c r="D3491" s="2" t="s">
        <v>38</v>
      </c>
      <c r="E3491" s="2" t="s">
        <v>39</v>
      </c>
      <c r="F3491" s="2" t="s">
        <v>63</v>
      </c>
      <c r="G3491" s="2" t="s">
        <v>22</v>
      </c>
      <c r="H3491" s="2" t="s">
        <v>23</v>
      </c>
      <c r="I3491" s="2" t="s">
        <v>116</v>
      </c>
      <c r="J3491" s="2">
        <v>1</v>
      </c>
      <c r="K3491" s="2" t="s">
        <v>24</v>
      </c>
      <c r="L3491" s="2">
        <v>1846</v>
      </c>
      <c r="M3491" s="2" t="s">
        <v>134</v>
      </c>
      <c r="N3491" s="2">
        <v>680</v>
      </c>
      <c r="O3491" s="2">
        <v>74277057.200000003</v>
      </c>
      <c r="P3491" s="2">
        <v>109230.97</v>
      </c>
    </row>
    <row r="3492" spans="1:16" outlineLevel="2" x14ac:dyDescent="0.2">
      <c r="A3492" s="5">
        <v>46162</v>
      </c>
      <c r="B3492" s="2">
        <v>159622</v>
      </c>
      <c r="C3492" s="2">
        <v>3</v>
      </c>
      <c r="D3492" s="2" t="s">
        <v>38</v>
      </c>
      <c r="E3492" s="2" t="s">
        <v>39</v>
      </c>
      <c r="F3492" s="2" t="s">
        <v>63</v>
      </c>
      <c r="G3492" s="2" t="s">
        <v>22</v>
      </c>
      <c r="H3492" s="2" t="s">
        <v>23</v>
      </c>
      <c r="I3492" s="2" t="s">
        <v>135</v>
      </c>
      <c r="J3492" s="2">
        <v>1</v>
      </c>
      <c r="K3492" s="2" t="s">
        <v>24</v>
      </c>
      <c r="L3492" s="2">
        <v>1846</v>
      </c>
      <c r="M3492" s="2" t="s">
        <v>134</v>
      </c>
      <c r="N3492" s="2">
        <v>176</v>
      </c>
      <c r="O3492" s="2">
        <v>19505770.34</v>
      </c>
      <c r="P3492" s="2">
        <v>110828.24</v>
      </c>
    </row>
    <row r="3493" spans="1:16" outlineLevel="2" x14ac:dyDescent="0.2">
      <c r="A3493" s="5">
        <v>46162</v>
      </c>
      <c r="B3493" s="2">
        <v>159622</v>
      </c>
      <c r="C3493" s="2">
        <v>4</v>
      </c>
      <c r="D3493" s="2" t="s">
        <v>38</v>
      </c>
      <c r="E3493" s="2" t="s">
        <v>39</v>
      </c>
      <c r="F3493" s="2" t="s">
        <v>63</v>
      </c>
      <c r="G3493" s="2" t="s">
        <v>22</v>
      </c>
      <c r="H3493" s="2" t="s">
        <v>23</v>
      </c>
      <c r="I3493" s="2" t="s">
        <v>133</v>
      </c>
      <c r="J3493" s="2">
        <v>1</v>
      </c>
      <c r="K3493" s="2" t="s">
        <v>24</v>
      </c>
      <c r="L3493" s="2">
        <v>1846</v>
      </c>
      <c r="M3493" s="2" t="s">
        <v>134</v>
      </c>
      <c r="N3493" s="2">
        <v>88</v>
      </c>
      <c r="O3493" s="2">
        <v>8190102.3200000003</v>
      </c>
      <c r="P3493" s="2">
        <v>93069.34</v>
      </c>
    </row>
    <row r="3494" spans="1:16" outlineLevel="1" x14ac:dyDescent="0.2">
      <c r="A3494" s="5"/>
      <c r="D3494" s="3" t="s">
        <v>721</v>
      </c>
      <c r="N3494" s="2">
        <f>SUBTOTAL(9,N3490:N3493)</f>
        <v>1207</v>
      </c>
      <c r="O3494" s="2">
        <f>SUBTOTAL(9,O3490:O3493)</f>
        <v>129142123.36000001</v>
      </c>
      <c r="P3494" s="2">
        <f>+O3494/N3494</f>
        <v>106994.30270091136</v>
      </c>
    </row>
    <row r="3495" spans="1:16" outlineLevel="2" x14ac:dyDescent="0.2">
      <c r="A3495" s="5">
        <v>46164</v>
      </c>
      <c r="B3495" s="2">
        <v>159625</v>
      </c>
      <c r="C3495" s="2">
        <v>5</v>
      </c>
      <c r="D3495" s="2" t="s">
        <v>45</v>
      </c>
      <c r="E3495" s="2" t="s">
        <v>125</v>
      </c>
      <c r="F3495" s="2" t="s">
        <v>289</v>
      </c>
      <c r="G3495" s="2" t="s">
        <v>22</v>
      </c>
      <c r="H3495" s="2" t="s">
        <v>23</v>
      </c>
      <c r="I3495" s="2" t="s">
        <v>23</v>
      </c>
      <c r="J3495" s="2">
        <v>2</v>
      </c>
      <c r="K3495" s="2" t="s">
        <v>48</v>
      </c>
      <c r="L3495" s="2">
        <v>106</v>
      </c>
      <c r="M3495" s="2" t="s">
        <v>486</v>
      </c>
      <c r="N3495" s="2">
        <v>112</v>
      </c>
      <c r="O3495" s="2">
        <v>3634442.04</v>
      </c>
      <c r="P3495" s="2">
        <v>32450.38</v>
      </c>
    </row>
    <row r="3496" spans="1:16" outlineLevel="2" x14ac:dyDescent="0.2">
      <c r="A3496" s="5">
        <v>46178</v>
      </c>
      <c r="B3496" s="2">
        <v>159625</v>
      </c>
      <c r="C3496" s="2">
        <v>315</v>
      </c>
      <c r="D3496" s="2" t="s">
        <v>45</v>
      </c>
      <c r="E3496" s="2" t="s">
        <v>125</v>
      </c>
      <c r="F3496" s="2" t="s">
        <v>55</v>
      </c>
      <c r="G3496" s="2" t="s">
        <v>23</v>
      </c>
      <c r="H3496" s="2" t="s">
        <v>23</v>
      </c>
      <c r="I3496" s="2" t="s">
        <v>23</v>
      </c>
      <c r="J3496" s="2">
        <v>2</v>
      </c>
      <c r="K3496" s="2" t="s">
        <v>48</v>
      </c>
      <c r="L3496" s="2">
        <v>106</v>
      </c>
      <c r="M3496" s="2" t="s">
        <v>486</v>
      </c>
      <c r="N3496" s="2">
        <v>5</v>
      </c>
      <c r="O3496" s="2">
        <v>45161.95</v>
      </c>
      <c r="P3496" s="2">
        <v>9032.39</v>
      </c>
    </row>
    <row r="3497" spans="1:16" outlineLevel="1" x14ac:dyDescent="0.2">
      <c r="A3497" s="5"/>
      <c r="D3497" s="3" t="s">
        <v>733</v>
      </c>
      <c r="N3497" s="2">
        <f>SUBTOTAL(9,N3495:N3496)</f>
        <v>117</v>
      </c>
      <c r="O3497" s="2">
        <f>SUBTOTAL(9,O3495:O3496)</f>
        <v>3679603.99</v>
      </c>
      <c r="P3497" s="2">
        <f>+O3497/N3497</f>
        <v>31449.606752136755</v>
      </c>
    </row>
    <row r="3498" spans="1:16" outlineLevel="2" x14ac:dyDescent="0.2">
      <c r="A3498" s="5">
        <v>46168</v>
      </c>
      <c r="B3498" s="2">
        <v>159628</v>
      </c>
      <c r="C3498" s="2">
        <v>301</v>
      </c>
      <c r="D3498" s="2" t="s">
        <v>54</v>
      </c>
      <c r="E3498" s="2" t="s">
        <v>20</v>
      </c>
      <c r="F3498" s="2" t="s">
        <v>47</v>
      </c>
      <c r="G3498" s="2" t="s">
        <v>22</v>
      </c>
      <c r="H3498" s="2" t="s">
        <v>23</v>
      </c>
      <c r="I3498" s="2" t="s">
        <v>23</v>
      </c>
      <c r="J3498" s="2">
        <v>2</v>
      </c>
      <c r="K3498" s="2" t="s">
        <v>48</v>
      </c>
      <c r="L3498" s="2">
        <v>25095</v>
      </c>
      <c r="M3498" s="2" t="s">
        <v>216</v>
      </c>
      <c r="N3498" s="2">
        <v>40</v>
      </c>
      <c r="O3498" s="2">
        <v>137270</v>
      </c>
      <c r="P3498" s="2">
        <v>3431.75</v>
      </c>
    </row>
    <row r="3499" spans="1:16" outlineLevel="1" x14ac:dyDescent="0.2">
      <c r="A3499" s="5"/>
      <c r="D3499" s="3" t="s">
        <v>719</v>
      </c>
      <c r="N3499" s="2">
        <f>SUBTOTAL(9,N3498:N3498)</f>
        <v>40</v>
      </c>
      <c r="O3499" s="2">
        <f>SUBTOTAL(9,O3498:O3498)</f>
        <v>137270</v>
      </c>
      <c r="P3499" s="2">
        <f>+O3499/N3499</f>
        <v>3431.75</v>
      </c>
    </row>
    <row r="3500" spans="1:16" outlineLevel="2" x14ac:dyDescent="0.2">
      <c r="A3500" s="5">
        <v>46168</v>
      </c>
      <c r="B3500" s="2">
        <v>159631</v>
      </c>
      <c r="C3500" s="2">
        <v>1</v>
      </c>
      <c r="D3500" s="2" t="s">
        <v>207</v>
      </c>
      <c r="E3500" s="2" t="s">
        <v>23</v>
      </c>
      <c r="F3500" s="2" t="s">
        <v>47</v>
      </c>
      <c r="G3500" s="2" t="s">
        <v>22</v>
      </c>
      <c r="H3500" s="2" t="s">
        <v>208</v>
      </c>
      <c r="I3500" s="2" t="s">
        <v>23</v>
      </c>
      <c r="J3500" s="2">
        <v>41</v>
      </c>
      <c r="K3500" s="2" t="s">
        <v>129</v>
      </c>
      <c r="L3500" s="2">
        <v>25213</v>
      </c>
      <c r="M3500" s="2" t="s">
        <v>130</v>
      </c>
      <c r="N3500" s="2">
        <v>50</v>
      </c>
      <c r="O3500" s="2">
        <v>171867.55</v>
      </c>
      <c r="P3500" s="2">
        <v>3437.35</v>
      </c>
    </row>
    <row r="3501" spans="1:16" outlineLevel="2" x14ac:dyDescent="0.2">
      <c r="A3501" s="5">
        <v>46168</v>
      </c>
      <c r="B3501" s="2">
        <v>159631</v>
      </c>
      <c r="C3501" s="2">
        <v>2</v>
      </c>
      <c r="D3501" s="2" t="s">
        <v>207</v>
      </c>
      <c r="E3501" s="2" t="s">
        <v>23</v>
      </c>
      <c r="F3501" s="2" t="s">
        <v>47</v>
      </c>
      <c r="G3501" s="2" t="s">
        <v>22</v>
      </c>
      <c r="H3501" s="2" t="s">
        <v>209</v>
      </c>
      <c r="I3501" s="2" t="s">
        <v>23</v>
      </c>
      <c r="J3501" s="2">
        <v>41</v>
      </c>
      <c r="K3501" s="2" t="s">
        <v>129</v>
      </c>
      <c r="L3501" s="2">
        <v>25213</v>
      </c>
      <c r="M3501" s="2" t="s">
        <v>130</v>
      </c>
      <c r="N3501" s="2">
        <v>25</v>
      </c>
      <c r="O3501" s="2">
        <v>75526.149999999994</v>
      </c>
      <c r="P3501" s="2">
        <v>3021.05</v>
      </c>
    </row>
    <row r="3502" spans="1:16" outlineLevel="1" x14ac:dyDescent="0.2">
      <c r="A3502" s="5"/>
      <c r="D3502" s="3" t="s">
        <v>699</v>
      </c>
      <c r="N3502" s="2">
        <f>SUBTOTAL(9,N3500:N3501)</f>
        <v>75</v>
      </c>
      <c r="O3502" s="2">
        <f>SUBTOTAL(9,O3500:O3501)</f>
        <v>247393.69999999998</v>
      </c>
      <c r="P3502" s="2">
        <f>+O3502/N3502</f>
        <v>3298.5826666666662</v>
      </c>
    </row>
    <row r="3503" spans="1:16" outlineLevel="2" x14ac:dyDescent="0.2">
      <c r="A3503" s="5">
        <v>46168</v>
      </c>
      <c r="B3503" s="2">
        <v>159631</v>
      </c>
      <c r="C3503" s="2">
        <v>3</v>
      </c>
      <c r="D3503" s="2" t="s">
        <v>128</v>
      </c>
      <c r="E3503" s="2" t="s">
        <v>23</v>
      </c>
      <c r="F3503" s="2" t="s">
        <v>47</v>
      </c>
      <c r="G3503" s="2" t="s">
        <v>22</v>
      </c>
      <c r="H3503" s="2" t="s">
        <v>23</v>
      </c>
      <c r="I3503" s="2" t="s">
        <v>23</v>
      </c>
      <c r="J3503" s="2">
        <v>41</v>
      </c>
      <c r="K3503" s="2" t="s">
        <v>129</v>
      </c>
      <c r="L3503" s="2">
        <v>25213</v>
      </c>
      <c r="M3503" s="2" t="s">
        <v>130</v>
      </c>
      <c r="N3503" s="2">
        <v>50</v>
      </c>
      <c r="O3503" s="2">
        <v>188016.22</v>
      </c>
      <c r="P3503" s="2">
        <v>3760.32</v>
      </c>
    </row>
    <row r="3504" spans="1:16" outlineLevel="2" x14ac:dyDescent="0.2">
      <c r="A3504" s="5">
        <v>46168</v>
      </c>
      <c r="B3504" s="2">
        <v>159631</v>
      </c>
      <c r="C3504" s="2">
        <v>4</v>
      </c>
      <c r="D3504" s="2" t="s">
        <v>128</v>
      </c>
      <c r="E3504" s="2" t="s">
        <v>23</v>
      </c>
      <c r="F3504" s="2" t="s">
        <v>47</v>
      </c>
      <c r="G3504" s="2" t="s">
        <v>22</v>
      </c>
      <c r="H3504" s="2" t="s">
        <v>23</v>
      </c>
      <c r="I3504" s="2" t="s">
        <v>23</v>
      </c>
      <c r="J3504" s="2">
        <v>1</v>
      </c>
      <c r="K3504" s="2" t="s">
        <v>24</v>
      </c>
      <c r="L3504" s="2">
        <v>25213</v>
      </c>
      <c r="M3504" s="2" t="s">
        <v>130</v>
      </c>
      <c r="N3504" s="2">
        <v>6</v>
      </c>
      <c r="O3504" s="2">
        <v>533981.91</v>
      </c>
      <c r="P3504" s="2">
        <v>88996.99</v>
      </c>
    </row>
    <row r="3505" spans="1:16" outlineLevel="1" x14ac:dyDescent="0.2">
      <c r="A3505" s="5"/>
      <c r="D3505" s="3" t="s">
        <v>732</v>
      </c>
      <c r="N3505" s="2">
        <f>SUBTOTAL(9,N3503:N3504)</f>
        <v>56</v>
      </c>
      <c r="O3505" s="2">
        <f>SUBTOTAL(9,O3503:O3504)</f>
        <v>721998.13</v>
      </c>
      <c r="P3505" s="2">
        <f>+O3505/N3505</f>
        <v>12892.82375</v>
      </c>
    </row>
    <row r="3506" spans="1:16" outlineLevel="2" x14ac:dyDescent="0.2">
      <c r="A3506" s="5">
        <v>46168</v>
      </c>
      <c r="B3506" s="2">
        <v>159631</v>
      </c>
      <c r="C3506" s="2">
        <v>5</v>
      </c>
      <c r="D3506" s="2" t="s">
        <v>207</v>
      </c>
      <c r="E3506" s="2" t="s">
        <v>23</v>
      </c>
      <c r="F3506" s="2" t="s">
        <v>47</v>
      </c>
      <c r="G3506" s="2" t="s">
        <v>22</v>
      </c>
      <c r="H3506" s="2" t="s">
        <v>23</v>
      </c>
      <c r="I3506" s="2" t="s">
        <v>23</v>
      </c>
      <c r="J3506" s="2">
        <v>1</v>
      </c>
      <c r="K3506" s="2" t="s">
        <v>24</v>
      </c>
      <c r="L3506" s="2">
        <v>25213</v>
      </c>
      <c r="M3506" s="2" t="s">
        <v>130</v>
      </c>
      <c r="N3506" s="2">
        <v>6</v>
      </c>
      <c r="O3506" s="2">
        <v>489176.85</v>
      </c>
      <c r="P3506" s="2">
        <v>81529.47</v>
      </c>
    </row>
    <row r="3507" spans="1:16" outlineLevel="2" x14ac:dyDescent="0.2">
      <c r="A3507" s="5">
        <v>46168</v>
      </c>
      <c r="B3507" s="2">
        <v>159631</v>
      </c>
      <c r="C3507" s="2">
        <v>6</v>
      </c>
      <c r="D3507" s="2" t="s">
        <v>207</v>
      </c>
      <c r="E3507" s="2" t="s">
        <v>23</v>
      </c>
      <c r="F3507" s="2" t="s">
        <v>47</v>
      </c>
      <c r="G3507" s="2" t="s">
        <v>210</v>
      </c>
      <c r="H3507" s="2" t="s">
        <v>23</v>
      </c>
      <c r="I3507" s="2" t="s">
        <v>23</v>
      </c>
      <c r="J3507" s="2">
        <v>1</v>
      </c>
      <c r="K3507" s="2" t="s">
        <v>24</v>
      </c>
      <c r="L3507" s="2">
        <v>25213</v>
      </c>
      <c r="M3507" s="2" t="s">
        <v>130</v>
      </c>
      <c r="N3507" s="2">
        <v>2</v>
      </c>
      <c r="O3507" s="2">
        <v>145012.47</v>
      </c>
      <c r="P3507" s="2">
        <v>72506.240000000005</v>
      </c>
    </row>
    <row r="3508" spans="1:16" outlineLevel="2" x14ac:dyDescent="0.2">
      <c r="A3508" s="5">
        <v>46169</v>
      </c>
      <c r="B3508" s="2">
        <v>159639</v>
      </c>
      <c r="C3508" s="2">
        <v>1</v>
      </c>
      <c r="D3508" s="2" t="s">
        <v>207</v>
      </c>
      <c r="E3508" s="2" t="s">
        <v>23</v>
      </c>
      <c r="F3508" s="2" t="s">
        <v>47</v>
      </c>
      <c r="G3508" s="2" t="s">
        <v>22</v>
      </c>
      <c r="H3508" s="2" t="s">
        <v>208</v>
      </c>
      <c r="I3508" s="2" t="s">
        <v>23</v>
      </c>
      <c r="J3508" s="2">
        <v>41</v>
      </c>
      <c r="K3508" s="2" t="s">
        <v>129</v>
      </c>
      <c r="L3508" s="2">
        <v>25213</v>
      </c>
      <c r="M3508" s="2" t="s">
        <v>130</v>
      </c>
      <c r="N3508" s="2">
        <v>25</v>
      </c>
      <c r="O3508" s="2">
        <v>85277.67</v>
      </c>
      <c r="P3508" s="2">
        <v>3411.11</v>
      </c>
    </row>
    <row r="3509" spans="1:16" outlineLevel="1" x14ac:dyDescent="0.2">
      <c r="A3509" s="5"/>
      <c r="D3509" s="3" t="s">
        <v>699</v>
      </c>
      <c r="N3509" s="2">
        <f>SUBTOTAL(9,N3506:N3508)</f>
        <v>33</v>
      </c>
      <c r="O3509" s="2">
        <f>SUBTOTAL(9,O3506:O3508)</f>
        <v>719466.99</v>
      </c>
      <c r="P3509" s="2">
        <f>+O3509/N3509</f>
        <v>21802.03</v>
      </c>
    </row>
    <row r="3510" spans="1:16" outlineLevel="2" x14ac:dyDescent="0.2">
      <c r="A3510" s="5">
        <v>46169</v>
      </c>
      <c r="B3510" s="2">
        <v>159639</v>
      </c>
      <c r="C3510" s="2">
        <v>2</v>
      </c>
      <c r="D3510" s="2" t="s">
        <v>128</v>
      </c>
      <c r="E3510" s="2" t="s">
        <v>23</v>
      </c>
      <c r="F3510" s="2" t="s">
        <v>47</v>
      </c>
      <c r="G3510" s="2" t="s">
        <v>22</v>
      </c>
      <c r="H3510" s="2" t="s">
        <v>23</v>
      </c>
      <c r="I3510" s="2" t="s">
        <v>23</v>
      </c>
      <c r="J3510" s="2">
        <v>41</v>
      </c>
      <c r="K3510" s="2" t="s">
        <v>129</v>
      </c>
      <c r="L3510" s="2">
        <v>25213</v>
      </c>
      <c r="M3510" s="2" t="s">
        <v>130</v>
      </c>
      <c r="N3510" s="2">
        <v>25</v>
      </c>
      <c r="O3510" s="2">
        <v>89900.98</v>
      </c>
      <c r="P3510" s="2">
        <v>3596.04</v>
      </c>
    </row>
    <row r="3511" spans="1:16" outlineLevel="1" x14ac:dyDescent="0.2">
      <c r="A3511" s="5"/>
      <c r="D3511" s="3" t="s">
        <v>732</v>
      </c>
      <c r="N3511" s="2">
        <f>SUBTOTAL(9,N3510:N3510)</f>
        <v>25</v>
      </c>
      <c r="O3511" s="2">
        <f>SUBTOTAL(9,O3510:O3510)</f>
        <v>89900.98</v>
      </c>
      <c r="P3511" s="2">
        <f>+O3511/N3511</f>
        <v>3596.0391999999997</v>
      </c>
    </row>
    <row r="3512" spans="1:16" outlineLevel="2" x14ac:dyDescent="0.2">
      <c r="A3512" s="5">
        <v>46169</v>
      </c>
      <c r="B3512" s="2">
        <v>159639</v>
      </c>
      <c r="C3512" s="2">
        <v>3</v>
      </c>
      <c r="D3512" s="2" t="s">
        <v>207</v>
      </c>
      <c r="E3512" s="2" t="s">
        <v>23</v>
      </c>
      <c r="F3512" s="2" t="s">
        <v>47</v>
      </c>
      <c r="G3512" s="2" t="s">
        <v>22</v>
      </c>
      <c r="H3512" s="2" t="s">
        <v>23</v>
      </c>
      <c r="I3512" s="2" t="s">
        <v>23</v>
      </c>
      <c r="J3512" s="2">
        <v>1</v>
      </c>
      <c r="K3512" s="2" t="s">
        <v>24</v>
      </c>
      <c r="L3512" s="2">
        <v>25213</v>
      </c>
      <c r="M3512" s="2" t="s">
        <v>130</v>
      </c>
      <c r="N3512" s="2">
        <v>3</v>
      </c>
      <c r="O3512" s="2">
        <v>230586.85</v>
      </c>
      <c r="P3512" s="2">
        <v>76862.28</v>
      </c>
    </row>
    <row r="3513" spans="1:16" outlineLevel="2" x14ac:dyDescent="0.2">
      <c r="A3513" s="5">
        <v>46169</v>
      </c>
      <c r="B3513" s="2">
        <v>159639</v>
      </c>
      <c r="C3513" s="2">
        <v>4</v>
      </c>
      <c r="D3513" s="2" t="s">
        <v>207</v>
      </c>
      <c r="E3513" s="2" t="s">
        <v>23</v>
      </c>
      <c r="F3513" s="2" t="s">
        <v>47</v>
      </c>
      <c r="G3513" s="2" t="s">
        <v>210</v>
      </c>
      <c r="H3513" s="2" t="s">
        <v>23</v>
      </c>
      <c r="I3513" s="2" t="s">
        <v>23</v>
      </c>
      <c r="J3513" s="2">
        <v>1</v>
      </c>
      <c r="K3513" s="2" t="s">
        <v>24</v>
      </c>
      <c r="L3513" s="2">
        <v>25213</v>
      </c>
      <c r="M3513" s="2" t="s">
        <v>130</v>
      </c>
      <c r="N3513" s="2">
        <v>2</v>
      </c>
      <c r="O3513" s="2">
        <v>130077.46</v>
      </c>
      <c r="P3513" s="2">
        <v>65038.73</v>
      </c>
    </row>
    <row r="3514" spans="1:16" outlineLevel="1" x14ac:dyDescent="0.2">
      <c r="A3514" s="5"/>
      <c r="D3514" s="3" t="s">
        <v>699</v>
      </c>
      <c r="N3514" s="2">
        <f>SUBTOTAL(9,N3512:N3513)</f>
        <v>5</v>
      </c>
      <c r="O3514" s="2">
        <f>SUBTOTAL(9,O3512:O3513)</f>
        <v>360664.31</v>
      </c>
      <c r="P3514" s="2">
        <f>+O3514/N3514</f>
        <v>72132.861999999994</v>
      </c>
    </row>
    <row r="3515" spans="1:16" outlineLevel="2" x14ac:dyDescent="0.2">
      <c r="A3515" s="5">
        <v>46169</v>
      </c>
      <c r="B3515" s="2">
        <v>159639</v>
      </c>
      <c r="C3515" s="2">
        <v>5</v>
      </c>
      <c r="D3515" s="2" t="s">
        <v>128</v>
      </c>
      <c r="E3515" s="2" t="s">
        <v>23</v>
      </c>
      <c r="F3515" s="2" t="s">
        <v>47</v>
      </c>
      <c r="G3515" s="2" t="s">
        <v>22</v>
      </c>
      <c r="H3515" s="2" t="s">
        <v>23</v>
      </c>
      <c r="I3515" s="2" t="s">
        <v>23</v>
      </c>
      <c r="J3515" s="2">
        <v>1</v>
      </c>
      <c r="K3515" s="2" t="s">
        <v>24</v>
      </c>
      <c r="L3515" s="2">
        <v>25213</v>
      </c>
      <c r="M3515" s="2" t="s">
        <v>130</v>
      </c>
      <c r="N3515" s="2">
        <v>4</v>
      </c>
      <c r="O3515" s="2">
        <v>360966.28</v>
      </c>
      <c r="P3515" s="2">
        <v>90241.57</v>
      </c>
    </row>
    <row r="3516" spans="1:16" outlineLevel="1" x14ac:dyDescent="0.2">
      <c r="A3516" s="5"/>
      <c r="D3516" s="3" t="s">
        <v>732</v>
      </c>
      <c r="N3516" s="2">
        <f>SUBTOTAL(9,N3515:N3515)</f>
        <v>4</v>
      </c>
      <c r="O3516" s="2">
        <f>SUBTOTAL(9,O3515:O3515)</f>
        <v>360966.28</v>
      </c>
      <c r="P3516" s="2">
        <f>+O3516/N3516</f>
        <v>90241.57</v>
      </c>
    </row>
    <row r="3517" spans="1:16" outlineLevel="2" x14ac:dyDescent="0.2">
      <c r="A3517" s="5">
        <v>46169</v>
      </c>
      <c r="B3517" s="2">
        <v>159640</v>
      </c>
      <c r="C3517" s="2">
        <v>1</v>
      </c>
      <c r="D3517" s="2" t="s">
        <v>404</v>
      </c>
      <c r="E3517" s="2" t="s">
        <v>548</v>
      </c>
      <c r="F3517" s="2" t="s">
        <v>47</v>
      </c>
      <c r="G3517" s="2" t="s">
        <v>22</v>
      </c>
      <c r="H3517" s="2" t="s">
        <v>23</v>
      </c>
      <c r="I3517" s="2" t="s">
        <v>23</v>
      </c>
      <c r="J3517" s="2">
        <v>1</v>
      </c>
      <c r="K3517" s="2" t="s">
        <v>24</v>
      </c>
      <c r="L3517" s="2">
        <v>1795</v>
      </c>
      <c r="M3517" s="2" t="s">
        <v>506</v>
      </c>
      <c r="N3517" s="2">
        <v>31</v>
      </c>
      <c r="O3517" s="2">
        <v>1665227.34</v>
      </c>
      <c r="P3517" s="2">
        <v>53717.01</v>
      </c>
    </row>
    <row r="3518" spans="1:16" outlineLevel="1" x14ac:dyDescent="0.2">
      <c r="A3518" s="5"/>
      <c r="D3518" s="3" t="s">
        <v>769</v>
      </c>
      <c r="N3518" s="2">
        <f>SUBTOTAL(9,N3517:N3517)</f>
        <v>31</v>
      </c>
      <c r="O3518" s="2">
        <f>SUBTOTAL(9,O3517:O3517)</f>
        <v>1665227.34</v>
      </c>
      <c r="P3518" s="2">
        <f>+O3518/N3518</f>
        <v>53717.010967741939</v>
      </c>
    </row>
    <row r="3519" spans="1:16" outlineLevel="2" x14ac:dyDescent="0.2">
      <c r="A3519" s="5">
        <v>46169</v>
      </c>
      <c r="B3519" s="2">
        <v>159640</v>
      </c>
      <c r="C3519" s="2">
        <v>2</v>
      </c>
      <c r="D3519" s="2" t="s">
        <v>470</v>
      </c>
      <c r="E3519" s="2" t="s">
        <v>23</v>
      </c>
      <c r="F3519" s="2" t="s">
        <v>47</v>
      </c>
      <c r="G3519" s="2" t="s">
        <v>22</v>
      </c>
      <c r="H3519" s="2" t="s">
        <v>23</v>
      </c>
      <c r="I3519" s="2" t="s">
        <v>23</v>
      </c>
      <c r="J3519" s="2">
        <v>1</v>
      </c>
      <c r="K3519" s="2" t="s">
        <v>24</v>
      </c>
      <c r="L3519" s="2">
        <v>1795</v>
      </c>
      <c r="M3519" s="2" t="s">
        <v>506</v>
      </c>
      <c r="N3519" s="2">
        <v>1</v>
      </c>
      <c r="O3519" s="2">
        <v>46369.94</v>
      </c>
      <c r="P3519" s="2">
        <v>46369.94</v>
      </c>
    </row>
    <row r="3520" spans="1:16" outlineLevel="1" x14ac:dyDescent="0.2">
      <c r="A3520" s="5"/>
      <c r="D3520" s="3" t="s">
        <v>779</v>
      </c>
      <c r="N3520" s="2">
        <f>SUBTOTAL(9,N3519:N3519)</f>
        <v>1</v>
      </c>
      <c r="O3520" s="2">
        <f>SUBTOTAL(9,O3519:O3519)</f>
        <v>46369.94</v>
      </c>
      <c r="P3520" s="2">
        <f>+O3520/N3520</f>
        <v>46369.94</v>
      </c>
    </row>
    <row r="3521" spans="1:16" outlineLevel="2" x14ac:dyDescent="0.2">
      <c r="A3521" s="5">
        <v>46170</v>
      </c>
      <c r="B3521" s="2">
        <v>159648</v>
      </c>
      <c r="C3521" s="2">
        <v>1</v>
      </c>
      <c r="D3521" s="2" t="s">
        <v>552</v>
      </c>
      <c r="E3521" s="2" t="s">
        <v>553</v>
      </c>
      <c r="F3521" s="2" t="s">
        <v>31</v>
      </c>
      <c r="G3521" s="2" t="s">
        <v>22</v>
      </c>
      <c r="H3521" s="2" t="s">
        <v>23</v>
      </c>
      <c r="I3521" s="2" t="s">
        <v>23</v>
      </c>
      <c r="J3521" s="2">
        <v>1</v>
      </c>
      <c r="K3521" s="2" t="s">
        <v>24</v>
      </c>
      <c r="L3521" s="2">
        <v>226</v>
      </c>
      <c r="M3521" s="2" t="s">
        <v>59</v>
      </c>
      <c r="N3521" s="2">
        <v>42</v>
      </c>
      <c r="O3521" s="2">
        <v>1801921.26</v>
      </c>
      <c r="P3521" s="2">
        <v>42902.89</v>
      </c>
    </row>
    <row r="3522" spans="1:16" outlineLevel="1" x14ac:dyDescent="0.2">
      <c r="A3522" s="5"/>
      <c r="D3522" s="3" t="s">
        <v>797</v>
      </c>
      <c r="N3522" s="2">
        <f>SUBTOTAL(9,N3521:N3521)</f>
        <v>42</v>
      </c>
      <c r="O3522" s="2">
        <f>SUBTOTAL(9,O3521:O3521)</f>
        <v>1801921.26</v>
      </c>
      <c r="P3522" s="2">
        <f>+O3522/N3522</f>
        <v>42902.887142857144</v>
      </c>
    </row>
    <row r="3523" spans="1:16" outlineLevel="2" x14ac:dyDescent="0.2">
      <c r="A3523" s="5">
        <v>46170</v>
      </c>
      <c r="B3523" s="2">
        <v>159648</v>
      </c>
      <c r="C3523" s="2">
        <v>2</v>
      </c>
      <c r="D3523" s="2" t="s">
        <v>57</v>
      </c>
      <c r="E3523" s="2" t="s">
        <v>493</v>
      </c>
      <c r="F3523" s="2" t="s">
        <v>31</v>
      </c>
      <c r="G3523" s="2" t="s">
        <v>22</v>
      </c>
      <c r="H3523" s="2" t="s">
        <v>23</v>
      </c>
      <c r="I3523" s="2" t="s">
        <v>23</v>
      </c>
      <c r="J3523" s="2">
        <v>1</v>
      </c>
      <c r="K3523" s="2" t="s">
        <v>24</v>
      </c>
      <c r="L3523" s="2">
        <v>226</v>
      </c>
      <c r="M3523" s="2" t="s">
        <v>59</v>
      </c>
      <c r="N3523" s="2">
        <v>42</v>
      </c>
      <c r="O3523" s="2">
        <v>1619770.67</v>
      </c>
      <c r="P3523" s="2">
        <v>38565.97</v>
      </c>
    </row>
    <row r="3524" spans="1:16" outlineLevel="1" x14ac:dyDescent="0.2">
      <c r="A3524" s="5"/>
      <c r="D3524" s="3" t="s">
        <v>716</v>
      </c>
      <c r="N3524" s="2">
        <f>SUBTOTAL(9,N3523:N3523)</f>
        <v>42</v>
      </c>
      <c r="O3524" s="2">
        <f>SUBTOTAL(9,O3523:O3523)</f>
        <v>1619770.67</v>
      </c>
      <c r="P3524" s="2">
        <f>+O3524/N3524</f>
        <v>38565.968333333331</v>
      </c>
    </row>
    <row r="3525" spans="1:16" outlineLevel="2" x14ac:dyDescent="0.2">
      <c r="A3525" s="5">
        <v>46170</v>
      </c>
      <c r="B3525" s="2">
        <v>159648</v>
      </c>
      <c r="C3525" s="2">
        <v>3</v>
      </c>
      <c r="D3525" s="2" t="s">
        <v>60</v>
      </c>
      <c r="E3525" s="2" t="s">
        <v>346</v>
      </c>
      <c r="F3525" s="2" t="s">
        <v>31</v>
      </c>
      <c r="G3525" s="2" t="s">
        <v>22</v>
      </c>
      <c r="H3525" s="2" t="s">
        <v>23</v>
      </c>
      <c r="I3525" s="2" t="s">
        <v>23</v>
      </c>
      <c r="J3525" s="2">
        <v>78</v>
      </c>
      <c r="K3525" s="2" t="s">
        <v>212</v>
      </c>
      <c r="L3525" s="2">
        <v>226</v>
      </c>
      <c r="M3525" s="2" t="s">
        <v>59</v>
      </c>
      <c r="N3525" s="2">
        <v>91</v>
      </c>
      <c r="O3525" s="2">
        <v>1802701.85</v>
      </c>
      <c r="P3525" s="2">
        <v>19809.91</v>
      </c>
    </row>
    <row r="3526" spans="1:16" outlineLevel="1" x14ac:dyDescent="0.2">
      <c r="A3526" s="5"/>
      <c r="D3526" s="3" t="s">
        <v>728</v>
      </c>
      <c r="N3526" s="2">
        <f>SUBTOTAL(9,N3525:N3525)</f>
        <v>91</v>
      </c>
      <c r="O3526" s="2">
        <f>SUBTOTAL(9,O3525:O3525)</f>
        <v>1802701.85</v>
      </c>
      <c r="P3526" s="2">
        <f>+O3526/N3526</f>
        <v>19809.910439560441</v>
      </c>
    </row>
    <row r="3527" spans="1:16" outlineLevel="2" x14ac:dyDescent="0.2">
      <c r="A3527" s="5">
        <v>46178</v>
      </c>
      <c r="B3527" s="2">
        <v>159651</v>
      </c>
      <c r="C3527" s="2">
        <v>315</v>
      </c>
      <c r="D3527" s="2" t="s">
        <v>110</v>
      </c>
      <c r="E3527" s="2" t="s">
        <v>111</v>
      </c>
      <c r="F3527" s="2" t="s">
        <v>47</v>
      </c>
      <c r="G3527" s="2" t="s">
        <v>23</v>
      </c>
      <c r="H3527" s="2" t="s">
        <v>23</v>
      </c>
      <c r="I3527" s="2" t="s">
        <v>23</v>
      </c>
      <c r="J3527" s="2">
        <v>1</v>
      </c>
      <c r="K3527" s="2" t="s">
        <v>24</v>
      </c>
      <c r="L3527" s="2">
        <v>1974</v>
      </c>
      <c r="M3527" s="2" t="s">
        <v>95</v>
      </c>
      <c r="N3527" s="2">
        <v>25</v>
      </c>
      <c r="O3527" s="2">
        <v>185671.83</v>
      </c>
      <c r="P3527" s="2">
        <v>7426.87</v>
      </c>
    </row>
    <row r="3528" spans="1:16" outlineLevel="2" x14ac:dyDescent="0.2">
      <c r="A3528" s="5">
        <v>46204</v>
      </c>
      <c r="B3528" s="2">
        <v>159652</v>
      </c>
      <c r="C3528" s="2">
        <v>315</v>
      </c>
      <c r="D3528" s="2" t="s">
        <v>110</v>
      </c>
      <c r="E3528" s="2" t="s">
        <v>111</v>
      </c>
      <c r="F3528" s="2" t="s">
        <v>23</v>
      </c>
      <c r="G3528" s="2" t="s">
        <v>22</v>
      </c>
      <c r="H3528" s="2" t="s">
        <v>23</v>
      </c>
      <c r="I3528" s="2" t="s">
        <v>23</v>
      </c>
      <c r="J3528" s="2">
        <v>2</v>
      </c>
      <c r="K3528" s="2" t="s">
        <v>48</v>
      </c>
      <c r="L3528" s="2">
        <v>1974</v>
      </c>
      <c r="M3528" s="2" t="s">
        <v>95</v>
      </c>
      <c r="N3528" s="2">
        <v>5</v>
      </c>
      <c r="O3528" s="2">
        <v>26493.15</v>
      </c>
      <c r="P3528" s="2">
        <v>5298.63</v>
      </c>
    </row>
    <row r="3529" spans="1:16" outlineLevel="1" x14ac:dyDescent="0.2">
      <c r="A3529" s="5"/>
      <c r="D3529" s="3" t="s">
        <v>697</v>
      </c>
      <c r="N3529" s="2">
        <f>SUBTOTAL(9,N3527:N3528)</f>
        <v>30</v>
      </c>
      <c r="O3529" s="2">
        <f>SUBTOTAL(9,O3527:O3528)</f>
        <v>212164.97999999998</v>
      </c>
      <c r="P3529" s="2">
        <f>+O3529/N3529</f>
        <v>7072.1659999999993</v>
      </c>
    </row>
    <row r="3530" spans="1:16" outlineLevel="2" x14ac:dyDescent="0.2">
      <c r="A3530" s="5">
        <v>46168</v>
      </c>
      <c r="B3530" s="2">
        <v>159656</v>
      </c>
      <c r="C3530" s="2">
        <v>5</v>
      </c>
      <c r="D3530" s="2" t="s">
        <v>45</v>
      </c>
      <c r="E3530" s="2" t="s">
        <v>125</v>
      </c>
      <c r="F3530" s="2" t="s">
        <v>289</v>
      </c>
      <c r="G3530" s="2" t="s">
        <v>22</v>
      </c>
      <c r="H3530" s="2" t="s">
        <v>23</v>
      </c>
      <c r="I3530" s="2" t="s">
        <v>23</v>
      </c>
      <c r="J3530" s="2">
        <v>2</v>
      </c>
      <c r="K3530" s="2" t="s">
        <v>48</v>
      </c>
      <c r="L3530" s="2">
        <v>106</v>
      </c>
      <c r="M3530" s="2" t="s">
        <v>486</v>
      </c>
      <c r="N3530" s="2">
        <v>56</v>
      </c>
      <c r="O3530" s="2">
        <v>1880769.34</v>
      </c>
      <c r="P3530" s="2">
        <v>33585.17</v>
      </c>
    </row>
    <row r="3531" spans="1:16" outlineLevel="2" x14ac:dyDescent="0.2">
      <c r="A3531" s="5">
        <v>46168</v>
      </c>
      <c r="B3531" s="2">
        <v>159656</v>
      </c>
      <c r="C3531" s="2">
        <v>6</v>
      </c>
      <c r="D3531" s="2" t="s">
        <v>45</v>
      </c>
      <c r="E3531" s="2" t="s">
        <v>125</v>
      </c>
      <c r="F3531" s="2" t="s">
        <v>289</v>
      </c>
      <c r="G3531" s="2" t="s">
        <v>22</v>
      </c>
      <c r="H3531" s="2" t="s">
        <v>23</v>
      </c>
      <c r="I3531" s="2" t="s">
        <v>23</v>
      </c>
      <c r="J3531" s="2">
        <v>2</v>
      </c>
      <c r="K3531" s="2" t="s">
        <v>48</v>
      </c>
      <c r="L3531" s="2">
        <v>106</v>
      </c>
      <c r="M3531" s="2" t="s">
        <v>486</v>
      </c>
      <c r="N3531" s="2">
        <v>56</v>
      </c>
      <c r="O3531" s="2">
        <v>1842139.13</v>
      </c>
      <c r="P3531" s="2">
        <v>32895.339999999997</v>
      </c>
    </row>
    <row r="3532" spans="1:16" outlineLevel="2" x14ac:dyDescent="0.2">
      <c r="A3532" s="5">
        <v>46168</v>
      </c>
      <c r="B3532" s="2">
        <v>159656</v>
      </c>
      <c r="C3532" s="2">
        <v>7</v>
      </c>
      <c r="D3532" s="2" t="s">
        <v>45</v>
      </c>
      <c r="E3532" s="2" t="s">
        <v>125</v>
      </c>
      <c r="F3532" s="2" t="s">
        <v>289</v>
      </c>
      <c r="G3532" s="2" t="s">
        <v>527</v>
      </c>
      <c r="H3532" s="2" t="s">
        <v>23</v>
      </c>
      <c r="I3532" s="2" t="s">
        <v>23</v>
      </c>
      <c r="J3532" s="2">
        <v>2</v>
      </c>
      <c r="K3532" s="2" t="s">
        <v>48</v>
      </c>
      <c r="L3532" s="2">
        <v>106</v>
      </c>
      <c r="M3532" s="2" t="s">
        <v>486</v>
      </c>
      <c r="N3532" s="2">
        <v>56</v>
      </c>
      <c r="O3532" s="2">
        <v>587956.17000000004</v>
      </c>
      <c r="P3532" s="2">
        <v>10499.22</v>
      </c>
    </row>
    <row r="3533" spans="1:16" outlineLevel="1" x14ac:dyDescent="0.2">
      <c r="A3533" s="5"/>
      <c r="D3533" s="3" t="s">
        <v>733</v>
      </c>
      <c r="N3533" s="2">
        <f>SUBTOTAL(9,N3530:N3532)</f>
        <v>168</v>
      </c>
      <c r="O3533" s="2">
        <f>SUBTOTAL(9,O3530:O3532)</f>
        <v>4310864.6399999997</v>
      </c>
      <c r="P3533" s="2">
        <f>+O3533/N3533</f>
        <v>25659.908571428568</v>
      </c>
    </row>
    <row r="3534" spans="1:16" outlineLevel="2" x14ac:dyDescent="0.2">
      <c r="A3534" s="5">
        <v>46171</v>
      </c>
      <c r="B3534" s="2">
        <v>159657</v>
      </c>
      <c r="C3534" s="2">
        <v>1</v>
      </c>
      <c r="D3534" s="2" t="s">
        <v>474</v>
      </c>
      <c r="E3534" s="2" t="s">
        <v>475</v>
      </c>
      <c r="F3534" s="2" t="s">
        <v>47</v>
      </c>
      <c r="G3534" s="2" t="s">
        <v>22</v>
      </c>
      <c r="H3534" s="2" t="s">
        <v>23</v>
      </c>
      <c r="I3534" s="2" t="s">
        <v>23</v>
      </c>
      <c r="J3534" s="2">
        <v>41</v>
      </c>
      <c r="K3534" s="2" t="s">
        <v>129</v>
      </c>
      <c r="L3534" s="2">
        <v>2338</v>
      </c>
      <c r="M3534" s="2" t="s">
        <v>417</v>
      </c>
      <c r="N3534" s="2">
        <v>256</v>
      </c>
      <c r="O3534" s="2">
        <v>378019.79</v>
      </c>
      <c r="P3534" s="2">
        <v>1476.64</v>
      </c>
    </row>
    <row r="3535" spans="1:16" outlineLevel="1" x14ac:dyDescent="0.2">
      <c r="A3535" s="5"/>
      <c r="D3535" s="3" t="s">
        <v>780</v>
      </c>
      <c r="N3535" s="2">
        <f>SUBTOTAL(9,N3534:N3534)</f>
        <v>256</v>
      </c>
      <c r="O3535" s="2">
        <f>SUBTOTAL(9,O3534:O3534)</f>
        <v>378019.79</v>
      </c>
      <c r="P3535" s="2">
        <f>+O3535/N3535</f>
        <v>1476.6398046874999</v>
      </c>
    </row>
    <row r="3536" spans="1:16" outlineLevel="2" x14ac:dyDescent="0.2">
      <c r="A3536" s="5">
        <v>46171</v>
      </c>
      <c r="B3536" s="2">
        <v>159657</v>
      </c>
      <c r="C3536" s="2">
        <v>2</v>
      </c>
      <c r="D3536" s="2" t="s">
        <v>470</v>
      </c>
      <c r="E3536" s="2" t="s">
        <v>23</v>
      </c>
      <c r="F3536" s="2" t="s">
        <v>47</v>
      </c>
      <c r="G3536" s="2" t="s">
        <v>23</v>
      </c>
      <c r="H3536" s="2" t="s">
        <v>23</v>
      </c>
      <c r="I3536" s="2" t="s">
        <v>23</v>
      </c>
      <c r="J3536" s="2">
        <v>1</v>
      </c>
      <c r="K3536" s="2" t="s">
        <v>24</v>
      </c>
      <c r="L3536" s="2">
        <v>2338</v>
      </c>
      <c r="M3536" s="2" t="s">
        <v>417</v>
      </c>
      <c r="N3536" s="2">
        <v>11</v>
      </c>
      <c r="O3536" s="2">
        <v>422298.69</v>
      </c>
      <c r="P3536" s="2">
        <v>38390.79</v>
      </c>
    </row>
    <row r="3537" spans="1:16" outlineLevel="1" x14ac:dyDescent="0.2">
      <c r="A3537" s="5"/>
      <c r="D3537" s="3" t="s">
        <v>779</v>
      </c>
      <c r="N3537" s="2">
        <f>SUBTOTAL(9,N3536:N3536)</f>
        <v>11</v>
      </c>
      <c r="O3537" s="2">
        <f>SUBTOTAL(9,O3536:O3536)</f>
        <v>422298.69</v>
      </c>
      <c r="P3537" s="2">
        <f>+O3537/N3537</f>
        <v>38390.79</v>
      </c>
    </row>
    <row r="3538" spans="1:16" outlineLevel="2" x14ac:dyDescent="0.2">
      <c r="A3538" s="5">
        <v>46171</v>
      </c>
      <c r="B3538" s="2">
        <v>159658</v>
      </c>
      <c r="C3538" s="2">
        <v>1</v>
      </c>
      <c r="D3538" s="2" t="s">
        <v>207</v>
      </c>
      <c r="E3538" s="2" t="s">
        <v>23</v>
      </c>
      <c r="F3538" s="2" t="s">
        <v>47</v>
      </c>
      <c r="G3538" s="2" t="s">
        <v>23</v>
      </c>
      <c r="H3538" s="2" t="s">
        <v>208</v>
      </c>
      <c r="I3538" s="2" t="s">
        <v>23</v>
      </c>
      <c r="J3538" s="2">
        <v>41</v>
      </c>
      <c r="K3538" s="2" t="s">
        <v>129</v>
      </c>
      <c r="L3538" s="2">
        <v>25213</v>
      </c>
      <c r="M3538" s="2" t="s">
        <v>130</v>
      </c>
      <c r="N3538" s="2">
        <v>25</v>
      </c>
      <c r="O3538" s="2">
        <v>85793.75</v>
      </c>
      <c r="P3538" s="2">
        <v>3431.75</v>
      </c>
    </row>
    <row r="3539" spans="1:16" outlineLevel="2" x14ac:dyDescent="0.2">
      <c r="A3539" s="5">
        <v>46171</v>
      </c>
      <c r="B3539" s="2">
        <v>159658</v>
      </c>
      <c r="C3539" s="2">
        <v>2</v>
      </c>
      <c r="D3539" s="2" t="s">
        <v>207</v>
      </c>
      <c r="E3539" s="2" t="s">
        <v>23</v>
      </c>
      <c r="F3539" s="2" t="s">
        <v>47</v>
      </c>
      <c r="G3539" s="2" t="s">
        <v>22</v>
      </c>
      <c r="H3539" s="2" t="s">
        <v>209</v>
      </c>
      <c r="I3539" s="2" t="s">
        <v>23</v>
      </c>
      <c r="J3539" s="2">
        <v>41</v>
      </c>
      <c r="K3539" s="2" t="s">
        <v>129</v>
      </c>
      <c r="L3539" s="2">
        <v>25213</v>
      </c>
      <c r="M3539" s="2" t="s">
        <v>130</v>
      </c>
      <c r="N3539" s="2">
        <v>25</v>
      </c>
      <c r="O3539" s="2">
        <v>74126</v>
      </c>
      <c r="P3539" s="2">
        <v>2965.04</v>
      </c>
    </row>
    <row r="3540" spans="1:16" outlineLevel="1" x14ac:dyDescent="0.2">
      <c r="A3540" s="5"/>
      <c r="D3540" s="3" t="s">
        <v>699</v>
      </c>
      <c r="N3540" s="2">
        <f>SUBTOTAL(9,N3538:N3539)</f>
        <v>50</v>
      </c>
      <c r="O3540" s="2">
        <f>SUBTOTAL(9,O3538:O3539)</f>
        <v>159919.75</v>
      </c>
      <c r="P3540" s="2">
        <f>+O3540/N3540</f>
        <v>3198.395</v>
      </c>
    </row>
    <row r="3541" spans="1:16" outlineLevel="2" x14ac:dyDescent="0.2">
      <c r="A3541" s="5">
        <v>46171</v>
      </c>
      <c r="B3541" s="2">
        <v>159658</v>
      </c>
      <c r="C3541" s="2">
        <v>3</v>
      </c>
      <c r="D3541" s="2" t="s">
        <v>128</v>
      </c>
      <c r="E3541" s="2" t="s">
        <v>23</v>
      </c>
      <c r="F3541" s="2" t="s">
        <v>47</v>
      </c>
      <c r="G3541" s="2" t="s">
        <v>22</v>
      </c>
      <c r="H3541" s="2" t="s">
        <v>23</v>
      </c>
      <c r="I3541" s="2" t="s">
        <v>23</v>
      </c>
      <c r="J3541" s="2">
        <v>41</v>
      </c>
      <c r="K3541" s="2" t="s">
        <v>129</v>
      </c>
      <c r="L3541" s="2">
        <v>25213</v>
      </c>
      <c r="M3541" s="2" t="s">
        <v>130</v>
      </c>
      <c r="N3541" s="2">
        <v>25</v>
      </c>
      <c r="O3541" s="2">
        <v>95128.25</v>
      </c>
      <c r="P3541" s="2">
        <v>3805.13</v>
      </c>
    </row>
    <row r="3542" spans="1:16" outlineLevel="1" x14ac:dyDescent="0.2">
      <c r="A3542" s="5"/>
      <c r="D3542" s="3" t="s">
        <v>732</v>
      </c>
      <c r="N3542" s="2">
        <f>SUBTOTAL(9,N3541:N3541)</f>
        <v>25</v>
      </c>
      <c r="O3542" s="2">
        <f>SUBTOTAL(9,O3541:O3541)</f>
        <v>95128.25</v>
      </c>
      <c r="P3542" s="2">
        <f>+O3542/N3542</f>
        <v>3805.13</v>
      </c>
    </row>
    <row r="3543" spans="1:16" outlineLevel="2" x14ac:dyDescent="0.2">
      <c r="A3543" s="5">
        <v>46171</v>
      </c>
      <c r="B3543" s="2">
        <v>159658</v>
      </c>
      <c r="C3543" s="2">
        <v>4</v>
      </c>
      <c r="D3543" s="2" t="s">
        <v>207</v>
      </c>
      <c r="E3543" s="2" t="s">
        <v>23</v>
      </c>
      <c r="F3543" s="2" t="s">
        <v>47</v>
      </c>
      <c r="G3543" s="2" t="s">
        <v>22</v>
      </c>
      <c r="H3543" s="2" t="s">
        <v>23</v>
      </c>
      <c r="I3543" s="2" t="s">
        <v>23</v>
      </c>
      <c r="J3543" s="2">
        <v>1</v>
      </c>
      <c r="K3543" s="2" t="s">
        <v>24</v>
      </c>
      <c r="L3543" s="2">
        <v>25213</v>
      </c>
      <c r="M3543" s="2" t="s">
        <v>130</v>
      </c>
      <c r="N3543" s="2">
        <v>2</v>
      </c>
      <c r="O3543" s="2">
        <v>163681.24</v>
      </c>
      <c r="P3543" s="2">
        <v>81840.62</v>
      </c>
    </row>
    <row r="3544" spans="1:16" outlineLevel="2" x14ac:dyDescent="0.2">
      <c r="A3544" s="5">
        <v>46171</v>
      </c>
      <c r="B3544" s="2">
        <v>159658</v>
      </c>
      <c r="C3544" s="2">
        <v>5</v>
      </c>
      <c r="D3544" s="2" t="s">
        <v>207</v>
      </c>
      <c r="E3544" s="2" t="s">
        <v>527</v>
      </c>
      <c r="F3544" s="2" t="s">
        <v>47</v>
      </c>
      <c r="G3544" s="2" t="s">
        <v>210</v>
      </c>
      <c r="H3544" s="2" t="s">
        <v>23</v>
      </c>
      <c r="I3544" s="2" t="s">
        <v>23</v>
      </c>
      <c r="J3544" s="2">
        <v>1</v>
      </c>
      <c r="K3544" s="2" t="s">
        <v>24</v>
      </c>
      <c r="L3544" s="2">
        <v>25213</v>
      </c>
      <c r="M3544" s="2" t="s">
        <v>130</v>
      </c>
      <c r="N3544" s="2">
        <v>2</v>
      </c>
      <c r="O3544" s="2">
        <v>120743.06</v>
      </c>
      <c r="P3544" s="2">
        <v>60371.53</v>
      </c>
    </row>
    <row r="3545" spans="1:16" outlineLevel="1" x14ac:dyDescent="0.2">
      <c r="A3545" s="5"/>
      <c r="D3545" s="3" t="s">
        <v>699</v>
      </c>
      <c r="N3545" s="2">
        <f>SUBTOTAL(9,N3543:N3544)</f>
        <v>4</v>
      </c>
      <c r="O3545" s="2">
        <f>SUBTOTAL(9,O3543:O3544)</f>
        <v>284424.3</v>
      </c>
      <c r="P3545" s="2">
        <f>+O3545/N3545</f>
        <v>71106.074999999997</v>
      </c>
    </row>
    <row r="3546" spans="1:16" outlineLevel="2" x14ac:dyDescent="0.2">
      <c r="A3546" s="5">
        <v>46171</v>
      </c>
      <c r="B3546" s="2">
        <v>159658</v>
      </c>
      <c r="C3546" s="2">
        <v>6</v>
      </c>
      <c r="D3546" s="2" t="s">
        <v>128</v>
      </c>
      <c r="E3546" s="2" t="s">
        <v>23</v>
      </c>
      <c r="F3546" s="2" t="s">
        <v>47</v>
      </c>
      <c r="G3546" s="2" t="s">
        <v>22</v>
      </c>
      <c r="H3546" s="2" t="s">
        <v>23</v>
      </c>
      <c r="I3546" s="2" t="s">
        <v>23</v>
      </c>
      <c r="J3546" s="2">
        <v>1</v>
      </c>
      <c r="K3546" s="2" t="s">
        <v>24</v>
      </c>
      <c r="L3546" s="2">
        <v>25213</v>
      </c>
      <c r="M3546" s="2" t="s">
        <v>130</v>
      </c>
      <c r="N3546" s="2">
        <v>4</v>
      </c>
      <c r="O3546" s="2">
        <v>360334.84</v>
      </c>
      <c r="P3546" s="2">
        <v>90083.71</v>
      </c>
    </row>
    <row r="3547" spans="1:16" outlineLevel="1" x14ac:dyDescent="0.2">
      <c r="A3547" s="5"/>
      <c r="D3547" s="3" t="s">
        <v>732</v>
      </c>
      <c r="N3547" s="2">
        <f>SUBTOTAL(9,N3546:N3546)</f>
        <v>4</v>
      </c>
      <c r="O3547" s="2">
        <f>SUBTOTAL(9,O3546:O3546)</f>
        <v>360334.84</v>
      </c>
      <c r="P3547" s="2">
        <f>+O3547/N3547</f>
        <v>90083.71</v>
      </c>
    </row>
    <row r="3548" spans="1:16" outlineLevel="2" x14ac:dyDescent="0.2">
      <c r="A3548" s="5">
        <v>46171</v>
      </c>
      <c r="B3548" s="2">
        <v>159659</v>
      </c>
      <c r="C3548" s="2">
        <v>1</v>
      </c>
      <c r="D3548" s="2" t="s">
        <v>404</v>
      </c>
      <c r="E3548" s="2" t="s">
        <v>23</v>
      </c>
      <c r="F3548" s="2" t="s">
        <v>405</v>
      </c>
      <c r="G3548" s="2" t="s">
        <v>22</v>
      </c>
      <c r="H3548" s="2" t="s">
        <v>23</v>
      </c>
      <c r="I3548" s="2" t="s">
        <v>23</v>
      </c>
      <c r="J3548" s="2">
        <v>1</v>
      </c>
      <c r="K3548" s="2" t="s">
        <v>24</v>
      </c>
      <c r="L3548" s="2">
        <v>1795</v>
      </c>
      <c r="M3548" s="2" t="s">
        <v>506</v>
      </c>
      <c r="N3548" s="2">
        <v>20</v>
      </c>
      <c r="O3548" s="2">
        <v>1114086.6000000001</v>
      </c>
      <c r="P3548" s="2">
        <v>55704.33</v>
      </c>
    </row>
    <row r="3549" spans="1:16" outlineLevel="1" x14ac:dyDescent="0.2">
      <c r="A3549" s="5"/>
      <c r="D3549" s="3" t="s">
        <v>769</v>
      </c>
      <c r="N3549" s="2">
        <f>SUBTOTAL(9,N3548:N3548)</f>
        <v>20</v>
      </c>
      <c r="O3549" s="2">
        <f>SUBTOTAL(9,O3548:O3548)</f>
        <v>1114086.6000000001</v>
      </c>
      <c r="P3549" s="2">
        <f>+O3549/N3549</f>
        <v>55704.33</v>
      </c>
    </row>
    <row r="3550" spans="1:16" outlineLevel="2" x14ac:dyDescent="0.2">
      <c r="A3550" s="5">
        <v>46171</v>
      </c>
      <c r="B3550" s="2">
        <v>159660</v>
      </c>
      <c r="C3550" s="2">
        <v>1</v>
      </c>
      <c r="D3550" s="2" t="s">
        <v>38</v>
      </c>
      <c r="E3550" s="2" t="s">
        <v>39</v>
      </c>
      <c r="F3550" s="2" t="s">
        <v>144</v>
      </c>
      <c r="G3550" s="2" t="s">
        <v>22</v>
      </c>
      <c r="H3550" s="2" t="s">
        <v>23</v>
      </c>
      <c r="I3550" s="2" t="s">
        <v>23</v>
      </c>
      <c r="J3550" s="2">
        <v>1</v>
      </c>
      <c r="K3550" s="2" t="s">
        <v>24</v>
      </c>
      <c r="L3550" s="2">
        <v>25101</v>
      </c>
      <c r="M3550" s="2" t="s">
        <v>473</v>
      </c>
      <c r="N3550" s="2">
        <v>160</v>
      </c>
      <c r="O3550" s="2">
        <v>5380560.6399999997</v>
      </c>
      <c r="P3550" s="2">
        <v>33628.5</v>
      </c>
    </row>
    <row r="3551" spans="1:16" outlineLevel="1" x14ac:dyDescent="0.2">
      <c r="A3551" s="5"/>
      <c r="D3551" s="3" t="s">
        <v>721</v>
      </c>
      <c r="N3551" s="2">
        <f>SUBTOTAL(9,N3550:N3550)</f>
        <v>160</v>
      </c>
      <c r="O3551" s="2">
        <f>SUBTOTAL(9,O3550:O3550)</f>
        <v>5380560.6399999997</v>
      </c>
      <c r="P3551" s="2">
        <f>+O3551/N3551</f>
        <v>33628.504000000001</v>
      </c>
    </row>
    <row r="3552" spans="1:16" outlineLevel="2" x14ac:dyDescent="0.2">
      <c r="A3552" s="5">
        <v>46171</v>
      </c>
      <c r="B3552" s="2">
        <v>159664</v>
      </c>
      <c r="C3552" s="2">
        <v>1</v>
      </c>
      <c r="D3552" s="2" t="s">
        <v>143</v>
      </c>
      <c r="E3552" s="2" t="s">
        <v>23</v>
      </c>
      <c r="F3552" s="2" t="s">
        <v>144</v>
      </c>
      <c r="G3552" s="2" t="s">
        <v>22</v>
      </c>
      <c r="H3552" s="2" t="s">
        <v>23</v>
      </c>
      <c r="I3552" s="2" t="s">
        <v>23</v>
      </c>
      <c r="J3552" s="2">
        <v>1</v>
      </c>
      <c r="K3552" s="2" t="s">
        <v>24</v>
      </c>
      <c r="L3552" s="2">
        <v>2101</v>
      </c>
      <c r="M3552" s="2" t="s">
        <v>145</v>
      </c>
      <c r="N3552" s="2">
        <v>170</v>
      </c>
      <c r="O3552" s="2">
        <v>2385868.4500000002</v>
      </c>
      <c r="P3552" s="2">
        <v>14034.52</v>
      </c>
    </row>
    <row r="3553" spans="1:16" outlineLevel="1" x14ac:dyDescent="0.2">
      <c r="A3553" s="5"/>
      <c r="D3553" s="3" t="s">
        <v>706</v>
      </c>
      <c r="N3553" s="2">
        <f>SUBTOTAL(9,N3552:N3552)</f>
        <v>170</v>
      </c>
      <c r="O3553" s="2">
        <f>SUBTOTAL(9,O3552:O3552)</f>
        <v>2385868.4500000002</v>
      </c>
      <c r="P3553" s="2">
        <f>+O3553/N3553</f>
        <v>14034.520294117649</v>
      </c>
    </row>
    <row r="3554" spans="1:16" outlineLevel="2" x14ac:dyDescent="0.2">
      <c r="A3554" s="5">
        <v>46171</v>
      </c>
      <c r="B3554" s="2">
        <v>159664</v>
      </c>
      <c r="C3554" s="2">
        <v>390</v>
      </c>
      <c r="D3554" s="2" t="s">
        <v>54</v>
      </c>
      <c r="E3554" s="2" t="s">
        <v>20</v>
      </c>
      <c r="F3554" s="2" t="s">
        <v>23</v>
      </c>
      <c r="G3554" s="2" t="s">
        <v>22</v>
      </c>
      <c r="H3554" s="2" t="s">
        <v>23</v>
      </c>
      <c r="I3554" s="2" t="s">
        <v>23</v>
      </c>
      <c r="J3554" s="2">
        <v>1</v>
      </c>
      <c r="K3554" s="2" t="s">
        <v>24</v>
      </c>
      <c r="L3554" s="2">
        <v>25010</v>
      </c>
      <c r="M3554" s="2" t="s">
        <v>554</v>
      </c>
      <c r="N3554" s="2">
        <v>4</v>
      </c>
      <c r="O3554" s="2">
        <v>24928.28</v>
      </c>
      <c r="P3554" s="2">
        <v>6232.07</v>
      </c>
    </row>
    <row r="3555" spans="1:16" outlineLevel="1" x14ac:dyDescent="0.2">
      <c r="A3555" s="5"/>
      <c r="D3555" s="3" t="s">
        <v>719</v>
      </c>
      <c r="N3555" s="2">
        <f>SUBTOTAL(9,N3554:N3554)</f>
        <v>4</v>
      </c>
      <c r="O3555" s="2">
        <f>SUBTOTAL(9,O3554:O3554)</f>
        <v>24928.28</v>
      </c>
      <c r="P3555" s="2">
        <f>+O3555/N3555</f>
        <v>6232.07</v>
      </c>
    </row>
    <row r="3556" spans="1:16" outlineLevel="2" x14ac:dyDescent="0.2">
      <c r="A3556" s="5">
        <v>46182</v>
      </c>
      <c r="B3556" s="2">
        <v>159668</v>
      </c>
      <c r="C3556" s="2">
        <v>315</v>
      </c>
      <c r="D3556" s="2" t="s">
        <v>110</v>
      </c>
      <c r="E3556" s="2" t="s">
        <v>111</v>
      </c>
      <c r="F3556" s="2" t="s">
        <v>23</v>
      </c>
      <c r="G3556" s="2" t="s">
        <v>22</v>
      </c>
      <c r="H3556" s="2" t="s">
        <v>23</v>
      </c>
      <c r="I3556" s="2" t="s">
        <v>23</v>
      </c>
      <c r="J3556" s="2">
        <v>2</v>
      </c>
      <c r="K3556" s="2" t="s">
        <v>48</v>
      </c>
      <c r="L3556" s="2">
        <v>25205</v>
      </c>
      <c r="M3556" s="2" t="s">
        <v>171</v>
      </c>
      <c r="N3556" s="2">
        <v>2</v>
      </c>
      <c r="O3556" s="2">
        <v>8730.3799999999992</v>
      </c>
      <c r="P3556" s="2">
        <v>4365.1899999999996</v>
      </c>
    </row>
    <row r="3557" spans="1:16" outlineLevel="1" x14ac:dyDescent="0.2">
      <c r="A3557" s="5"/>
      <c r="D3557" s="3" t="s">
        <v>697</v>
      </c>
      <c r="N3557" s="2">
        <f>SUBTOTAL(9,N3556:N3556)</f>
        <v>2</v>
      </c>
      <c r="O3557" s="2">
        <f>SUBTOTAL(9,O3556:O3556)</f>
        <v>8730.3799999999992</v>
      </c>
      <c r="P3557" s="2">
        <f>+O3557/N3557</f>
        <v>4365.1899999999996</v>
      </c>
    </row>
    <row r="3558" spans="1:16" outlineLevel="2" x14ac:dyDescent="0.2">
      <c r="A3558" s="5">
        <v>46190</v>
      </c>
      <c r="B3558" s="2">
        <v>159671</v>
      </c>
      <c r="C3558" s="2">
        <v>2</v>
      </c>
      <c r="D3558" s="2" t="s">
        <v>83</v>
      </c>
      <c r="E3558" s="2" t="s">
        <v>508</v>
      </c>
      <c r="F3558" s="2" t="s">
        <v>63</v>
      </c>
      <c r="G3558" s="2" t="s">
        <v>22</v>
      </c>
      <c r="H3558" s="2" t="s">
        <v>23</v>
      </c>
      <c r="I3558" s="2" t="s">
        <v>532</v>
      </c>
      <c r="J3558" s="2">
        <v>1</v>
      </c>
      <c r="K3558" s="2" t="s">
        <v>24</v>
      </c>
      <c r="L3558" s="2">
        <v>2573</v>
      </c>
      <c r="M3558" s="2" t="s">
        <v>509</v>
      </c>
      <c r="N3558" s="2">
        <v>104</v>
      </c>
      <c r="O3558" s="2">
        <v>3216217.2</v>
      </c>
      <c r="P3558" s="2">
        <v>30925.17</v>
      </c>
    </row>
    <row r="3559" spans="1:16" outlineLevel="1" x14ac:dyDescent="0.2">
      <c r="A3559" s="5"/>
      <c r="D3559" s="3" t="s">
        <v>701</v>
      </c>
      <c r="N3559" s="2">
        <f>SUBTOTAL(9,N3558:N3558)</f>
        <v>104</v>
      </c>
      <c r="O3559" s="2">
        <f>SUBTOTAL(9,O3558:O3558)</f>
        <v>3216217.2</v>
      </c>
      <c r="P3559" s="2">
        <f>+O3559/N3559</f>
        <v>30925.165384615386</v>
      </c>
    </row>
    <row r="3560" spans="1:16" outlineLevel="2" x14ac:dyDescent="0.2">
      <c r="A3560" s="5">
        <v>46171</v>
      </c>
      <c r="B3560" s="2">
        <v>159673</v>
      </c>
      <c r="C3560" s="2">
        <v>1</v>
      </c>
      <c r="D3560" s="2" t="s">
        <v>75</v>
      </c>
      <c r="E3560" s="2" t="s">
        <v>412</v>
      </c>
      <c r="F3560" s="2" t="s">
        <v>108</v>
      </c>
      <c r="G3560" s="2" t="s">
        <v>22</v>
      </c>
      <c r="H3560" s="2" t="s">
        <v>23</v>
      </c>
      <c r="I3560" s="2" t="s">
        <v>555</v>
      </c>
      <c r="J3560" s="2">
        <v>1</v>
      </c>
      <c r="K3560" s="2" t="s">
        <v>24</v>
      </c>
      <c r="L3560" s="2">
        <v>2024</v>
      </c>
      <c r="M3560" s="2" t="s">
        <v>76</v>
      </c>
      <c r="N3560" s="2">
        <v>80</v>
      </c>
      <c r="O3560" s="2">
        <v>2563579.64</v>
      </c>
      <c r="P3560" s="2">
        <v>32044.75</v>
      </c>
    </row>
    <row r="3561" spans="1:16" outlineLevel="2" x14ac:dyDescent="0.2">
      <c r="A3561" s="5">
        <v>46163</v>
      </c>
      <c r="B3561" s="2">
        <v>159673</v>
      </c>
      <c r="C3561" s="2">
        <v>2</v>
      </c>
      <c r="D3561" s="2" t="s">
        <v>75</v>
      </c>
      <c r="E3561" s="2" t="s">
        <v>23</v>
      </c>
      <c r="F3561" s="2" t="s">
        <v>108</v>
      </c>
      <c r="G3561" s="2" t="s">
        <v>22</v>
      </c>
      <c r="H3561" s="2" t="s">
        <v>23</v>
      </c>
      <c r="I3561" s="2" t="s">
        <v>109</v>
      </c>
      <c r="J3561" s="2">
        <v>1</v>
      </c>
      <c r="K3561" s="2" t="s">
        <v>24</v>
      </c>
      <c r="L3561" s="2">
        <v>2024</v>
      </c>
      <c r="M3561" s="2" t="s">
        <v>76</v>
      </c>
      <c r="N3561" s="2">
        <v>671</v>
      </c>
      <c r="O3561" s="2">
        <v>21547748.100000001</v>
      </c>
      <c r="P3561" s="2">
        <v>32112.89</v>
      </c>
    </row>
    <row r="3562" spans="1:16" outlineLevel="2" x14ac:dyDescent="0.2">
      <c r="A3562" s="5">
        <v>46164</v>
      </c>
      <c r="B3562" s="2">
        <v>159673</v>
      </c>
      <c r="C3562" s="2">
        <v>3</v>
      </c>
      <c r="D3562" s="2" t="s">
        <v>75</v>
      </c>
      <c r="E3562" s="2" t="s">
        <v>23</v>
      </c>
      <c r="F3562" s="2" t="s">
        <v>108</v>
      </c>
      <c r="G3562" s="2" t="s">
        <v>22</v>
      </c>
      <c r="H3562" s="2" t="s">
        <v>23</v>
      </c>
      <c r="I3562" s="2" t="s">
        <v>101</v>
      </c>
      <c r="J3562" s="2">
        <v>1</v>
      </c>
      <c r="K3562" s="2" t="s">
        <v>24</v>
      </c>
      <c r="L3562" s="2">
        <v>2024</v>
      </c>
      <c r="M3562" s="2" t="s">
        <v>76</v>
      </c>
      <c r="N3562" s="2">
        <v>108</v>
      </c>
      <c r="O3562" s="2">
        <v>3214871.91</v>
      </c>
      <c r="P3562" s="2">
        <v>29767.33</v>
      </c>
    </row>
    <row r="3563" spans="1:16" outlineLevel="1" x14ac:dyDescent="0.2">
      <c r="A3563" s="5"/>
      <c r="D3563" s="3" t="s">
        <v>729</v>
      </c>
      <c r="N3563" s="2">
        <f>SUBTOTAL(9,N3560:N3562)</f>
        <v>859</v>
      </c>
      <c r="O3563" s="2">
        <f>SUBTOTAL(9,O3560:O3562)</f>
        <v>27326199.650000002</v>
      </c>
      <c r="P3563" s="2">
        <f>+O3563/N3563</f>
        <v>31811.641036088477</v>
      </c>
    </row>
    <row r="3564" spans="1:16" outlineLevel="2" x14ac:dyDescent="0.2">
      <c r="A3564" s="5">
        <v>46220</v>
      </c>
      <c r="B3564" s="2">
        <v>159674</v>
      </c>
      <c r="C3564" s="2">
        <v>1</v>
      </c>
      <c r="D3564" s="2" t="s">
        <v>38</v>
      </c>
      <c r="E3564" s="2" t="s">
        <v>39</v>
      </c>
      <c r="F3564" s="2" t="s">
        <v>21</v>
      </c>
      <c r="G3564" s="2" t="s">
        <v>556</v>
      </c>
      <c r="H3564" s="2" t="s">
        <v>23</v>
      </c>
      <c r="I3564" s="2" t="s">
        <v>135</v>
      </c>
      <c r="J3564" s="2">
        <v>1</v>
      </c>
      <c r="K3564" s="2" t="s">
        <v>24</v>
      </c>
      <c r="L3564" s="2">
        <v>25186</v>
      </c>
      <c r="M3564" s="2" t="s">
        <v>418</v>
      </c>
      <c r="N3564" s="2">
        <v>1</v>
      </c>
      <c r="O3564" s="2">
        <v>41702.75</v>
      </c>
      <c r="P3564" s="2">
        <v>41702.75</v>
      </c>
    </row>
    <row r="3565" spans="1:16" outlineLevel="2" x14ac:dyDescent="0.2">
      <c r="A3565" s="5">
        <v>46168</v>
      </c>
      <c r="B3565" s="2">
        <v>159674</v>
      </c>
      <c r="C3565" s="2">
        <v>2</v>
      </c>
      <c r="D3565" s="2" t="s">
        <v>38</v>
      </c>
      <c r="E3565" s="2" t="s">
        <v>39</v>
      </c>
      <c r="F3565" s="2" t="s">
        <v>21</v>
      </c>
      <c r="G3565" s="2" t="s">
        <v>22</v>
      </c>
      <c r="H3565" s="2" t="s">
        <v>23</v>
      </c>
      <c r="I3565" s="2" t="s">
        <v>133</v>
      </c>
      <c r="J3565" s="2">
        <v>1</v>
      </c>
      <c r="K3565" s="2" t="s">
        <v>24</v>
      </c>
      <c r="L3565" s="2">
        <v>25186</v>
      </c>
      <c r="M3565" s="2" t="s">
        <v>418</v>
      </c>
      <c r="N3565" s="2">
        <v>579</v>
      </c>
      <c r="O3565" s="2">
        <v>15611616.029999999</v>
      </c>
      <c r="P3565" s="2">
        <v>26963.07</v>
      </c>
    </row>
    <row r="3566" spans="1:16" outlineLevel="2" x14ac:dyDescent="0.2">
      <c r="A3566" s="5">
        <v>46182</v>
      </c>
      <c r="B3566" s="2">
        <v>159674</v>
      </c>
      <c r="C3566" s="2">
        <v>301</v>
      </c>
      <c r="D3566" s="2" t="s">
        <v>38</v>
      </c>
      <c r="E3566" s="2" t="s">
        <v>39</v>
      </c>
      <c r="F3566" s="2" t="s">
        <v>40</v>
      </c>
      <c r="G3566" s="2" t="s">
        <v>22</v>
      </c>
      <c r="H3566" s="2" t="s">
        <v>23</v>
      </c>
      <c r="I3566" s="2" t="s">
        <v>23</v>
      </c>
      <c r="J3566" s="2">
        <v>22</v>
      </c>
      <c r="K3566" s="2" t="s">
        <v>557</v>
      </c>
      <c r="L3566" s="2">
        <v>2579</v>
      </c>
      <c r="M3566" s="2" t="s">
        <v>44</v>
      </c>
      <c r="N3566" s="2">
        <v>116</v>
      </c>
      <c r="O3566" s="2">
        <v>1093495.24</v>
      </c>
      <c r="P3566" s="2">
        <v>9426.68</v>
      </c>
    </row>
    <row r="3567" spans="1:16" outlineLevel="2" x14ac:dyDescent="0.2">
      <c r="A3567" s="5">
        <v>46168</v>
      </c>
      <c r="B3567" s="2">
        <v>159675</v>
      </c>
      <c r="C3567" s="2">
        <v>1</v>
      </c>
      <c r="D3567" s="2" t="s">
        <v>38</v>
      </c>
      <c r="E3567" s="2" t="s">
        <v>39</v>
      </c>
      <c r="F3567" s="2" t="s">
        <v>40</v>
      </c>
      <c r="G3567" s="2" t="s">
        <v>22</v>
      </c>
      <c r="H3567" s="2" t="s">
        <v>23</v>
      </c>
      <c r="I3567" s="2" t="s">
        <v>113</v>
      </c>
      <c r="J3567" s="2">
        <v>40</v>
      </c>
      <c r="K3567" s="2" t="s">
        <v>43</v>
      </c>
      <c r="L3567" s="2">
        <v>2579</v>
      </c>
      <c r="M3567" s="2" t="s">
        <v>44</v>
      </c>
      <c r="N3567" s="2">
        <v>192</v>
      </c>
      <c r="O3567" s="2">
        <v>5776202.1600000001</v>
      </c>
      <c r="P3567" s="2">
        <v>30084.39</v>
      </c>
    </row>
    <row r="3568" spans="1:16" outlineLevel="2" x14ac:dyDescent="0.2">
      <c r="A3568" s="5">
        <v>46168</v>
      </c>
      <c r="B3568" s="2">
        <v>159675</v>
      </c>
      <c r="C3568" s="2">
        <v>2</v>
      </c>
      <c r="D3568" s="2" t="s">
        <v>38</v>
      </c>
      <c r="E3568" s="2" t="s">
        <v>39</v>
      </c>
      <c r="F3568" s="2" t="s">
        <v>40</v>
      </c>
      <c r="G3568" s="2" t="s">
        <v>22</v>
      </c>
      <c r="H3568" s="2" t="s">
        <v>23</v>
      </c>
      <c r="I3568" s="2" t="s">
        <v>410</v>
      </c>
      <c r="J3568" s="2">
        <v>40</v>
      </c>
      <c r="K3568" s="2" t="s">
        <v>43</v>
      </c>
      <c r="L3568" s="2">
        <v>2579</v>
      </c>
      <c r="M3568" s="2" t="s">
        <v>44</v>
      </c>
      <c r="N3568" s="2">
        <v>251</v>
      </c>
      <c r="O3568" s="2">
        <v>4787660.7300000004</v>
      </c>
      <c r="P3568" s="2">
        <v>19074.349999999999</v>
      </c>
    </row>
    <row r="3569" spans="1:16" outlineLevel="2" x14ac:dyDescent="0.2">
      <c r="A3569" s="5">
        <v>46171</v>
      </c>
      <c r="B3569" s="2">
        <v>159675</v>
      </c>
      <c r="C3569" s="2">
        <v>3</v>
      </c>
      <c r="D3569" s="2" t="s">
        <v>38</v>
      </c>
      <c r="E3569" s="2" t="s">
        <v>39</v>
      </c>
      <c r="F3569" s="2" t="s">
        <v>40</v>
      </c>
      <c r="G3569" s="2" t="s">
        <v>22</v>
      </c>
      <c r="H3569" s="2" t="s">
        <v>23</v>
      </c>
      <c r="I3569" s="2" t="s">
        <v>23</v>
      </c>
      <c r="J3569" s="2">
        <v>40</v>
      </c>
      <c r="K3569" s="2" t="s">
        <v>43</v>
      </c>
      <c r="L3569" s="2">
        <v>2579</v>
      </c>
      <c r="M3569" s="2" t="s">
        <v>44</v>
      </c>
      <c r="N3569" s="2">
        <v>96</v>
      </c>
      <c r="O3569" s="2">
        <v>916468.35</v>
      </c>
      <c r="P3569" s="2">
        <v>9546.5499999999993</v>
      </c>
    </row>
    <row r="3570" spans="1:16" outlineLevel="2" x14ac:dyDescent="0.2">
      <c r="A3570" s="5">
        <v>46170</v>
      </c>
      <c r="B3570" s="2">
        <v>159675</v>
      </c>
      <c r="C3570" s="2">
        <v>4</v>
      </c>
      <c r="D3570" s="2" t="s">
        <v>38</v>
      </c>
      <c r="E3570" s="2" t="s">
        <v>39</v>
      </c>
      <c r="F3570" s="2" t="s">
        <v>40</v>
      </c>
      <c r="G3570" s="2" t="s">
        <v>41</v>
      </c>
      <c r="H3570" s="2" t="s">
        <v>23</v>
      </c>
      <c r="I3570" s="2" t="s">
        <v>124</v>
      </c>
      <c r="J3570" s="2">
        <v>40</v>
      </c>
      <c r="K3570" s="2" t="s">
        <v>43</v>
      </c>
      <c r="L3570" s="2">
        <v>2579</v>
      </c>
      <c r="M3570" s="2" t="s">
        <v>44</v>
      </c>
      <c r="N3570" s="2">
        <v>108</v>
      </c>
      <c r="O3570" s="2">
        <v>1680244.28</v>
      </c>
      <c r="P3570" s="2">
        <v>15557.82</v>
      </c>
    </row>
    <row r="3571" spans="1:16" outlineLevel="2" x14ac:dyDescent="0.2">
      <c r="A3571" s="5">
        <v>46170</v>
      </c>
      <c r="B3571" s="2">
        <v>159675</v>
      </c>
      <c r="C3571" s="2">
        <v>5</v>
      </c>
      <c r="D3571" s="2" t="s">
        <v>38</v>
      </c>
      <c r="E3571" s="2" t="s">
        <v>39</v>
      </c>
      <c r="F3571" s="2" t="s">
        <v>40</v>
      </c>
      <c r="G3571" s="2" t="s">
        <v>41</v>
      </c>
      <c r="H3571" s="2" t="s">
        <v>23</v>
      </c>
      <c r="I3571" s="2" t="s">
        <v>42</v>
      </c>
      <c r="J3571" s="2">
        <v>40</v>
      </c>
      <c r="K3571" s="2" t="s">
        <v>43</v>
      </c>
      <c r="L3571" s="2">
        <v>2579</v>
      </c>
      <c r="M3571" s="2" t="s">
        <v>44</v>
      </c>
      <c r="N3571" s="2">
        <v>192</v>
      </c>
      <c r="O3571" s="2">
        <v>3842774.85</v>
      </c>
      <c r="P3571" s="2">
        <v>20014.45</v>
      </c>
    </row>
    <row r="3572" spans="1:16" outlineLevel="1" x14ac:dyDescent="0.2">
      <c r="A3572" s="5"/>
      <c r="D3572" s="3" t="s">
        <v>721</v>
      </c>
      <c r="N3572" s="2">
        <f>SUBTOTAL(9,N3564:N3571)</f>
        <v>1535</v>
      </c>
      <c r="O3572" s="2">
        <f>SUBTOTAL(9,O3564:O3571)</f>
        <v>33750164.390000001</v>
      </c>
      <c r="P3572" s="2">
        <f>+O3572/N3572</f>
        <v>21987.077778501629</v>
      </c>
    </row>
    <row r="3573" spans="1:16" outlineLevel="2" x14ac:dyDescent="0.2">
      <c r="A3573" s="5">
        <v>46164</v>
      </c>
      <c r="B3573" s="2">
        <v>159676</v>
      </c>
      <c r="C3573" s="2">
        <v>6</v>
      </c>
      <c r="D3573" s="2" t="s">
        <v>45</v>
      </c>
      <c r="E3573" s="2" t="s">
        <v>125</v>
      </c>
      <c r="F3573" s="2" t="s">
        <v>289</v>
      </c>
      <c r="G3573" s="2" t="s">
        <v>210</v>
      </c>
      <c r="H3573" s="2" t="s">
        <v>23</v>
      </c>
      <c r="I3573" s="2" t="s">
        <v>23</v>
      </c>
      <c r="J3573" s="2">
        <v>2</v>
      </c>
      <c r="K3573" s="2" t="s">
        <v>48</v>
      </c>
      <c r="L3573" s="2">
        <v>106</v>
      </c>
      <c r="M3573" s="2" t="s">
        <v>486</v>
      </c>
      <c r="N3573" s="2">
        <v>112</v>
      </c>
      <c r="O3573" s="2">
        <v>1443754.34</v>
      </c>
      <c r="P3573" s="2">
        <v>12890.66</v>
      </c>
    </row>
    <row r="3574" spans="1:16" outlineLevel="2" x14ac:dyDescent="0.2">
      <c r="A3574" s="5">
        <v>46164</v>
      </c>
      <c r="B3574" s="2">
        <v>159678</v>
      </c>
      <c r="C3574" s="2">
        <v>8</v>
      </c>
      <c r="D3574" s="2" t="s">
        <v>45</v>
      </c>
      <c r="E3574" s="2" t="s">
        <v>558</v>
      </c>
      <c r="F3574" s="2" t="s">
        <v>289</v>
      </c>
      <c r="G3574" s="2" t="s">
        <v>22</v>
      </c>
      <c r="H3574" s="2" t="s">
        <v>23</v>
      </c>
      <c r="I3574" s="2" t="s">
        <v>23</v>
      </c>
      <c r="J3574" s="2">
        <v>2</v>
      </c>
      <c r="K3574" s="2" t="s">
        <v>48</v>
      </c>
      <c r="L3574" s="2">
        <v>801</v>
      </c>
      <c r="M3574" s="2" t="s">
        <v>56</v>
      </c>
      <c r="N3574" s="2">
        <v>21</v>
      </c>
      <c r="O3574" s="2">
        <v>273689.64</v>
      </c>
      <c r="P3574" s="2">
        <v>13032.84</v>
      </c>
    </row>
    <row r="3575" spans="1:16" outlineLevel="2" x14ac:dyDescent="0.2">
      <c r="A3575" s="5">
        <v>46164</v>
      </c>
      <c r="B3575" s="2">
        <v>159678</v>
      </c>
      <c r="C3575" s="2">
        <v>9</v>
      </c>
      <c r="D3575" s="2" t="s">
        <v>45</v>
      </c>
      <c r="E3575" s="2" t="s">
        <v>559</v>
      </c>
      <c r="F3575" s="2" t="s">
        <v>289</v>
      </c>
      <c r="G3575" s="2" t="s">
        <v>22</v>
      </c>
      <c r="H3575" s="2" t="s">
        <v>23</v>
      </c>
      <c r="I3575" s="2" t="s">
        <v>23</v>
      </c>
      <c r="J3575" s="2">
        <v>2</v>
      </c>
      <c r="K3575" s="2" t="s">
        <v>48</v>
      </c>
      <c r="L3575" s="2">
        <v>801</v>
      </c>
      <c r="M3575" s="2" t="s">
        <v>56</v>
      </c>
      <c r="N3575" s="2">
        <v>27</v>
      </c>
      <c r="O3575" s="2">
        <v>284012.25</v>
      </c>
      <c r="P3575" s="2">
        <v>10518.97</v>
      </c>
    </row>
    <row r="3576" spans="1:16" outlineLevel="1" x14ac:dyDescent="0.2">
      <c r="A3576" s="5"/>
      <c r="D3576" s="3" t="s">
        <v>733</v>
      </c>
      <c r="N3576" s="2">
        <f>SUBTOTAL(9,N3573:N3575)</f>
        <v>160</v>
      </c>
      <c r="O3576" s="2">
        <f>SUBTOTAL(9,O3573:O3575)</f>
        <v>2001456.23</v>
      </c>
      <c r="P3576" s="2">
        <f>+O3576/N3576</f>
        <v>12509.1014375</v>
      </c>
    </row>
    <row r="3577" spans="1:16" outlineLevel="2" x14ac:dyDescent="0.2">
      <c r="A3577" s="5">
        <v>46164</v>
      </c>
      <c r="B3577" s="2">
        <v>159678</v>
      </c>
      <c r="C3577" s="2">
        <v>14</v>
      </c>
      <c r="D3577" s="2" t="s">
        <v>226</v>
      </c>
      <c r="E3577" s="2" t="s">
        <v>544</v>
      </c>
      <c r="F3577" s="2" t="s">
        <v>289</v>
      </c>
      <c r="G3577" s="2" t="s">
        <v>22</v>
      </c>
      <c r="H3577" s="2" t="s">
        <v>23</v>
      </c>
      <c r="I3577" s="2" t="s">
        <v>23</v>
      </c>
      <c r="J3577" s="2">
        <v>2</v>
      </c>
      <c r="K3577" s="2" t="s">
        <v>48</v>
      </c>
      <c r="L3577" s="2">
        <v>801</v>
      </c>
      <c r="M3577" s="2" t="s">
        <v>56</v>
      </c>
      <c r="N3577" s="2">
        <v>20</v>
      </c>
      <c r="O3577" s="2">
        <v>592541.56999999995</v>
      </c>
      <c r="P3577" s="2">
        <v>29627.08</v>
      </c>
    </row>
    <row r="3578" spans="1:16" outlineLevel="1" x14ac:dyDescent="0.2">
      <c r="A3578" s="5"/>
      <c r="D3578" s="3" t="s">
        <v>736</v>
      </c>
      <c r="N3578" s="2">
        <f>SUBTOTAL(9,N3577:N3577)</f>
        <v>20</v>
      </c>
      <c r="O3578" s="2">
        <f>SUBTOTAL(9,O3577:O3577)</f>
        <v>592541.56999999995</v>
      </c>
      <c r="P3578" s="2">
        <f>+O3578/N3578</f>
        <v>29627.078499999996</v>
      </c>
    </row>
    <row r="3579" spans="1:16" outlineLevel="2" x14ac:dyDescent="0.2">
      <c r="A3579" s="5">
        <v>46168</v>
      </c>
      <c r="B3579" s="2">
        <v>159678</v>
      </c>
      <c r="C3579" s="2">
        <v>309</v>
      </c>
      <c r="D3579" s="2" t="s">
        <v>45</v>
      </c>
      <c r="E3579" s="2" t="s">
        <v>549</v>
      </c>
      <c r="F3579" s="2" t="s">
        <v>289</v>
      </c>
      <c r="G3579" s="2" t="s">
        <v>22</v>
      </c>
      <c r="H3579" s="2" t="s">
        <v>23</v>
      </c>
      <c r="I3579" s="2" t="s">
        <v>23</v>
      </c>
      <c r="J3579" s="2">
        <v>2</v>
      </c>
      <c r="K3579" s="2" t="s">
        <v>48</v>
      </c>
      <c r="L3579" s="2">
        <v>801</v>
      </c>
      <c r="M3579" s="2" t="s">
        <v>56</v>
      </c>
      <c r="N3579" s="2">
        <v>3</v>
      </c>
      <c r="O3579" s="2">
        <v>21496.53</v>
      </c>
      <c r="P3579" s="2">
        <v>7165.51</v>
      </c>
    </row>
    <row r="3580" spans="1:16" outlineLevel="1" x14ac:dyDescent="0.2">
      <c r="A3580" s="5"/>
      <c r="D3580" s="3" t="s">
        <v>733</v>
      </c>
      <c r="N3580" s="2">
        <f>SUBTOTAL(9,N3579:N3579)</f>
        <v>3</v>
      </c>
      <c r="O3580" s="2">
        <f>SUBTOTAL(9,O3579:O3579)</f>
        <v>21496.53</v>
      </c>
      <c r="P3580" s="2">
        <f>+O3580/N3580</f>
        <v>7165.5099999999993</v>
      </c>
    </row>
    <row r="3581" spans="1:16" outlineLevel="2" x14ac:dyDescent="0.2">
      <c r="A3581" s="5">
        <v>46190</v>
      </c>
      <c r="B3581" s="2">
        <v>159685</v>
      </c>
      <c r="C3581" s="2">
        <v>1</v>
      </c>
      <c r="D3581" s="2" t="s">
        <v>229</v>
      </c>
      <c r="E3581" s="2" t="s">
        <v>439</v>
      </c>
      <c r="F3581" s="2" t="s">
        <v>40</v>
      </c>
      <c r="G3581" s="2" t="s">
        <v>22</v>
      </c>
      <c r="H3581" s="2" t="s">
        <v>23</v>
      </c>
      <c r="I3581" s="2" t="s">
        <v>355</v>
      </c>
      <c r="J3581" s="2">
        <v>1</v>
      </c>
      <c r="K3581" s="2" t="s">
        <v>24</v>
      </c>
      <c r="L3581" s="2">
        <v>331</v>
      </c>
      <c r="M3581" s="2" t="s">
        <v>356</v>
      </c>
      <c r="N3581" s="2">
        <v>241</v>
      </c>
      <c r="O3581" s="2">
        <v>2196655.19</v>
      </c>
      <c r="P3581" s="2">
        <v>9114.75</v>
      </c>
    </row>
    <row r="3582" spans="1:16" outlineLevel="1" x14ac:dyDescent="0.2">
      <c r="A3582" s="5"/>
      <c r="D3582" s="3" t="s">
        <v>737</v>
      </c>
      <c r="N3582" s="2">
        <f>SUBTOTAL(9,N3581:N3581)</f>
        <v>241</v>
      </c>
      <c r="O3582" s="2">
        <f>SUBTOTAL(9,O3581:O3581)</f>
        <v>2196655.19</v>
      </c>
      <c r="P3582" s="2">
        <f>+O3582/N3582</f>
        <v>9114.7518257261399</v>
      </c>
    </row>
    <row r="3583" spans="1:16" outlineLevel="2" x14ac:dyDescent="0.2">
      <c r="A3583" s="5">
        <v>46168</v>
      </c>
      <c r="B3583" s="2">
        <v>159686</v>
      </c>
      <c r="C3583" s="2">
        <v>1</v>
      </c>
      <c r="D3583" s="2" t="s">
        <v>197</v>
      </c>
      <c r="E3583" s="2" t="s">
        <v>533</v>
      </c>
      <c r="F3583" s="2" t="s">
        <v>40</v>
      </c>
      <c r="G3583" s="2" t="s">
        <v>22</v>
      </c>
      <c r="H3583" s="2" t="s">
        <v>23</v>
      </c>
      <c r="I3583" s="2" t="s">
        <v>23</v>
      </c>
      <c r="J3583" s="2">
        <v>1</v>
      </c>
      <c r="K3583" s="2" t="s">
        <v>24</v>
      </c>
      <c r="L3583" s="2">
        <v>2541</v>
      </c>
      <c r="M3583" s="2" t="s">
        <v>534</v>
      </c>
      <c r="N3583" s="2">
        <v>743</v>
      </c>
      <c r="O3583" s="2">
        <v>50746025.649999999</v>
      </c>
      <c r="P3583" s="2">
        <v>68298.820000000007</v>
      </c>
    </row>
    <row r="3584" spans="1:16" outlineLevel="2" x14ac:dyDescent="0.2">
      <c r="A3584" s="5">
        <v>46168</v>
      </c>
      <c r="B3584" s="2">
        <v>159686</v>
      </c>
      <c r="C3584" s="2">
        <v>2</v>
      </c>
      <c r="D3584" s="2" t="s">
        <v>197</v>
      </c>
      <c r="E3584" s="2" t="s">
        <v>538</v>
      </c>
      <c r="F3584" s="2" t="s">
        <v>40</v>
      </c>
      <c r="G3584" s="2" t="s">
        <v>22</v>
      </c>
      <c r="H3584" s="2" t="s">
        <v>23</v>
      </c>
      <c r="I3584" s="2" t="s">
        <v>23</v>
      </c>
      <c r="J3584" s="2">
        <v>1</v>
      </c>
      <c r="K3584" s="2" t="s">
        <v>24</v>
      </c>
      <c r="L3584" s="2">
        <v>2541</v>
      </c>
      <c r="M3584" s="2" t="s">
        <v>534</v>
      </c>
      <c r="N3584" s="2">
        <v>394</v>
      </c>
      <c r="O3584" s="2">
        <v>25485749.02</v>
      </c>
      <c r="P3584" s="2">
        <v>64684.639999999999</v>
      </c>
    </row>
    <row r="3585" spans="1:16" outlineLevel="1" x14ac:dyDescent="0.2">
      <c r="A3585" s="5"/>
      <c r="D3585" s="3" t="s">
        <v>734</v>
      </c>
      <c r="N3585" s="2">
        <f>SUBTOTAL(9,N3583:N3584)</f>
        <v>1137</v>
      </c>
      <c r="O3585" s="2">
        <f>SUBTOTAL(9,O3583:O3584)</f>
        <v>76231774.670000002</v>
      </c>
      <c r="P3585" s="2">
        <f>+O3585/N3585</f>
        <v>67046.415716798598</v>
      </c>
    </row>
    <row r="3586" spans="1:16" outlineLevel="2" x14ac:dyDescent="0.2">
      <c r="A3586" s="5">
        <v>46170</v>
      </c>
      <c r="B3586" s="2">
        <v>159687</v>
      </c>
      <c r="C3586" s="2">
        <v>1</v>
      </c>
      <c r="D3586" s="2" t="s">
        <v>38</v>
      </c>
      <c r="E3586" s="2" t="s">
        <v>39</v>
      </c>
      <c r="F3586" s="2" t="s">
        <v>40</v>
      </c>
      <c r="G3586" s="2" t="s">
        <v>41</v>
      </c>
      <c r="H3586" s="2" t="s">
        <v>23</v>
      </c>
      <c r="I3586" s="2" t="s">
        <v>113</v>
      </c>
      <c r="J3586" s="2">
        <v>40</v>
      </c>
      <c r="K3586" s="2" t="s">
        <v>43</v>
      </c>
      <c r="L3586" s="2">
        <v>2579</v>
      </c>
      <c r="M3586" s="2" t="s">
        <v>44</v>
      </c>
      <c r="N3586" s="2">
        <v>192</v>
      </c>
      <c r="O3586" s="2">
        <v>5464213.9100000001</v>
      </c>
      <c r="P3586" s="2">
        <v>28459.45</v>
      </c>
    </row>
    <row r="3587" spans="1:16" outlineLevel="2" x14ac:dyDescent="0.2">
      <c r="A3587" s="5">
        <v>46176</v>
      </c>
      <c r="B3587" s="2">
        <v>159687</v>
      </c>
      <c r="C3587" s="2">
        <v>2</v>
      </c>
      <c r="D3587" s="2" t="s">
        <v>38</v>
      </c>
      <c r="E3587" s="2" t="s">
        <v>39</v>
      </c>
      <c r="F3587" s="2" t="s">
        <v>40</v>
      </c>
      <c r="G3587" s="2" t="s">
        <v>41</v>
      </c>
      <c r="H3587" s="2" t="s">
        <v>23</v>
      </c>
      <c r="I3587" s="2" t="s">
        <v>513</v>
      </c>
      <c r="J3587" s="2">
        <v>40</v>
      </c>
      <c r="K3587" s="2" t="s">
        <v>43</v>
      </c>
      <c r="L3587" s="2">
        <v>2579</v>
      </c>
      <c r="M3587" s="2" t="s">
        <v>44</v>
      </c>
      <c r="N3587" s="2">
        <v>96</v>
      </c>
      <c r="O3587" s="2">
        <v>1800520.86</v>
      </c>
      <c r="P3587" s="2">
        <v>18755.43</v>
      </c>
    </row>
    <row r="3588" spans="1:16" outlineLevel="2" x14ac:dyDescent="0.2">
      <c r="A3588" s="5">
        <v>46176</v>
      </c>
      <c r="B3588" s="2">
        <v>159687</v>
      </c>
      <c r="C3588" s="2">
        <v>4</v>
      </c>
      <c r="D3588" s="2" t="s">
        <v>38</v>
      </c>
      <c r="E3588" s="2" t="s">
        <v>39</v>
      </c>
      <c r="F3588" s="2" t="s">
        <v>40</v>
      </c>
      <c r="G3588" s="2" t="s">
        <v>41</v>
      </c>
      <c r="H3588" s="2" t="s">
        <v>23</v>
      </c>
      <c r="I3588" s="2" t="s">
        <v>395</v>
      </c>
      <c r="J3588" s="2">
        <v>40</v>
      </c>
      <c r="K3588" s="2" t="s">
        <v>43</v>
      </c>
      <c r="L3588" s="2">
        <v>2579</v>
      </c>
      <c r="M3588" s="2" t="s">
        <v>44</v>
      </c>
      <c r="N3588" s="2">
        <v>96</v>
      </c>
      <c r="O3588" s="2">
        <v>1500914.03</v>
      </c>
      <c r="P3588" s="2">
        <v>15634.52</v>
      </c>
    </row>
    <row r="3589" spans="1:16" outlineLevel="1" x14ac:dyDescent="0.2">
      <c r="A3589" s="5"/>
      <c r="D3589" s="3" t="s">
        <v>721</v>
      </c>
      <c r="N3589" s="2">
        <f>SUBTOTAL(9,N3586:N3588)</f>
        <v>384</v>
      </c>
      <c r="O3589" s="2">
        <f>SUBTOTAL(9,O3586:O3588)</f>
        <v>8765648.8000000007</v>
      </c>
      <c r="P3589" s="2">
        <f>+O3589/N3589</f>
        <v>22827.210416666669</v>
      </c>
    </row>
    <row r="3590" spans="1:16" outlineLevel="2" x14ac:dyDescent="0.2">
      <c r="A3590" s="5">
        <v>46181</v>
      </c>
      <c r="B3590" s="2">
        <v>159687</v>
      </c>
      <c r="C3590" s="2">
        <v>301</v>
      </c>
      <c r="D3590" s="2" t="s">
        <v>560</v>
      </c>
      <c r="E3590" s="2" t="s">
        <v>39</v>
      </c>
      <c r="F3590" s="2" t="s">
        <v>40</v>
      </c>
      <c r="G3590" s="2" t="s">
        <v>22</v>
      </c>
      <c r="H3590" s="2" t="s">
        <v>23</v>
      </c>
      <c r="I3590" s="2" t="s">
        <v>23</v>
      </c>
      <c r="J3590" s="2">
        <v>41</v>
      </c>
      <c r="K3590" s="2" t="s">
        <v>129</v>
      </c>
      <c r="L3590" s="2">
        <v>2579</v>
      </c>
      <c r="M3590" s="2" t="s">
        <v>44</v>
      </c>
      <c r="N3590" s="2">
        <v>70</v>
      </c>
      <c r="O3590" s="2">
        <v>661203.88</v>
      </c>
      <c r="P3590" s="2">
        <v>9445.77</v>
      </c>
    </row>
    <row r="3591" spans="1:16" outlineLevel="1" x14ac:dyDescent="0.2">
      <c r="A3591" s="5"/>
      <c r="D3591" s="3" t="s">
        <v>798</v>
      </c>
      <c r="N3591" s="2">
        <f>SUBTOTAL(9,N3590:N3590)</f>
        <v>70</v>
      </c>
      <c r="O3591" s="2">
        <f>SUBTOTAL(9,O3590:O3590)</f>
        <v>661203.88</v>
      </c>
      <c r="P3591" s="2">
        <f>+O3591/N3591</f>
        <v>9445.7697142857141</v>
      </c>
    </row>
    <row r="3592" spans="1:16" outlineLevel="2" x14ac:dyDescent="0.2">
      <c r="A3592" s="5">
        <v>46174</v>
      </c>
      <c r="B3592" s="2">
        <v>159688</v>
      </c>
      <c r="C3592" s="2">
        <v>1</v>
      </c>
      <c r="D3592" s="2" t="s">
        <v>38</v>
      </c>
      <c r="E3592" s="2" t="s">
        <v>39</v>
      </c>
      <c r="F3592" s="2" t="s">
        <v>40</v>
      </c>
      <c r="G3592" s="2" t="s">
        <v>41</v>
      </c>
      <c r="H3592" s="2" t="s">
        <v>23</v>
      </c>
      <c r="I3592" s="2" t="s">
        <v>561</v>
      </c>
      <c r="J3592" s="2">
        <v>40</v>
      </c>
      <c r="K3592" s="2" t="s">
        <v>43</v>
      </c>
      <c r="L3592" s="2">
        <v>2579</v>
      </c>
      <c r="M3592" s="2" t="s">
        <v>44</v>
      </c>
      <c r="N3592" s="2">
        <v>209</v>
      </c>
      <c r="O3592" s="2">
        <v>3984492.68</v>
      </c>
      <c r="P3592" s="2">
        <v>19064.560000000001</v>
      </c>
    </row>
    <row r="3593" spans="1:16" outlineLevel="2" x14ac:dyDescent="0.2">
      <c r="A3593" s="5">
        <v>46180</v>
      </c>
      <c r="B3593" s="2">
        <v>159688</v>
      </c>
      <c r="C3593" s="2">
        <v>2</v>
      </c>
      <c r="D3593" s="2" t="s">
        <v>38</v>
      </c>
      <c r="E3593" s="2" t="s">
        <v>39</v>
      </c>
      <c r="F3593" s="2" t="s">
        <v>40</v>
      </c>
      <c r="G3593" s="2" t="s">
        <v>22</v>
      </c>
      <c r="H3593" s="2" t="s">
        <v>23</v>
      </c>
      <c r="I3593" s="2" t="s">
        <v>513</v>
      </c>
      <c r="J3593" s="2">
        <v>40</v>
      </c>
      <c r="K3593" s="2" t="s">
        <v>43</v>
      </c>
      <c r="L3593" s="2">
        <v>2579</v>
      </c>
      <c r="M3593" s="2" t="s">
        <v>44</v>
      </c>
      <c r="N3593" s="2">
        <v>18</v>
      </c>
      <c r="O3593" s="2">
        <v>358049.91</v>
      </c>
      <c r="P3593" s="2">
        <v>19891.66</v>
      </c>
    </row>
    <row r="3594" spans="1:16" outlineLevel="2" x14ac:dyDescent="0.2">
      <c r="A3594" s="5">
        <v>46176</v>
      </c>
      <c r="B3594" s="2">
        <v>159688</v>
      </c>
      <c r="C3594" s="2">
        <v>4</v>
      </c>
      <c r="D3594" s="2" t="s">
        <v>38</v>
      </c>
      <c r="E3594" s="2" t="s">
        <v>39</v>
      </c>
      <c r="F3594" s="2" t="s">
        <v>40</v>
      </c>
      <c r="G3594" s="2" t="s">
        <v>41</v>
      </c>
      <c r="H3594" s="2" t="s">
        <v>23</v>
      </c>
      <c r="I3594" s="2" t="s">
        <v>395</v>
      </c>
      <c r="J3594" s="2">
        <v>40</v>
      </c>
      <c r="K3594" s="2" t="s">
        <v>43</v>
      </c>
      <c r="L3594" s="2">
        <v>2579</v>
      </c>
      <c r="M3594" s="2" t="s">
        <v>44</v>
      </c>
      <c r="N3594" s="2">
        <v>96</v>
      </c>
      <c r="O3594" s="2">
        <v>1322627.24</v>
      </c>
      <c r="P3594" s="2">
        <v>13777.37</v>
      </c>
    </row>
    <row r="3595" spans="1:16" outlineLevel="2" x14ac:dyDescent="0.2">
      <c r="A3595" s="5">
        <v>46188</v>
      </c>
      <c r="B3595" s="2">
        <v>159688</v>
      </c>
      <c r="C3595" s="2">
        <v>5</v>
      </c>
      <c r="D3595" s="2" t="s">
        <v>38</v>
      </c>
      <c r="E3595" s="2" t="s">
        <v>562</v>
      </c>
      <c r="F3595" s="2" t="s">
        <v>40</v>
      </c>
      <c r="G3595" s="2" t="s">
        <v>22</v>
      </c>
      <c r="H3595" s="2" t="s">
        <v>23</v>
      </c>
      <c r="I3595" s="2" t="s">
        <v>23</v>
      </c>
      <c r="J3595" s="2">
        <v>40</v>
      </c>
      <c r="K3595" s="2" t="s">
        <v>43</v>
      </c>
      <c r="L3595" s="2">
        <v>2579</v>
      </c>
      <c r="M3595" s="2" t="s">
        <v>44</v>
      </c>
      <c r="N3595" s="2">
        <v>281</v>
      </c>
      <c r="O3595" s="2">
        <v>3270010.03</v>
      </c>
      <c r="P3595" s="2">
        <v>11637.05</v>
      </c>
    </row>
    <row r="3596" spans="1:16" outlineLevel="1" x14ac:dyDescent="0.2">
      <c r="A3596" s="5"/>
      <c r="D3596" s="3" t="s">
        <v>721</v>
      </c>
      <c r="N3596" s="2">
        <f>SUBTOTAL(9,N3592:N3595)</f>
        <v>604</v>
      </c>
      <c r="O3596" s="2">
        <f>SUBTOTAL(9,O3592:O3595)</f>
        <v>8935179.8599999994</v>
      </c>
      <c r="P3596" s="2">
        <f>+O3596/N3596</f>
        <v>14793.344139072846</v>
      </c>
    </row>
    <row r="3597" spans="1:16" outlineLevel="2" x14ac:dyDescent="0.2">
      <c r="A3597" s="5">
        <v>46180</v>
      </c>
      <c r="B3597" s="2">
        <v>159688</v>
      </c>
      <c r="C3597" s="2">
        <v>300</v>
      </c>
      <c r="D3597" s="2" t="s">
        <v>560</v>
      </c>
      <c r="E3597" s="2" t="s">
        <v>39</v>
      </c>
      <c r="F3597" s="2" t="s">
        <v>40</v>
      </c>
      <c r="G3597" s="2" t="s">
        <v>22</v>
      </c>
      <c r="H3597" s="2" t="s">
        <v>23</v>
      </c>
      <c r="I3597" s="2" t="s">
        <v>23</v>
      </c>
      <c r="J3597" s="2">
        <v>41</v>
      </c>
      <c r="K3597" s="2" t="s">
        <v>129</v>
      </c>
      <c r="L3597" s="2">
        <v>2579</v>
      </c>
      <c r="M3597" s="2" t="s">
        <v>44</v>
      </c>
      <c r="N3597" s="2">
        <v>150</v>
      </c>
      <c r="O3597" s="2">
        <v>1074826.5</v>
      </c>
      <c r="P3597" s="2">
        <v>7165.51</v>
      </c>
    </row>
    <row r="3598" spans="1:16" outlineLevel="1" x14ac:dyDescent="0.2">
      <c r="A3598" s="5"/>
      <c r="D3598" s="3" t="s">
        <v>798</v>
      </c>
      <c r="N3598" s="2">
        <f>SUBTOTAL(9,N3597:N3597)</f>
        <v>150</v>
      </c>
      <c r="O3598" s="2">
        <f>SUBTOTAL(9,O3597:O3597)</f>
        <v>1074826.5</v>
      </c>
      <c r="P3598" s="2">
        <f>+O3598/N3598</f>
        <v>7165.51</v>
      </c>
    </row>
    <row r="3599" spans="1:16" outlineLevel="2" x14ac:dyDescent="0.2">
      <c r="A3599" s="5">
        <v>46168</v>
      </c>
      <c r="B3599" s="2">
        <v>159689</v>
      </c>
      <c r="C3599" s="2">
        <v>1</v>
      </c>
      <c r="D3599" s="2" t="s">
        <v>38</v>
      </c>
      <c r="E3599" s="2" t="s">
        <v>39</v>
      </c>
      <c r="F3599" s="2" t="s">
        <v>63</v>
      </c>
      <c r="G3599" s="2" t="s">
        <v>22</v>
      </c>
      <c r="H3599" s="2" t="s">
        <v>23</v>
      </c>
      <c r="I3599" s="2" t="s">
        <v>243</v>
      </c>
      <c r="J3599" s="2">
        <v>1</v>
      </c>
      <c r="K3599" s="2" t="s">
        <v>24</v>
      </c>
      <c r="L3599" s="2">
        <v>1846</v>
      </c>
      <c r="M3599" s="2" t="s">
        <v>134</v>
      </c>
      <c r="N3599" s="2">
        <v>595</v>
      </c>
      <c r="O3599" s="2">
        <v>57772001.920000002</v>
      </c>
      <c r="P3599" s="2">
        <v>97095.8</v>
      </c>
    </row>
    <row r="3600" spans="1:16" outlineLevel="2" x14ac:dyDescent="0.2">
      <c r="A3600" s="5">
        <v>46168</v>
      </c>
      <c r="B3600" s="2">
        <v>159689</v>
      </c>
      <c r="C3600" s="2">
        <v>2</v>
      </c>
      <c r="D3600" s="2" t="s">
        <v>38</v>
      </c>
      <c r="E3600" s="2" t="s">
        <v>39</v>
      </c>
      <c r="F3600" s="2" t="s">
        <v>63</v>
      </c>
      <c r="G3600" s="2" t="s">
        <v>22</v>
      </c>
      <c r="H3600" s="2" t="s">
        <v>23</v>
      </c>
      <c r="I3600" s="2" t="s">
        <v>64</v>
      </c>
      <c r="J3600" s="2">
        <v>1</v>
      </c>
      <c r="K3600" s="2" t="s">
        <v>24</v>
      </c>
      <c r="L3600" s="2">
        <v>1846</v>
      </c>
      <c r="M3600" s="2" t="s">
        <v>134</v>
      </c>
      <c r="N3600" s="2">
        <v>488</v>
      </c>
      <c r="O3600" s="2">
        <v>50499757.219999999</v>
      </c>
      <c r="P3600" s="2">
        <v>103483.11</v>
      </c>
    </row>
    <row r="3601" spans="1:16" outlineLevel="2" x14ac:dyDescent="0.2">
      <c r="A3601" s="5">
        <v>46168</v>
      </c>
      <c r="B3601" s="2">
        <v>159689</v>
      </c>
      <c r="C3601" s="2">
        <v>3</v>
      </c>
      <c r="D3601" s="2" t="s">
        <v>38</v>
      </c>
      <c r="E3601" s="2" t="s">
        <v>39</v>
      </c>
      <c r="F3601" s="2" t="s">
        <v>63</v>
      </c>
      <c r="G3601" s="2" t="s">
        <v>22</v>
      </c>
      <c r="H3601" s="2" t="s">
        <v>23</v>
      </c>
      <c r="I3601" s="2" t="s">
        <v>135</v>
      </c>
      <c r="J3601" s="2">
        <v>1</v>
      </c>
      <c r="K3601" s="2" t="s">
        <v>24</v>
      </c>
      <c r="L3601" s="2">
        <v>1846</v>
      </c>
      <c r="M3601" s="2" t="s">
        <v>134</v>
      </c>
      <c r="N3601" s="2">
        <v>264</v>
      </c>
      <c r="O3601" s="2">
        <v>27233052.059999999</v>
      </c>
      <c r="P3601" s="2">
        <v>103155.5</v>
      </c>
    </row>
    <row r="3602" spans="1:16" outlineLevel="1" x14ac:dyDescent="0.2">
      <c r="A3602" s="5"/>
      <c r="D3602" s="3" t="s">
        <v>721</v>
      </c>
      <c r="N3602" s="2">
        <f>SUBTOTAL(9,N3599:N3601)</f>
        <v>1347</v>
      </c>
      <c r="O3602" s="2">
        <f>SUBTOTAL(9,O3599:O3601)</f>
        <v>135504811.19999999</v>
      </c>
      <c r="P3602" s="2">
        <f>+O3602/N3602</f>
        <v>100597.4841870824</v>
      </c>
    </row>
    <row r="3603" spans="1:16" outlineLevel="2" x14ac:dyDescent="0.2">
      <c r="A3603" s="5">
        <v>46170</v>
      </c>
      <c r="B3603" s="2">
        <v>159691</v>
      </c>
      <c r="C3603" s="2">
        <v>2</v>
      </c>
      <c r="D3603" s="2" t="s">
        <v>57</v>
      </c>
      <c r="E3603" s="2" t="s">
        <v>563</v>
      </c>
      <c r="F3603" s="2" t="s">
        <v>31</v>
      </c>
      <c r="G3603" s="2" t="s">
        <v>22</v>
      </c>
      <c r="H3603" s="2" t="s">
        <v>23</v>
      </c>
      <c r="I3603" s="2" t="s">
        <v>564</v>
      </c>
      <c r="J3603" s="2">
        <v>1</v>
      </c>
      <c r="K3603" s="2" t="s">
        <v>24</v>
      </c>
      <c r="L3603" s="2">
        <v>29101</v>
      </c>
      <c r="M3603" s="2" t="s">
        <v>565</v>
      </c>
      <c r="N3603" s="2">
        <v>20</v>
      </c>
      <c r="O3603" s="2">
        <v>944877.52</v>
      </c>
      <c r="P3603" s="2">
        <v>47243.88</v>
      </c>
    </row>
    <row r="3604" spans="1:16" outlineLevel="1" x14ac:dyDescent="0.2">
      <c r="A3604" s="5"/>
      <c r="D3604" s="3" t="s">
        <v>716</v>
      </c>
      <c r="N3604" s="2">
        <f>SUBTOTAL(9,N3603:N3603)</f>
        <v>20</v>
      </c>
      <c r="O3604" s="2">
        <f>SUBTOTAL(9,O3603:O3603)</f>
        <v>944877.52</v>
      </c>
      <c r="P3604" s="2">
        <f>+O3604/N3604</f>
        <v>47243.876000000004</v>
      </c>
    </row>
    <row r="3605" spans="1:16" outlineLevel="2" x14ac:dyDescent="0.2">
      <c r="A3605" s="5">
        <v>46168</v>
      </c>
      <c r="B3605" s="2">
        <v>159695</v>
      </c>
      <c r="C3605" s="2">
        <v>8</v>
      </c>
      <c r="D3605" s="2" t="s">
        <v>45</v>
      </c>
      <c r="E3605" s="2" t="s">
        <v>228</v>
      </c>
      <c r="F3605" s="2" t="s">
        <v>289</v>
      </c>
      <c r="G3605" s="2" t="s">
        <v>22</v>
      </c>
      <c r="H3605" s="2" t="s">
        <v>23</v>
      </c>
      <c r="I3605" s="2" t="s">
        <v>23</v>
      </c>
      <c r="J3605" s="2">
        <v>41</v>
      </c>
      <c r="K3605" s="2" t="s">
        <v>129</v>
      </c>
      <c r="L3605" s="2">
        <v>801</v>
      </c>
      <c r="M3605" s="2" t="s">
        <v>56</v>
      </c>
      <c r="N3605" s="2">
        <v>23</v>
      </c>
      <c r="O3605" s="2">
        <v>331892.26</v>
      </c>
      <c r="P3605" s="2">
        <v>14430.1</v>
      </c>
    </row>
    <row r="3606" spans="1:16" outlineLevel="2" x14ac:dyDescent="0.2">
      <c r="A3606" s="5">
        <v>46168</v>
      </c>
      <c r="B3606" s="2">
        <v>159695</v>
      </c>
      <c r="C3606" s="2">
        <v>9</v>
      </c>
      <c r="D3606" s="2" t="s">
        <v>45</v>
      </c>
      <c r="E3606" s="2" t="s">
        <v>228</v>
      </c>
      <c r="F3606" s="2" t="s">
        <v>289</v>
      </c>
      <c r="G3606" s="2" t="s">
        <v>22</v>
      </c>
      <c r="H3606" s="2" t="s">
        <v>23</v>
      </c>
      <c r="I3606" s="2" t="s">
        <v>23</v>
      </c>
      <c r="J3606" s="2">
        <v>41</v>
      </c>
      <c r="K3606" s="2" t="s">
        <v>129</v>
      </c>
      <c r="L3606" s="2">
        <v>801</v>
      </c>
      <c r="M3606" s="2" t="s">
        <v>56</v>
      </c>
      <c r="N3606" s="2">
        <v>33</v>
      </c>
      <c r="O3606" s="2">
        <v>371480.95</v>
      </c>
      <c r="P3606" s="2">
        <v>11257</v>
      </c>
    </row>
    <row r="3607" spans="1:16" outlineLevel="2" x14ac:dyDescent="0.2">
      <c r="A3607" s="5">
        <v>46168</v>
      </c>
      <c r="B3607" s="2">
        <v>159695</v>
      </c>
      <c r="C3607" s="2">
        <v>10</v>
      </c>
      <c r="D3607" s="2" t="s">
        <v>45</v>
      </c>
      <c r="E3607" s="2" t="s">
        <v>295</v>
      </c>
      <c r="F3607" s="2" t="s">
        <v>289</v>
      </c>
      <c r="G3607" s="2" t="s">
        <v>22</v>
      </c>
      <c r="H3607" s="2" t="s">
        <v>23</v>
      </c>
      <c r="I3607" s="2" t="s">
        <v>23</v>
      </c>
      <c r="J3607" s="2">
        <v>41</v>
      </c>
      <c r="K3607" s="2" t="s">
        <v>129</v>
      </c>
      <c r="L3607" s="2">
        <v>801</v>
      </c>
      <c r="M3607" s="2" t="s">
        <v>56</v>
      </c>
      <c r="N3607" s="2">
        <v>53</v>
      </c>
      <c r="O3607" s="2">
        <v>1960964.36</v>
      </c>
      <c r="P3607" s="2">
        <v>36999.33</v>
      </c>
    </row>
    <row r="3608" spans="1:16" outlineLevel="2" x14ac:dyDescent="0.2">
      <c r="A3608" s="5">
        <v>46168</v>
      </c>
      <c r="B3608" s="2">
        <v>159695</v>
      </c>
      <c r="C3608" s="2">
        <v>11</v>
      </c>
      <c r="D3608" s="2" t="s">
        <v>45</v>
      </c>
      <c r="E3608" s="2" t="s">
        <v>295</v>
      </c>
      <c r="F3608" s="2" t="s">
        <v>289</v>
      </c>
      <c r="G3608" s="2" t="s">
        <v>22</v>
      </c>
      <c r="H3608" s="2" t="s">
        <v>23</v>
      </c>
      <c r="I3608" s="2" t="s">
        <v>23</v>
      </c>
      <c r="J3608" s="2">
        <v>41</v>
      </c>
      <c r="K3608" s="2" t="s">
        <v>129</v>
      </c>
      <c r="L3608" s="2">
        <v>801</v>
      </c>
      <c r="M3608" s="2" t="s">
        <v>56</v>
      </c>
      <c r="N3608" s="2">
        <v>51</v>
      </c>
      <c r="O3608" s="2">
        <v>1282078.21</v>
      </c>
      <c r="P3608" s="2">
        <v>25138.79</v>
      </c>
    </row>
    <row r="3609" spans="1:16" outlineLevel="2" x14ac:dyDescent="0.2">
      <c r="A3609" s="5">
        <v>46168</v>
      </c>
      <c r="B3609" s="2">
        <v>159695</v>
      </c>
      <c r="C3609" s="2">
        <v>12</v>
      </c>
      <c r="D3609" s="2" t="s">
        <v>45</v>
      </c>
      <c r="E3609" s="2" t="s">
        <v>295</v>
      </c>
      <c r="F3609" s="2" t="s">
        <v>289</v>
      </c>
      <c r="G3609" s="2" t="s">
        <v>22</v>
      </c>
      <c r="H3609" s="2" t="s">
        <v>23</v>
      </c>
      <c r="I3609" s="2" t="s">
        <v>23</v>
      </c>
      <c r="J3609" s="2">
        <v>41</v>
      </c>
      <c r="K3609" s="2" t="s">
        <v>129</v>
      </c>
      <c r="L3609" s="2">
        <v>801</v>
      </c>
      <c r="M3609" s="2" t="s">
        <v>56</v>
      </c>
      <c r="N3609" s="2">
        <v>17</v>
      </c>
      <c r="O3609" s="2">
        <v>436101.5</v>
      </c>
      <c r="P3609" s="2">
        <v>25653.03</v>
      </c>
    </row>
    <row r="3610" spans="1:16" outlineLevel="2" x14ac:dyDescent="0.2">
      <c r="A3610" s="5">
        <v>46168</v>
      </c>
      <c r="B3610" s="2">
        <v>159695</v>
      </c>
      <c r="C3610" s="2">
        <v>13</v>
      </c>
      <c r="D3610" s="2" t="s">
        <v>45</v>
      </c>
      <c r="E3610" s="2" t="s">
        <v>46</v>
      </c>
      <c r="F3610" s="2" t="s">
        <v>289</v>
      </c>
      <c r="G3610" s="2" t="s">
        <v>22</v>
      </c>
      <c r="H3610" s="2" t="s">
        <v>23</v>
      </c>
      <c r="I3610" s="2" t="s">
        <v>23</v>
      </c>
      <c r="J3610" s="2">
        <v>41</v>
      </c>
      <c r="K3610" s="2" t="s">
        <v>129</v>
      </c>
      <c r="L3610" s="2">
        <v>801</v>
      </c>
      <c r="M3610" s="2" t="s">
        <v>56</v>
      </c>
      <c r="N3610" s="2">
        <v>2</v>
      </c>
      <c r="O3610" s="2">
        <v>6863.5</v>
      </c>
      <c r="P3610" s="2">
        <v>3431.75</v>
      </c>
    </row>
    <row r="3611" spans="1:16" outlineLevel="1" x14ac:dyDescent="0.2">
      <c r="A3611" s="5"/>
      <c r="D3611" s="3" t="s">
        <v>733</v>
      </c>
      <c r="N3611" s="2">
        <f>SUBTOTAL(9,N3605:N3610)</f>
        <v>179</v>
      </c>
      <c r="O3611" s="2">
        <f>SUBTOTAL(9,O3605:O3610)</f>
        <v>4389380.78</v>
      </c>
      <c r="P3611" s="2">
        <f>+O3611/N3611</f>
        <v>24521.680335195531</v>
      </c>
    </row>
    <row r="3612" spans="1:16" outlineLevel="2" x14ac:dyDescent="0.2">
      <c r="A3612" s="5">
        <v>46168</v>
      </c>
      <c r="B3612" s="2">
        <v>159695</v>
      </c>
      <c r="C3612" s="2">
        <v>15</v>
      </c>
      <c r="D3612" s="2" t="s">
        <v>226</v>
      </c>
      <c r="E3612" s="2" t="s">
        <v>530</v>
      </c>
      <c r="F3612" s="2" t="s">
        <v>289</v>
      </c>
      <c r="G3612" s="2" t="s">
        <v>22</v>
      </c>
      <c r="H3612" s="2" t="s">
        <v>23</v>
      </c>
      <c r="I3612" s="2" t="s">
        <v>23</v>
      </c>
      <c r="J3612" s="2">
        <v>41</v>
      </c>
      <c r="K3612" s="2" t="s">
        <v>129</v>
      </c>
      <c r="L3612" s="2">
        <v>801</v>
      </c>
      <c r="M3612" s="2" t="s">
        <v>56</v>
      </c>
      <c r="N3612" s="2">
        <v>24</v>
      </c>
      <c r="O3612" s="2">
        <v>498675.79</v>
      </c>
      <c r="P3612" s="2">
        <v>20778.16</v>
      </c>
    </row>
    <row r="3613" spans="1:16" outlineLevel="2" x14ac:dyDescent="0.2">
      <c r="A3613" s="5">
        <v>46168</v>
      </c>
      <c r="B3613" s="2">
        <v>159695</v>
      </c>
      <c r="C3613" s="2">
        <v>16</v>
      </c>
      <c r="D3613" s="2" t="s">
        <v>226</v>
      </c>
      <c r="E3613" s="2" t="s">
        <v>67</v>
      </c>
      <c r="F3613" s="2" t="s">
        <v>289</v>
      </c>
      <c r="G3613" s="2" t="s">
        <v>22</v>
      </c>
      <c r="H3613" s="2" t="s">
        <v>23</v>
      </c>
      <c r="I3613" s="2" t="s">
        <v>23</v>
      </c>
      <c r="J3613" s="2">
        <v>41</v>
      </c>
      <c r="K3613" s="2" t="s">
        <v>129</v>
      </c>
      <c r="L3613" s="2">
        <v>801</v>
      </c>
      <c r="M3613" s="2" t="s">
        <v>56</v>
      </c>
      <c r="N3613" s="2">
        <v>15</v>
      </c>
      <c r="O3613" s="2">
        <v>240030.96</v>
      </c>
      <c r="P3613" s="2">
        <v>16002.06</v>
      </c>
    </row>
    <row r="3614" spans="1:16" outlineLevel="2" x14ac:dyDescent="0.2">
      <c r="A3614" s="5">
        <v>46168</v>
      </c>
      <c r="B3614" s="2">
        <v>159695</v>
      </c>
      <c r="C3614" s="2">
        <v>20</v>
      </c>
      <c r="D3614" s="2" t="s">
        <v>226</v>
      </c>
      <c r="E3614" s="2" t="s">
        <v>544</v>
      </c>
      <c r="F3614" s="2" t="s">
        <v>289</v>
      </c>
      <c r="G3614" s="2" t="s">
        <v>22</v>
      </c>
      <c r="H3614" s="2" t="s">
        <v>23</v>
      </c>
      <c r="I3614" s="2" t="s">
        <v>23</v>
      </c>
      <c r="J3614" s="2">
        <v>41</v>
      </c>
      <c r="K3614" s="2" t="s">
        <v>129</v>
      </c>
      <c r="L3614" s="2">
        <v>801</v>
      </c>
      <c r="M3614" s="2" t="s">
        <v>56</v>
      </c>
      <c r="N3614" s="2">
        <v>17</v>
      </c>
      <c r="O3614" s="2">
        <v>482121.18</v>
      </c>
      <c r="P3614" s="2">
        <v>28360.07</v>
      </c>
    </row>
    <row r="3615" spans="1:16" outlineLevel="2" x14ac:dyDescent="0.2">
      <c r="A3615" s="5">
        <v>46168</v>
      </c>
      <c r="B3615" s="2">
        <v>159695</v>
      </c>
      <c r="C3615" s="2">
        <v>21</v>
      </c>
      <c r="D3615" s="2" t="s">
        <v>226</v>
      </c>
      <c r="E3615" s="2" t="s">
        <v>544</v>
      </c>
      <c r="F3615" s="2" t="s">
        <v>289</v>
      </c>
      <c r="G3615" s="2" t="s">
        <v>22</v>
      </c>
      <c r="H3615" s="2" t="s">
        <v>23</v>
      </c>
      <c r="I3615" s="2" t="s">
        <v>23</v>
      </c>
      <c r="J3615" s="2">
        <v>41</v>
      </c>
      <c r="K3615" s="2" t="s">
        <v>129</v>
      </c>
      <c r="L3615" s="2">
        <v>801</v>
      </c>
      <c r="M3615" s="2" t="s">
        <v>56</v>
      </c>
      <c r="N3615" s="2">
        <v>13</v>
      </c>
      <c r="O3615" s="2">
        <v>385290.65</v>
      </c>
      <c r="P3615" s="2">
        <v>29637.74</v>
      </c>
    </row>
    <row r="3616" spans="1:16" outlineLevel="1" x14ac:dyDescent="0.2">
      <c r="A3616" s="5"/>
      <c r="D3616" s="3" t="s">
        <v>736</v>
      </c>
      <c r="N3616" s="2">
        <f>SUBTOTAL(9,N3612:N3615)</f>
        <v>69</v>
      </c>
      <c r="O3616" s="2">
        <f>SUBTOTAL(9,O3612:O3615)</f>
        <v>1606118.58</v>
      </c>
      <c r="P3616" s="2">
        <f>+O3616/N3616</f>
        <v>23277.080869565219</v>
      </c>
    </row>
    <row r="3617" spans="1:16" outlineLevel="2" x14ac:dyDescent="0.2">
      <c r="A3617" s="5">
        <v>46171</v>
      </c>
      <c r="B3617" s="2">
        <v>159695</v>
      </c>
      <c r="C3617" s="2">
        <v>308</v>
      </c>
      <c r="D3617" s="2" t="s">
        <v>54</v>
      </c>
      <c r="E3617" s="2" t="s">
        <v>30</v>
      </c>
      <c r="F3617" s="2" t="s">
        <v>289</v>
      </c>
      <c r="G3617" s="2" t="s">
        <v>22</v>
      </c>
      <c r="H3617" s="2" t="s">
        <v>23</v>
      </c>
      <c r="I3617" s="2" t="s">
        <v>23</v>
      </c>
      <c r="J3617" s="2">
        <v>2</v>
      </c>
      <c r="K3617" s="2" t="s">
        <v>48</v>
      </c>
      <c r="L3617" s="2">
        <v>801</v>
      </c>
      <c r="M3617" s="2" t="s">
        <v>56</v>
      </c>
      <c r="N3617" s="2">
        <v>6</v>
      </c>
      <c r="O3617" s="2">
        <v>48593.7</v>
      </c>
      <c r="P3617" s="2">
        <v>8098.95</v>
      </c>
    </row>
    <row r="3618" spans="1:16" outlineLevel="1" x14ac:dyDescent="0.2">
      <c r="A3618" s="5"/>
      <c r="D3618" s="3" t="s">
        <v>719</v>
      </c>
      <c r="N3618" s="2">
        <f>SUBTOTAL(9,N3617:N3617)</f>
        <v>6</v>
      </c>
      <c r="O3618" s="2">
        <f>SUBTOTAL(9,O3617:O3617)</f>
        <v>48593.7</v>
      </c>
      <c r="P3618" s="2">
        <f>+O3618/N3618</f>
        <v>8098.95</v>
      </c>
    </row>
    <row r="3619" spans="1:16" outlineLevel="2" x14ac:dyDescent="0.2">
      <c r="A3619" s="5">
        <v>46171</v>
      </c>
      <c r="B3619" s="2">
        <v>159697</v>
      </c>
      <c r="C3619" s="2">
        <v>315</v>
      </c>
      <c r="D3619" s="2" t="s">
        <v>45</v>
      </c>
      <c r="E3619" s="2" t="s">
        <v>566</v>
      </c>
      <c r="F3619" s="2" t="s">
        <v>47</v>
      </c>
      <c r="G3619" s="2" t="s">
        <v>22</v>
      </c>
      <c r="H3619" s="2" t="s">
        <v>23</v>
      </c>
      <c r="I3619" s="2" t="s">
        <v>23</v>
      </c>
      <c r="J3619" s="2">
        <v>2</v>
      </c>
      <c r="K3619" s="2" t="s">
        <v>48</v>
      </c>
      <c r="L3619" s="2">
        <v>106</v>
      </c>
      <c r="M3619" s="2" t="s">
        <v>486</v>
      </c>
      <c r="N3619" s="2">
        <v>65</v>
      </c>
      <c r="O3619" s="2">
        <v>406017.94</v>
      </c>
      <c r="P3619" s="2">
        <v>6246.43</v>
      </c>
    </row>
    <row r="3620" spans="1:16" outlineLevel="1" x14ac:dyDescent="0.2">
      <c r="A3620" s="5"/>
      <c r="D3620" s="3" t="s">
        <v>733</v>
      </c>
      <c r="N3620" s="2">
        <f>SUBTOTAL(9,N3619:N3619)</f>
        <v>65</v>
      </c>
      <c r="O3620" s="2">
        <f>SUBTOTAL(9,O3619:O3619)</f>
        <v>406017.94</v>
      </c>
      <c r="P3620" s="2">
        <f>+O3620/N3620</f>
        <v>6246.4298461538465</v>
      </c>
    </row>
    <row r="3621" spans="1:16" outlineLevel="2" x14ac:dyDescent="0.2">
      <c r="A3621" s="5">
        <v>46199</v>
      </c>
      <c r="B3621" s="2">
        <v>159701</v>
      </c>
      <c r="C3621" s="2">
        <v>302</v>
      </c>
      <c r="D3621" s="2" t="s">
        <v>26</v>
      </c>
      <c r="E3621" s="2" t="s">
        <v>51</v>
      </c>
      <c r="F3621" s="2" t="s">
        <v>23</v>
      </c>
      <c r="G3621" s="2" t="s">
        <v>22</v>
      </c>
      <c r="H3621" s="2" t="s">
        <v>23</v>
      </c>
      <c r="I3621" s="2" t="s">
        <v>23</v>
      </c>
      <c r="J3621" s="2">
        <v>5</v>
      </c>
      <c r="K3621" s="2" t="s">
        <v>27</v>
      </c>
      <c r="L3621" s="2">
        <v>786</v>
      </c>
      <c r="M3621" s="2" t="s">
        <v>546</v>
      </c>
      <c r="N3621" s="2">
        <v>7</v>
      </c>
      <c r="O3621" s="2">
        <v>30528.89</v>
      </c>
      <c r="P3621" s="2">
        <v>4361.2700000000004</v>
      </c>
    </row>
    <row r="3622" spans="1:16" outlineLevel="2" x14ac:dyDescent="0.2">
      <c r="A3622" s="5">
        <v>46192</v>
      </c>
      <c r="B3622" s="2">
        <v>159701</v>
      </c>
      <c r="C3622" s="2">
        <v>315</v>
      </c>
      <c r="D3622" s="2" t="s">
        <v>26</v>
      </c>
      <c r="E3622" s="2" t="s">
        <v>23</v>
      </c>
      <c r="F3622" s="2" t="s">
        <v>23</v>
      </c>
      <c r="G3622" s="2" t="s">
        <v>22</v>
      </c>
      <c r="H3622" s="2" t="s">
        <v>23</v>
      </c>
      <c r="I3622" s="2" t="s">
        <v>23</v>
      </c>
      <c r="J3622" s="2">
        <v>5</v>
      </c>
      <c r="K3622" s="2" t="s">
        <v>27</v>
      </c>
      <c r="L3622" s="2">
        <v>2602</v>
      </c>
      <c r="M3622" s="2" t="s">
        <v>464</v>
      </c>
      <c r="N3622" s="2">
        <v>54</v>
      </c>
      <c r="O3622" s="2">
        <v>234674.88</v>
      </c>
      <c r="P3622" s="2">
        <v>4345.83</v>
      </c>
    </row>
    <row r="3623" spans="1:16" outlineLevel="1" x14ac:dyDescent="0.2">
      <c r="A3623" s="5"/>
      <c r="D3623" s="3" t="s">
        <v>711</v>
      </c>
      <c r="N3623" s="2">
        <f>SUBTOTAL(9,N3621:N3622)</f>
        <v>61</v>
      </c>
      <c r="O3623" s="2">
        <f>SUBTOTAL(9,O3621:O3622)</f>
        <v>265203.77</v>
      </c>
      <c r="P3623" s="2">
        <f>+O3623/N3623</f>
        <v>4347.6027868852461</v>
      </c>
    </row>
    <row r="3624" spans="1:16" outlineLevel="2" x14ac:dyDescent="0.2">
      <c r="A3624" s="5">
        <v>46174</v>
      </c>
      <c r="B3624" s="2">
        <v>159710</v>
      </c>
      <c r="C3624" s="2">
        <v>1</v>
      </c>
      <c r="D3624" s="2" t="s">
        <v>140</v>
      </c>
      <c r="E3624" s="2" t="s">
        <v>55</v>
      </c>
      <c r="F3624" s="2" t="s">
        <v>23</v>
      </c>
      <c r="G3624" s="2" t="s">
        <v>23</v>
      </c>
      <c r="H3624" s="2" t="s">
        <v>23</v>
      </c>
      <c r="I3624" s="2" t="s">
        <v>23</v>
      </c>
      <c r="J3624" s="2">
        <v>1</v>
      </c>
      <c r="K3624" s="2" t="s">
        <v>24</v>
      </c>
      <c r="L3624" s="2">
        <v>1833</v>
      </c>
      <c r="M3624" s="2" t="s">
        <v>142</v>
      </c>
      <c r="N3624" s="2">
        <v>4</v>
      </c>
      <c r="O3624" s="2">
        <v>40796.75</v>
      </c>
      <c r="P3624" s="2">
        <v>10199.19</v>
      </c>
    </row>
    <row r="3625" spans="1:16" outlineLevel="1" x14ac:dyDescent="0.2">
      <c r="A3625" s="5"/>
      <c r="D3625" s="3" t="s">
        <v>696</v>
      </c>
      <c r="N3625" s="2">
        <f>SUBTOTAL(9,N3624:N3624)</f>
        <v>4</v>
      </c>
      <c r="O3625" s="2">
        <f>SUBTOTAL(9,O3624:O3624)</f>
        <v>40796.75</v>
      </c>
      <c r="P3625" s="2">
        <f>+O3625/N3625</f>
        <v>10199.1875</v>
      </c>
    </row>
    <row r="3626" spans="1:16" outlineLevel="2" x14ac:dyDescent="0.2">
      <c r="A3626" s="5">
        <v>46174</v>
      </c>
      <c r="B3626" s="2">
        <v>159724</v>
      </c>
      <c r="C3626" s="2">
        <v>2</v>
      </c>
      <c r="D3626" s="2" t="s">
        <v>131</v>
      </c>
      <c r="E3626" s="2" t="s">
        <v>132</v>
      </c>
      <c r="F3626" s="2" t="s">
        <v>40</v>
      </c>
      <c r="G3626" s="2" t="s">
        <v>22</v>
      </c>
      <c r="H3626" s="2" t="s">
        <v>23</v>
      </c>
      <c r="I3626" s="2" t="s">
        <v>23</v>
      </c>
      <c r="J3626" s="2">
        <v>1</v>
      </c>
      <c r="K3626" s="2" t="s">
        <v>24</v>
      </c>
      <c r="L3626" s="2">
        <v>2521</v>
      </c>
      <c r="M3626" s="2" t="s">
        <v>82</v>
      </c>
      <c r="N3626" s="2">
        <v>127</v>
      </c>
      <c r="O3626" s="2">
        <v>4261010.83</v>
      </c>
      <c r="P3626" s="2">
        <v>33551.269999999997</v>
      </c>
    </row>
    <row r="3627" spans="1:16" outlineLevel="1" x14ac:dyDescent="0.2">
      <c r="A3627" s="5"/>
      <c r="D3627" s="3" t="s">
        <v>713</v>
      </c>
      <c r="N3627" s="2">
        <f>SUBTOTAL(9,N3626:N3626)</f>
        <v>127</v>
      </c>
      <c r="O3627" s="2">
        <f>SUBTOTAL(9,O3626:O3626)</f>
        <v>4261010.83</v>
      </c>
      <c r="P3627" s="2">
        <f>+O3627/N3627</f>
        <v>33551.266377952757</v>
      </c>
    </row>
    <row r="3628" spans="1:16" outlineLevel="2" x14ac:dyDescent="0.2">
      <c r="A3628" s="5">
        <v>46171</v>
      </c>
      <c r="B3628" s="2">
        <v>159724</v>
      </c>
      <c r="C3628" s="2">
        <v>4</v>
      </c>
      <c r="D3628" s="2" t="s">
        <v>451</v>
      </c>
      <c r="E3628" s="2" t="s">
        <v>523</v>
      </c>
      <c r="F3628" s="2" t="s">
        <v>40</v>
      </c>
      <c r="G3628" s="2" t="s">
        <v>22</v>
      </c>
      <c r="H3628" s="2" t="s">
        <v>23</v>
      </c>
      <c r="I3628" s="2" t="s">
        <v>23</v>
      </c>
      <c r="J3628" s="2">
        <v>1</v>
      </c>
      <c r="K3628" s="2" t="s">
        <v>24</v>
      </c>
      <c r="L3628" s="2">
        <v>2521</v>
      </c>
      <c r="M3628" s="2" t="s">
        <v>82</v>
      </c>
      <c r="N3628" s="2">
        <v>15</v>
      </c>
      <c r="O3628" s="2">
        <v>399649.1</v>
      </c>
      <c r="P3628" s="2">
        <v>26643.27</v>
      </c>
    </row>
    <row r="3629" spans="1:16" outlineLevel="1" x14ac:dyDescent="0.2">
      <c r="A3629" s="5"/>
      <c r="D3629" s="3" t="s">
        <v>775</v>
      </c>
      <c r="N3629" s="2">
        <f>SUBTOTAL(9,N3628:N3628)</f>
        <v>15</v>
      </c>
      <c r="O3629" s="2">
        <f>SUBTOTAL(9,O3628:O3628)</f>
        <v>399649.1</v>
      </c>
      <c r="P3629" s="2">
        <f>+O3629/N3629</f>
        <v>26643.273333333331</v>
      </c>
    </row>
    <row r="3630" spans="1:16" outlineLevel="2" x14ac:dyDescent="0.2">
      <c r="A3630" s="5">
        <v>46176</v>
      </c>
      <c r="B3630" s="2">
        <v>159725</v>
      </c>
      <c r="C3630" s="2">
        <v>1</v>
      </c>
      <c r="D3630" s="2" t="s">
        <v>175</v>
      </c>
      <c r="E3630" s="2" t="s">
        <v>469</v>
      </c>
      <c r="F3630" s="2" t="s">
        <v>40</v>
      </c>
      <c r="G3630" s="2" t="s">
        <v>22</v>
      </c>
      <c r="H3630" s="2" t="s">
        <v>23</v>
      </c>
      <c r="I3630" s="2" t="s">
        <v>23</v>
      </c>
      <c r="J3630" s="2">
        <v>5</v>
      </c>
      <c r="K3630" s="2" t="s">
        <v>27</v>
      </c>
      <c r="L3630" s="2">
        <v>2521</v>
      </c>
      <c r="M3630" s="2" t="s">
        <v>82</v>
      </c>
      <c r="N3630" s="2">
        <v>25</v>
      </c>
      <c r="O3630" s="2">
        <v>719900.99</v>
      </c>
      <c r="P3630" s="2">
        <v>28796.04</v>
      </c>
    </row>
    <row r="3631" spans="1:16" outlineLevel="2" x14ac:dyDescent="0.2">
      <c r="A3631" s="5">
        <v>46176</v>
      </c>
      <c r="B3631" s="2">
        <v>159725</v>
      </c>
      <c r="C3631" s="2">
        <v>2</v>
      </c>
      <c r="D3631" s="2" t="s">
        <v>175</v>
      </c>
      <c r="E3631" s="2" t="s">
        <v>497</v>
      </c>
      <c r="F3631" s="2" t="s">
        <v>40</v>
      </c>
      <c r="G3631" s="2" t="s">
        <v>22</v>
      </c>
      <c r="H3631" s="2" t="s">
        <v>23</v>
      </c>
      <c r="I3631" s="2" t="s">
        <v>23</v>
      </c>
      <c r="J3631" s="2">
        <v>5</v>
      </c>
      <c r="K3631" s="2" t="s">
        <v>27</v>
      </c>
      <c r="L3631" s="2">
        <v>2521</v>
      </c>
      <c r="M3631" s="2" t="s">
        <v>82</v>
      </c>
      <c r="N3631" s="2">
        <v>135</v>
      </c>
      <c r="O3631" s="2">
        <v>3930374.62</v>
      </c>
      <c r="P3631" s="2">
        <v>29113.89</v>
      </c>
    </row>
    <row r="3632" spans="1:16" outlineLevel="1" x14ac:dyDescent="0.2">
      <c r="A3632" s="5"/>
      <c r="D3632" s="3" t="s">
        <v>725</v>
      </c>
      <c r="N3632" s="2">
        <f>SUBTOTAL(9,N3630:N3631)</f>
        <v>160</v>
      </c>
      <c r="O3632" s="2">
        <f>SUBTOTAL(9,O3630:O3631)</f>
        <v>4650275.6100000003</v>
      </c>
      <c r="P3632" s="2">
        <f>+O3632/N3632</f>
        <v>29064.222562500003</v>
      </c>
    </row>
    <row r="3633" spans="1:16" outlineLevel="2" x14ac:dyDescent="0.2">
      <c r="A3633" s="5">
        <v>46188</v>
      </c>
      <c r="B3633" s="2">
        <v>159730</v>
      </c>
      <c r="C3633" s="2">
        <v>2</v>
      </c>
      <c r="D3633" s="2" t="s">
        <v>140</v>
      </c>
      <c r="E3633" s="2" t="s">
        <v>248</v>
      </c>
      <c r="F3633" s="2" t="s">
        <v>23</v>
      </c>
      <c r="G3633" s="2" t="s">
        <v>22</v>
      </c>
      <c r="H3633" s="2" t="s">
        <v>23</v>
      </c>
      <c r="I3633" s="2" t="s">
        <v>23</v>
      </c>
      <c r="J3633" s="2">
        <v>1</v>
      </c>
      <c r="K3633" s="2" t="s">
        <v>24</v>
      </c>
      <c r="L3633" s="2">
        <v>1833</v>
      </c>
      <c r="M3633" s="2" t="s">
        <v>142</v>
      </c>
      <c r="N3633" s="2">
        <v>7</v>
      </c>
      <c r="O3633" s="2">
        <v>82005.09</v>
      </c>
      <c r="P3633" s="2">
        <v>11715.01</v>
      </c>
    </row>
    <row r="3634" spans="1:16" outlineLevel="1" x14ac:dyDescent="0.2">
      <c r="A3634" s="5"/>
      <c r="D3634" s="3" t="s">
        <v>696</v>
      </c>
      <c r="N3634" s="2">
        <f>SUBTOTAL(9,N3633:N3633)</f>
        <v>7</v>
      </c>
      <c r="O3634" s="2">
        <f>SUBTOTAL(9,O3633:O3633)</f>
        <v>82005.09</v>
      </c>
      <c r="P3634" s="2">
        <f>+O3634/N3634</f>
        <v>11715.012857142856</v>
      </c>
    </row>
    <row r="3635" spans="1:16" outlineLevel="2" x14ac:dyDescent="0.2">
      <c r="A3635" s="5">
        <v>46170</v>
      </c>
      <c r="B3635" s="2">
        <v>159732</v>
      </c>
      <c r="C3635" s="2">
        <v>4</v>
      </c>
      <c r="D3635" s="2" t="s">
        <v>45</v>
      </c>
      <c r="E3635" s="2" t="s">
        <v>125</v>
      </c>
      <c r="F3635" s="2" t="s">
        <v>47</v>
      </c>
      <c r="G3635" s="2" t="s">
        <v>22</v>
      </c>
      <c r="H3635" s="2" t="s">
        <v>23</v>
      </c>
      <c r="I3635" s="2" t="s">
        <v>23</v>
      </c>
      <c r="J3635" s="2">
        <v>2</v>
      </c>
      <c r="K3635" s="2" t="s">
        <v>48</v>
      </c>
      <c r="L3635" s="2">
        <v>106</v>
      </c>
      <c r="M3635" s="2" t="s">
        <v>486</v>
      </c>
      <c r="N3635" s="2">
        <v>56</v>
      </c>
      <c r="O3635" s="2">
        <v>1744377.59</v>
      </c>
      <c r="P3635" s="2">
        <v>31149.599999999999</v>
      </c>
    </row>
    <row r="3636" spans="1:16" outlineLevel="2" x14ac:dyDescent="0.2">
      <c r="A3636" s="5">
        <v>46170</v>
      </c>
      <c r="B3636" s="2">
        <v>159732</v>
      </c>
      <c r="C3636" s="2">
        <v>5</v>
      </c>
      <c r="D3636" s="2" t="s">
        <v>45</v>
      </c>
      <c r="E3636" s="2" t="s">
        <v>125</v>
      </c>
      <c r="F3636" s="2" t="s">
        <v>289</v>
      </c>
      <c r="G3636" s="2" t="s">
        <v>22</v>
      </c>
      <c r="H3636" s="2" t="s">
        <v>23</v>
      </c>
      <c r="I3636" s="2" t="s">
        <v>23</v>
      </c>
      <c r="J3636" s="2">
        <v>2</v>
      </c>
      <c r="K3636" s="2" t="s">
        <v>48</v>
      </c>
      <c r="L3636" s="2">
        <v>106</v>
      </c>
      <c r="M3636" s="2" t="s">
        <v>486</v>
      </c>
      <c r="N3636" s="2">
        <v>168</v>
      </c>
      <c r="O3636" s="2">
        <v>5343179.79</v>
      </c>
      <c r="P3636" s="2">
        <v>31804.639999999999</v>
      </c>
    </row>
    <row r="3637" spans="1:16" outlineLevel="1" x14ac:dyDescent="0.2">
      <c r="A3637" s="5"/>
      <c r="D3637" s="3" t="s">
        <v>733</v>
      </c>
      <c r="N3637" s="2">
        <f>SUBTOTAL(9,N3635:N3636)</f>
        <v>224</v>
      </c>
      <c r="O3637" s="2">
        <f>SUBTOTAL(9,O3635:O3636)</f>
        <v>7087557.3799999999</v>
      </c>
      <c r="P3637" s="2">
        <f>+O3637/N3637</f>
        <v>31640.881160714285</v>
      </c>
    </row>
    <row r="3638" spans="1:16" outlineLevel="2" x14ac:dyDescent="0.2">
      <c r="A3638" s="5">
        <v>46170</v>
      </c>
      <c r="B3638" s="2">
        <v>159732</v>
      </c>
      <c r="C3638" s="2">
        <v>8</v>
      </c>
      <c r="D3638" s="2" t="s">
        <v>226</v>
      </c>
      <c r="E3638" s="2" t="s">
        <v>276</v>
      </c>
      <c r="F3638" s="2" t="s">
        <v>289</v>
      </c>
      <c r="G3638" s="2" t="s">
        <v>22</v>
      </c>
      <c r="H3638" s="2" t="s">
        <v>23</v>
      </c>
      <c r="I3638" s="2" t="s">
        <v>23</v>
      </c>
      <c r="J3638" s="2">
        <v>2</v>
      </c>
      <c r="K3638" s="2" t="s">
        <v>48</v>
      </c>
      <c r="L3638" s="2">
        <v>106</v>
      </c>
      <c r="M3638" s="2" t="s">
        <v>486</v>
      </c>
      <c r="N3638" s="2">
        <v>24</v>
      </c>
      <c r="O3638" s="2">
        <v>400664.78</v>
      </c>
      <c r="P3638" s="2">
        <v>16694.37</v>
      </c>
    </row>
    <row r="3639" spans="1:16" outlineLevel="1" x14ac:dyDescent="0.2">
      <c r="A3639" s="5"/>
      <c r="D3639" s="3" t="s">
        <v>736</v>
      </c>
      <c r="N3639" s="2">
        <f>SUBTOTAL(9,N3638:N3638)</f>
        <v>24</v>
      </c>
      <c r="O3639" s="2">
        <f>SUBTOTAL(9,O3638:O3638)</f>
        <v>400664.78</v>
      </c>
      <c r="P3639" s="2">
        <f>+O3639/N3639</f>
        <v>16694.365833333333</v>
      </c>
    </row>
    <row r="3640" spans="1:16" outlineLevel="2" x14ac:dyDescent="0.2">
      <c r="A3640" s="5">
        <v>46170</v>
      </c>
      <c r="B3640" s="2">
        <v>159733</v>
      </c>
      <c r="C3640" s="2">
        <v>1</v>
      </c>
      <c r="D3640" s="2" t="s">
        <v>19</v>
      </c>
      <c r="E3640" s="2" t="s">
        <v>20</v>
      </c>
      <c r="F3640" s="2" t="s">
        <v>21</v>
      </c>
      <c r="G3640" s="2" t="s">
        <v>22</v>
      </c>
      <c r="H3640" s="2" t="s">
        <v>23</v>
      </c>
      <c r="I3640" s="2" t="s">
        <v>23</v>
      </c>
      <c r="J3640" s="2">
        <v>1</v>
      </c>
      <c r="K3640" s="2" t="s">
        <v>24</v>
      </c>
      <c r="L3640" s="2">
        <v>25205</v>
      </c>
      <c r="M3640" s="2" t="s">
        <v>171</v>
      </c>
      <c r="N3640" s="2">
        <v>272</v>
      </c>
      <c r="O3640" s="2">
        <v>19448715.190000001</v>
      </c>
      <c r="P3640" s="2">
        <v>71502.63</v>
      </c>
    </row>
    <row r="3641" spans="1:16" outlineLevel="1" x14ac:dyDescent="0.2">
      <c r="A3641" s="5"/>
      <c r="D3641" s="3" t="s">
        <v>704</v>
      </c>
      <c r="N3641" s="2">
        <f>SUBTOTAL(9,N3640:N3640)</f>
        <v>272</v>
      </c>
      <c r="O3641" s="2">
        <f>SUBTOTAL(9,O3640:O3640)</f>
        <v>19448715.190000001</v>
      </c>
      <c r="P3641" s="2">
        <f>+O3641/N3641</f>
        <v>71502.629375000004</v>
      </c>
    </row>
    <row r="3642" spans="1:16" outlineLevel="2" x14ac:dyDescent="0.2">
      <c r="A3642" s="5">
        <v>46171</v>
      </c>
      <c r="B3642" s="2">
        <v>159736</v>
      </c>
      <c r="C3642" s="2">
        <v>6</v>
      </c>
      <c r="D3642" s="2" t="s">
        <v>45</v>
      </c>
      <c r="E3642" s="2" t="s">
        <v>228</v>
      </c>
      <c r="F3642" s="2" t="s">
        <v>289</v>
      </c>
      <c r="G3642" s="2" t="s">
        <v>22</v>
      </c>
      <c r="H3642" s="2" t="s">
        <v>23</v>
      </c>
      <c r="I3642" s="2" t="s">
        <v>23</v>
      </c>
      <c r="J3642" s="2">
        <v>2</v>
      </c>
      <c r="K3642" s="2" t="s">
        <v>48</v>
      </c>
      <c r="L3642" s="2">
        <v>801</v>
      </c>
      <c r="M3642" s="2" t="s">
        <v>56</v>
      </c>
      <c r="N3642" s="2">
        <v>36</v>
      </c>
      <c r="O3642" s="2">
        <v>464566.23</v>
      </c>
      <c r="P3642" s="2">
        <v>12904.62</v>
      </c>
    </row>
    <row r="3643" spans="1:16" outlineLevel="2" x14ac:dyDescent="0.2">
      <c r="A3643" s="5">
        <v>46171</v>
      </c>
      <c r="B3643" s="2">
        <v>159736</v>
      </c>
      <c r="C3643" s="2">
        <v>7</v>
      </c>
      <c r="D3643" s="2" t="s">
        <v>45</v>
      </c>
      <c r="E3643" s="2" t="s">
        <v>228</v>
      </c>
      <c r="F3643" s="2" t="s">
        <v>289</v>
      </c>
      <c r="G3643" s="2" t="s">
        <v>22</v>
      </c>
      <c r="H3643" s="2" t="s">
        <v>23</v>
      </c>
      <c r="I3643" s="2" t="s">
        <v>23</v>
      </c>
      <c r="J3643" s="2">
        <v>2</v>
      </c>
      <c r="K3643" s="2" t="s">
        <v>48</v>
      </c>
      <c r="L3643" s="2">
        <v>801</v>
      </c>
      <c r="M3643" s="2" t="s">
        <v>56</v>
      </c>
      <c r="N3643" s="2">
        <v>21</v>
      </c>
      <c r="O3643" s="2">
        <v>334345.7</v>
      </c>
      <c r="P3643" s="2">
        <v>15921.22</v>
      </c>
    </row>
    <row r="3644" spans="1:16" outlineLevel="2" x14ac:dyDescent="0.2">
      <c r="A3644" s="5">
        <v>46171</v>
      </c>
      <c r="B3644" s="2">
        <v>159736</v>
      </c>
      <c r="C3644" s="2">
        <v>8</v>
      </c>
      <c r="D3644" s="2" t="s">
        <v>45</v>
      </c>
      <c r="E3644" s="2" t="s">
        <v>567</v>
      </c>
      <c r="F3644" s="2" t="s">
        <v>289</v>
      </c>
      <c r="G3644" s="2" t="s">
        <v>22</v>
      </c>
      <c r="H3644" s="2" t="s">
        <v>23</v>
      </c>
      <c r="I3644" s="2" t="s">
        <v>23</v>
      </c>
      <c r="J3644" s="2">
        <v>2</v>
      </c>
      <c r="K3644" s="2" t="s">
        <v>48</v>
      </c>
      <c r="L3644" s="2">
        <v>801</v>
      </c>
      <c r="M3644" s="2" t="s">
        <v>56</v>
      </c>
      <c r="N3644" s="2">
        <v>30</v>
      </c>
      <c r="O3644" s="2">
        <v>374583.24</v>
      </c>
      <c r="P3644" s="2">
        <v>12486.11</v>
      </c>
    </row>
    <row r="3645" spans="1:16" outlineLevel="2" x14ac:dyDescent="0.2">
      <c r="A3645" s="5">
        <v>46171</v>
      </c>
      <c r="B3645" s="2">
        <v>159736</v>
      </c>
      <c r="C3645" s="2">
        <v>10</v>
      </c>
      <c r="D3645" s="2" t="s">
        <v>45</v>
      </c>
      <c r="E3645" s="2" t="s">
        <v>295</v>
      </c>
      <c r="F3645" s="2" t="s">
        <v>289</v>
      </c>
      <c r="G3645" s="2" t="s">
        <v>22</v>
      </c>
      <c r="H3645" s="2" t="s">
        <v>23</v>
      </c>
      <c r="I3645" s="2" t="s">
        <v>23</v>
      </c>
      <c r="J3645" s="2">
        <v>2</v>
      </c>
      <c r="K3645" s="2" t="s">
        <v>48</v>
      </c>
      <c r="L3645" s="2">
        <v>801</v>
      </c>
      <c r="M3645" s="2" t="s">
        <v>56</v>
      </c>
      <c r="N3645" s="2">
        <v>56</v>
      </c>
      <c r="O3645" s="2">
        <v>1318839.3999999999</v>
      </c>
      <c r="P3645" s="2">
        <v>23550.7</v>
      </c>
    </row>
    <row r="3646" spans="1:16" outlineLevel="1" x14ac:dyDescent="0.2">
      <c r="A3646" s="5"/>
      <c r="D3646" s="3" t="s">
        <v>733</v>
      </c>
      <c r="N3646" s="2">
        <f>SUBTOTAL(9,N3642:N3645)</f>
        <v>143</v>
      </c>
      <c r="O3646" s="2">
        <f>SUBTOTAL(9,O3642:O3645)</f>
        <v>2492334.5699999998</v>
      </c>
      <c r="P3646" s="2">
        <f>+O3646/N3646</f>
        <v>17428.913076923076</v>
      </c>
    </row>
    <row r="3647" spans="1:16" outlineLevel="2" x14ac:dyDescent="0.2">
      <c r="A3647" s="5">
        <v>46171</v>
      </c>
      <c r="B3647" s="2">
        <v>159736</v>
      </c>
      <c r="C3647" s="2">
        <v>12</v>
      </c>
      <c r="D3647" s="2" t="s">
        <v>226</v>
      </c>
      <c r="E3647" s="2" t="s">
        <v>530</v>
      </c>
      <c r="F3647" s="2" t="s">
        <v>289</v>
      </c>
      <c r="G3647" s="2" t="s">
        <v>22</v>
      </c>
      <c r="H3647" s="2" t="s">
        <v>23</v>
      </c>
      <c r="I3647" s="2" t="s">
        <v>23</v>
      </c>
      <c r="J3647" s="2">
        <v>2</v>
      </c>
      <c r="K3647" s="2" t="s">
        <v>48</v>
      </c>
      <c r="L3647" s="2">
        <v>801</v>
      </c>
      <c r="M3647" s="2" t="s">
        <v>56</v>
      </c>
      <c r="N3647" s="2">
        <v>24</v>
      </c>
      <c r="O3647" s="2">
        <v>443603.03</v>
      </c>
      <c r="P3647" s="2">
        <v>18483.46</v>
      </c>
    </row>
    <row r="3648" spans="1:16" outlineLevel="2" x14ac:dyDescent="0.2">
      <c r="A3648" s="5">
        <v>46171</v>
      </c>
      <c r="B3648" s="2">
        <v>159736</v>
      </c>
      <c r="C3648" s="2">
        <v>17</v>
      </c>
      <c r="D3648" s="2" t="s">
        <v>226</v>
      </c>
      <c r="E3648" s="2" t="s">
        <v>227</v>
      </c>
      <c r="F3648" s="2" t="s">
        <v>289</v>
      </c>
      <c r="G3648" s="2" t="s">
        <v>22</v>
      </c>
      <c r="H3648" s="2" t="s">
        <v>23</v>
      </c>
      <c r="I3648" s="2" t="s">
        <v>23</v>
      </c>
      <c r="J3648" s="2">
        <v>2</v>
      </c>
      <c r="K3648" s="2" t="s">
        <v>48</v>
      </c>
      <c r="L3648" s="2">
        <v>801</v>
      </c>
      <c r="M3648" s="2" t="s">
        <v>56</v>
      </c>
      <c r="N3648" s="2">
        <v>47</v>
      </c>
      <c r="O3648" s="2">
        <v>1268351.19</v>
      </c>
      <c r="P3648" s="2">
        <v>26986.2</v>
      </c>
    </row>
    <row r="3649" spans="1:16" outlineLevel="2" x14ac:dyDescent="0.2">
      <c r="A3649" s="5">
        <v>46171</v>
      </c>
      <c r="B3649" s="2">
        <v>159736</v>
      </c>
      <c r="C3649" s="2">
        <v>18</v>
      </c>
      <c r="D3649" s="2" t="s">
        <v>226</v>
      </c>
      <c r="E3649" s="2" t="s">
        <v>227</v>
      </c>
      <c r="F3649" s="2" t="s">
        <v>289</v>
      </c>
      <c r="G3649" s="2" t="s">
        <v>22</v>
      </c>
      <c r="H3649" s="2" t="s">
        <v>23</v>
      </c>
      <c r="I3649" s="2" t="s">
        <v>23</v>
      </c>
      <c r="J3649" s="2">
        <v>2</v>
      </c>
      <c r="K3649" s="2" t="s">
        <v>48</v>
      </c>
      <c r="L3649" s="2">
        <v>801</v>
      </c>
      <c r="M3649" s="2" t="s">
        <v>56</v>
      </c>
      <c r="N3649" s="2">
        <v>10</v>
      </c>
      <c r="O3649" s="2">
        <v>256476.05</v>
      </c>
      <c r="P3649" s="2">
        <v>25647.61</v>
      </c>
    </row>
    <row r="3650" spans="1:16" outlineLevel="2" x14ac:dyDescent="0.2">
      <c r="A3650" s="5">
        <v>46171</v>
      </c>
      <c r="B3650" s="2">
        <v>159736</v>
      </c>
      <c r="C3650" s="2">
        <v>19</v>
      </c>
      <c r="D3650" s="2" t="s">
        <v>226</v>
      </c>
      <c r="E3650" s="2" t="s">
        <v>568</v>
      </c>
      <c r="F3650" s="2" t="s">
        <v>289</v>
      </c>
      <c r="G3650" s="2" t="s">
        <v>22</v>
      </c>
      <c r="H3650" s="2" t="s">
        <v>23</v>
      </c>
      <c r="I3650" s="2" t="s">
        <v>23</v>
      </c>
      <c r="J3650" s="2">
        <v>2</v>
      </c>
      <c r="K3650" s="2" t="s">
        <v>48</v>
      </c>
      <c r="L3650" s="2">
        <v>801</v>
      </c>
      <c r="M3650" s="2" t="s">
        <v>56</v>
      </c>
      <c r="N3650" s="2">
        <v>11</v>
      </c>
      <c r="O3650" s="2">
        <v>345784.23</v>
      </c>
      <c r="P3650" s="2">
        <v>31434.93</v>
      </c>
    </row>
    <row r="3651" spans="1:16" outlineLevel="1" x14ac:dyDescent="0.2">
      <c r="A3651" s="5"/>
      <c r="D3651" s="3" t="s">
        <v>736</v>
      </c>
      <c r="N3651" s="2">
        <f>SUBTOTAL(9,N3647:N3650)</f>
        <v>92</v>
      </c>
      <c r="O3651" s="2">
        <f>SUBTOTAL(9,O3647:O3650)</f>
        <v>2314214.5</v>
      </c>
      <c r="P3651" s="2">
        <f>+O3651/N3651</f>
        <v>25154.505434782608</v>
      </c>
    </row>
    <row r="3652" spans="1:16" outlineLevel="2" x14ac:dyDescent="0.2">
      <c r="A3652" s="5">
        <v>46174</v>
      </c>
      <c r="B3652" s="2">
        <v>159806</v>
      </c>
      <c r="C3652" s="2">
        <v>1</v>
      </c>
      <c r="D3652" s="2" t="s">
        <v>26</v>
      </c>
      <c r="E3652" s="2" t="s">
        <v>569</v>
      </c>
      <c r="F3652" s="2" t="s">
        <v>52</v>
      </c>
      <c r="G3652" s="2" t="s">
        <v>22</v>
      </c>
      <c r="H3652" s="2" t="s">
        <v>23</v>
      </c>
      <c r="I3652" s="2" t="s">
        <v>23</v>
      </c>
      <c r="J3652" s="2">
        <v>5</v>
      </c>
      <c r="K3652" s="2" t="s">
        <v>27</v>
      </c>
      <c r="L3652" s="2">
        <v>3048</v>
      </c>
      <c r="M3652" s="2" t="s">
        <v>53</v>
      </c>
      <c r="N3652" s="2">
        <v>150</v>
      </c>
      <c r="O3652" s="2">
        <v>593144.31000000006</v>
      </c>
      <c r="P3652" s="2">
        <v>3954.3</v>
      </c>
    </row>
    <row r="3653" spans="1:16" outlineLevel="1" x14ac:dyDescent="0.2">
      <c r="A3653" s="5"/>
      <c r="D3653" s="3" t="s">
        <v>711</v>
      </c>
      <c r="N3653" s="2">
        <f>SUBTOTAL(9,N3652:N3652)</f>
        <v>150</v>
      </c>
      <c r="O3653" s="2">
        <f>SUBTOTAL(9,O3652:O3652)</f>
        <v>593144.31000000006</v>
      </c>
      <c r="P3653" s="2">
        <f>+O3653/N3653</f>
        <v>3954.2954000000004</v>
      </c>
    </row>
    <row r="3654" spans="1:16" outlineLevel="2" x14ac:dyDescent="0.2">
      <c r="A3654" s="5">
        <v>46174</v>
      </c>
      <c r="B3654" s="2">
        <v>159807</v>
      </c>
      <c r="C3654" s="2">
        <v>1</v>
      </c>
      <c r="D3654" s="2" t="s">
        <v>474</v>
      </c>
      <c r="E3654" s="2" t="s">
        <v>475</v>
      </c>
      <c r="F3654" s="2" t="s">
        <v>47</v>
      </c>
      <c r="G3654" s="2" t="s">
        <v>22</v>
      </c>
      <c r="H3654" s="2" t="s">
        <v>23</v>
      </c>
      <c r="I3654" s="2" t="s">
        <v>23</v>
      </c>
      <c r="J3654" s="2">
        <v>41</v>
      </c>
      <c r="K3654" s="2" t="s">
        <v>129</v>
      </c>
      <c r="L3654" s="2">
        <v>2338</v>
      </c>
      <c r="M3654" s="2" t="s">
        <v>417</v>
      </c>
      <c r="N3654" s="2">
        <v>320</v>
      </c>
      <c r="O3654" s="2">
        <v>543568.66</v>
      </c>
      <c r="P3654" s="2">
        <v>1698.65</v>
      </c>
    </row>
    <row r="3655" spans="1:16" outlineLevel="1" x14ac:dyDescent="0.2">
      <c r="A3655" s="5"/>
      <c r="D3655" s="3" t="s">
        <v>780</v>
      </c>
      <c r="N3655" s="2">
        <f>SUBTOTAL(9,N3654:N3654)</f>
        <v>320</v>
      </c>
      <c r="O3655" s="2">
        <f>SUBTOTAL(9,O3654:O3654)</f>
        <v>543568.66</v>
      </c>
      <c r="P3655" s="2">
        <f>+O3655/N3655</f>
        <v>1698.6520625000001</v>
      </c>
    </row>
    <row r="3656" spans="1:16" outlineLevel="2" x14ac:dyDescent="0.2">
      <c r="A3656" s="5">
        <v>46174</v>
      </c>
      <c r="B3656" s="2">
        <v>159807</v>
      </c>
      <c r="C3656" s="2">
        <v>2</v>
      </c>
      <c r="D3656" s="2" t="s">
        <v>470</v>
      </c>
      <c r="E3656" s="2" t="s">
        <v>23</v>
      </c>
      <c r="F3656" s="2" t="s">
        <v>47</v>
      </c>
      <c r="G3656" s="2" t="s">
        <v>22</v>
      </c>
      <c r="H3656" s="2" t="s">
        <v>23</v>
      </c>
      <c r="I3656" s="2" t="s">
        <v>23</v>
      </c>
      <c r="J3656" s="2">
        <v>86</v>
      </c>
      <c r="K3656" s="2" t="s">
        <v>73</v>
      </c>
      <c r="L3656" s="2">
        <v>2338</v>
      </c>
      <c r="M3656" s="2" t="s">
        <v>417</v>
      </c>
      <c r="N3656" s="2">
        <v>15</v>
      </c>
      <c r="O3656" s="2">
        <v>578869.31000000006</v>
      </c>
      <c r="P3656" s="2">
        <v>38591.29</v>
      </c>
    </row>
    <row r="3657" spans="1:16" outlineLevel="1" x14ac:dyDescent="0.2">
      <c r="A3657" s="5"/>
      <c r="D3657" s="3" t="s">
        <v>779</v>
      </c>
      <c r="N3657" s="2">
        <f>SUBTOTAL(9,N3656:N3656)</f>
        <v>15</v>
      </c>
      <c r="O3657" s="2">
        <f>SUBTOTAL(9,O3656:O3656)</f>
        <v>578869.31000000006</v>
      </c>
      <c r="P3657" s="2">
        <f>+O3657/N3657</f>
        <v>38591.287333333334</v>
      </c>
    </row>
    <row r="3658" spans="1:16" outlineLevel="2" x14ac:dyDescent="0.2">
      <c r="A3658" s="5">
        <v>46174</v>
      </c>
      <c r="B3658" s="2">
        <v>159808</v>
      </c>
      <c r="C3658" s="2">
        <v>1</v>
      </c>
      <c r="D3658" s="2" t="s">
        <v>404</v>
      </c>
      <c r="E3658" s="2" t="s">
        <v>23</v>
      </c>
      <c r="F3658" s="2" t="s">
        <v>405</v>
      </c>
      <c r="G3658" s="2" t="s">
        <v>22</v>
      </c>
      <c r="H3658" s="2" t="s">
        <v>23</v>
      </c>
      <c r="I3658" s="2" t="s">
        <v>23</v>
      </c>
      <c r="J3658" s="2">
        <v>1</v>
      </c>
      <c r="K3658" s="2" t="s">
        <v>24</v>
      </c>
      <c r="L3658" s="2">
        <v>1795</v>
      </c>
      <c r="M3658" s="2" t="s">
        <v>506</v>
      </c>
      <c r="N3658" s="2">
        <v>33</v>
      </c>
      <c r="O3658" s="2">
        <v>1829841.94</v>
      </c>
      <c r="P3658" s="2">
        <v>55449.760000000002</v>
      </c>
    </row>
    <row r="3659" spans="1:16" outlineLevel="1" x14ac:dyDescent="0.2">
      <c r="A3659" s="5"/>
      <c r="D3659" s="3" t="s">
        <v>769</v>
      </c>
      <c r="N3659" s="2">
        <f>SUBTOTAL(9,N3658:N3658)</f>
        <v>33</v>
      </c>
      <c r="O3659" s="2">
        <f>SUBTOTAL(9,O3658:O3658)</f>
        <v>1829841.94</v>
      </c>
      <c r="P3659" s="2">
        <f>+O3659/N3659</f>
        <v>55449.755757575753</v>
      </c>
    </row>
    <row r="3660" spans="1:16" outlineLevel="2" x14ac:dyDescent="0.2">
      <c r="A3660" s="5">
        <v>46174</v>
      </c>
      <c r="B3660" s="2">
        <v>159809</v>
      </c>
      <c r="C3660" s="2">
        <v>1</v>
      </c>
      <c r="D3660" s="2" t="s">
        <v>207</v>
      </c>
      <c r="E3660" s="2" t="s">
        <v>23</v>
      </c>
      <c r="F3660" s="2" t="s">
        <v>47</v>
      </c>
      <c r="G3660" s="2" t="s">
        <v>22</v>
      </c>
      <c r="H3660" s="2" t="s">
        <v>208</v>
      </c>
      <c r="I3660" s="2" t="s">
        <v>23</v>
      </c>
      <c r="J3660" s="2">
        <v>41</v>
      </c>
      <c r="K3660" s="2" t="s">
        <v>129</v>
      </c>
      <c r="L3660" s="2">
        <v>25213</v>
      </c>
      <c r="M3660" s="2" t="s">
        <v>130</v>
      </c>
      <c r="N3660" s="2">
        <v>50</v>
      </c>
      <c r="O3660" s="2">
        <v>169720.64</v>
      </c>
      <c r="P3660" s="2">
        <v>3394.41</v>
      </c>
    </row>
    <row r="3661" spans="1:16" outlineLevel="2" x14ac:dyDescent="0.2">
      <c r="A3661" s="5">
        <v>46174</v>
      </c>
      <c r="B3661" s="2">
        <v>159809</v>
      </c>
      <c r="C3661" s="2">
        <v>2</v>
      </c>
      <c r="D3661" s="2" t="s">
        <v>207</v>
      </c>
      <c r="E3661" s="2" t="s">
        <v>23</v>
      </c>
      <c r="F3661" s="2" t="s">
        <v>47</v>
      </c>
      <c r="G3661" s="2" t="s">
        <v>22</v>
      </c>
      <c r="H3661" s="2" t="s">
        <v>209</v>
      </c>
      <c r="I3661" s="2" t="s">
        <v>23</v>
      </c>
      <c r="J3661" s="2">
        <v>41</v>
      </c>
      <c r="K3661" s="2" t="s">
        <v>129</v>
      </c>
      <c r="L3661" s="2">
        <v>25213</v>
      </c>
      <c r="M3661" s="2" t="s">
        <v>130</v>
      </c>
      <c r="N3661" s="2">
        <v>30</v>
      </c>
      <c r="O3661" s="2">
        <v>67644.39</v>
      </c>
      <c r="P3661" s="2">
        <v>2254.81</v>
      </c>
    </row>
    <row r="3662" spans="1:16" outlineLevel="1" x14ac:dyDescent="0.2">
      <c r="A3662" s="5"/>
      <c r="D3662" s="3" t="s">
        <v>699</v>
      </c>
      <c r="N3662" s="2">
        <f>SUBTOTAL(9,N3660:N3661)</f>
        <v>80</v>
      </c>
      <c r="O3662" s="2">
        <f>SUBTOTAL(9,O3660:O3661)</f>
        <v>237365.03000000003</v>
      </c>
      <c r="P3662" s="2">
        <f>+O3662/N3662</f>
        <v>2967.0628750000005</v>
      </c>
    </row>
    <row r="3663" spans="1:16" outlineLevel="2" x14ac:dyDescent="0.2">
      <c r="A3663" s="5">
        <v>46174</v>
      </c>
      <c r="B3663" s="2">
        <v>159809</v>
      </c>
      <c r="C3663" s="2">
        <v>3</v>
      </c>
      <c r="D3663" s="2" t="s">
        <v>128</v>
      </c>
      <c r="E3663" s="2" t="s">
        <v>23</v>
      </c>
      <c r="F3663" s="2" t="s">
        <v>47</v>
      </c>
      <c r="G3663" s="2" t="s">
        <v>22</v>
      </c>
      <c r="H3663" s="2" t="s">
        <v>23</v>
      </c>
      <c r="I3663" s="2" t="s">
        <v>23</v>
      </c>
      <c r="J3663" s="2">
        <v>41</v>
      </c>
      <c r="K3663" s="2" t="s">
        <v>129</v>
      </c>
      <c r="L3663" s="2">
        <v>25213</v>
      </c>
      <c r="M3663" s="2" t="s">
        <v>130</v>
      </c>
      <c r="N3663" s="2">
        <v>25</v>
      </c>
      <c r="O3663" s="2">
        <v>95128.25</v>
      </c>
      <c r="P3663" s="2">
        <v>3805.13</v>
      </c>
    </row>
    <row r="3664" spans="1:16" outlineLevel="2" x14ac:dyDescent="0.2">
      <c r="A3664" s="5">
        <v>46174</v>
      </c>
      <c r="B3664" s="2">
        <v>159809</v>
      </c>
      <c r="C3664" s="2">
        <v>4</v>
      </c>
      <c r="D3664" s="2" t="s">
        <v>128</v>
      </c>
      <c r="E3664" s="2" t="s">
        <v>294</v>
      </c>
      <c r="F3664" s="2" t="s">
        <v>47</v>
      </c>
      <c r="G3664" s="2" t="s">
        <v>22</v>
      </c>
      <c r="H3664" s="2" t="s">
        <v>23</v>
      </c>
      <c r="I3664" s="2" t="s">
        <v>23</v>
      </c>
      <c r="J3664" s="2">
        <v>41</v>
      </c>
      <c r="K3664" s="2" t="s">
        <v>129</v>
      </c>
      <c r="L3664" s="2">
        <v>25213</v>
      </c>
      <c r="M3664" s="2" t="s">
        <v>130</v>
      </c>
      <c r="N3664" s="2">
        <v>25</v>
      </c>
      <c r="O3664" s="2">
        <v>87775.97</v>
      </c>
      <c r="P3664" s="2">
        <v>3511.04</v>
      </c>
    </row>
    <row r="3665" spans="1:16" outlineLevel="1" x14ac:dyDescent="0.2">
      <c r="A3665" s="5"/>
      <c r="D3665" s="3" t="s">
        <v>732</v>
      </c>
      <c r="N3665" s="2">
        <f>SUBTOTAL(9,N3663:N3664)</f>
        <v>50</v>
      </c>
      <c r="O3665" s="2">
        <f>SUBTOTAL(9,O3663:O3664)</f>
        <v>182904.22</v>
      </c>
      <c r="P3665" s="2">
        <f>+O3665/N3665</f>
        <v>3658.0844000000002</v>
      </c>
    </row>
    <row r="3666" spans="1:16" outlineLevel="2" x14ac:dyDescent="0.2">
      <c r="A3666" s="5">
        <v>46174</v>
      </c>
      <c r="B3666" s="2">
        <v>159809</v>
      </c>
      <c r="C3666" s="2">
        <v>5</v>
      </c>
      <c r="D3666" s="2" t="s">
        <v>207</v>
      </c>
      <c r="E3666" s="2" t="s">
        <v>23</v>
      </c>
      <c r="F3666" s="2" t="s">
        <v>47</v>
      </c>
      <c r="G3666" s="2" t="s">
        <v>210</v>
      </c>
      <c r="H3666" s="2" t="s">
        <v>23</v>
      </c>
      <c r="I3666" s="2" t="s">
        <v>23</v>
      </c>
      <c r="J3666" s="2">
        <v>1</v>
      </c>
      <c r="K3666" s="2" t="s">
        <v>24</v>
      </c>
      <c r="L3666" s="2">
        <v>25213</v>
      </c>
      <c r="M3666" s="2" t="s">
        <v>130</v>
      </c>
      <c r="N3666" s="2">
        <v>2</v>
      </c>
      <c r="O3666" s="2">
        <v>148746.23000000001</v>
      </c>
      <c r="P3666" s="2">
        <v>74373.119999999995</v>
      </c>
    </row>
    <row r="3667" spans="1:16" outlineLevel="1" x14ac:dyDescent="0.2">
      <c r="A3667" s="5"/>
      <c r="D3667" s="3" t="s">
        <v>699</v>
      </c>
      <c r="N3667" s="2">
        <f>SUBTOTAL(9,N3666:N3666)</f>
        <v>2</v>
      </c>
      <c r="O3667" s="2">
        <f>SUBTOTAL(9,O3666:O3666)</f>
        <v>148746.23000000001</v>
      </c>
      <c r="P3667" s="2">
        <f>+O3667/N3667</f>
        <v>74373.115000000005</v>
      </c>
    </row>
    <row r="3668" spans="1:16" outlineLevel="2" x14ac:dyDescent="0.2">
      <c r="A3668" s="5">
        <v>46174</v>
      </c>
      <c r="B3668" s="2">
        <v>159809</v>
      </c>
      <c r="C3668" s="2">
        <v>6</v>
      </c>
      <c r="D3668" s="2" t="s">
        <v>128</v>
      </c>
      <c r="E3668" s="2" t="s">
        <v>23</v>
      </c>
      <c r="F3668" s="2" t="s">
        <v>47</v>
      </c>
      <c r="G3668" s="2" t="s">
        <v>22</v>
      </c>
      <c r="H3668" s="2" t="s">
        <v>23</v>
      </c>
      <c r="I3668" s="2" t="s">
        <v>23</v>
      </c>
      <c r="J3668" s="2">
        <v>1</v>
      </c>
      <c r="K3668" s="2" t="s">
        <v>24</v>
      </c>
      <c r="L3668" s="2">
        <v>25213</v>
      </c>
      <c r="M3668" s="2" t="s">
        <v>130</v>
      </c>
      <c r="N3668" s="2">
        <v>5</v>
      </c>
      <c r="O3668" s="2">
        <v>450274.41</v>
      </c>
      <c r="P3668" s="2">
        <v>90054.88</v>
      </c>
    </row>
    <row r="3669" spans="1:16" outlineLevel="1" x14ac:dyDescent="0.2">
      <c r="A3669" s="5"/>
      <c r="D3669" s="3" t="s">
        <v>732</v>
      </c>
      <c r="N3669" s="2">
        <f>SUBTOTAL(9,N3668:N3668)</f>
        <v>5</v>
      </c>
      <c r="O3669" s="2">
        <f>SUBTOTAL(9,O3668:O3668)</f>
        <v>450274.41</v>
      </c>
      <c r="P3669" s="2">
        <f>+O3669/N3669</f>
        <v>90054.881999999998</v>
      </c>
    </row>
    <row r="3670" spans="1:16" outlineLevel="2" x14ac:dyDescent="0.2">
      <c r="A3670" s="5">
        <v>46199</v>
      </c>
      <c r="B3670" s="2">
        <v>159812</v>
      </c>
      <c r="C3670" s="2">
        <v>315</v>
      </c>
      <c r="D3670" s="2" t="s">
        <v>26</v>
      </c>
      <c r="E3670" s="2" t="s">
        <v>51</v>
      </c>
      <c r="F3670" s="2" t="s">
        <v>23</v>
      </c>
      <c r="G3670" s="2" t="s">
        <v>22</v>
      </c>
      <c r="H3670" s="2" t="s">
        <v>23</v>
      </c>
      <c r="I3670" s="2" t="s">
        <v>23</v>
      </c>
      <c r="J3670" s="2">
        <v>5</v>
      </c>
      <c r="K3670" s="2" t="s">
        <v>27</v>
      </c>
      <c r="L3670" s="2">
        <v>1974</v>
      </c>
      <c r="M3670" s="2" t="s">
        <v>95</v>
      </c>
      <c r="N3670" s="2">
        <v>2</v>
      </c>
      <c r="O3670" s="2">
        <v>8400.9599999999991</v>
      </c>
      <c r="P3670" s="2">
        <v>4200.4799999999996</v>
      </c>
    </row>
    <row r="3671" spans="1:16" outlineLevel="1" x14ac:dyDescent="0.2">
      <c r="A3671" s="5"/>
      <c r="D3671" s="3" t="s">
        <v>711</v>
      </c>
      <c r="N3671" s="2">
        <f>SUBTOTAL(9,N3670:N3670)</f>
        <v>2</v>
      </c>
      <c r="O3671" s="2">
        <f>SUBTOTAL(9,O3670:O3670)</f>
        <v>8400.9599999999991</v>
      </c>
      <c r="P3671" s="2">
        <f>+O3671/N3671</f>
        <v>4200.4799999999996</v>
      </c>
    </row>
    <row r="3672" spans="1:16" outlineLevel="2" x14ac:dyDescent="0.2">
      <c r="A3672" s="5">
        <v>46174</v>
      </c>
      <c r="B3672" s="2">
        <v>159817</v>
      </c>
      <c r="C3672" s="2">
        <v>501</v>
      </c>
      <c r="D3672" s="2" t="s">
        <v>54</v>
      </c>
      <c r="E3672" s="2" t="s">
        <v>151</v>
      </c>
      <c r="F3672" s="2" t="s">
        <v>47</v>
      </c>
      <c r="G3672" s="2" t="s">
        <v>22</v>
      </c>
      <c r="H3672" s="2" t="s">
        <v>23</v>
      </c>
      <c r="I3672" s="2" t="s">
        <v>23</v>
      </c>
      <c r="J3672" s="2">
        <v>2</v>
      </c>
      <c r="K3672" s="2" t="s">
        <v>48</v>
      </c>
      <c r="L3672" s="2">
        <v>2316</v>
      </c>
      <c r="M3672" s="2" t="s">
        <v>206</v>
      </c>
      <c r="N3672" s="2">
        <v>1</v>
      </c>
      <c r="O3672" s="2">
        <v>5298.63</v>
      </c>
      <c r="P3672" s="2">
        <v>5298.63</v>
      </c>
    </row>
    <row r="3673" spans="1:16" outlineLevel="1" x14ac:dyDescent="0.2">
      <c r="A3673" s="5"/>
      <c r="D3673" s="3" t="s">
        <v>719</v>
      </c>
      <c r="N3673" s="2">
        <f>SUBTOTAL(9,N3672:N3672)</f>
        <v>1</v>
      </c>
      <c r="O3673" s="2">
        <f>SUBTOTAL(9,O3672:O3672)</f>
        <v>5298.63</v>
      </c>
      <c r="P3673" s="2">
        <f>+O3673/N3673</f>
        <v>5298.63</v>
      </c>
    </row>
    <row r="3674" spans="1:16" outlineLevel="2" x14ac:dyDescent="0.2">
      <c r="A3674" s="5">
        <v>46185</v>
      </c>
      <c r="B3674" s="2">
        <v>159832</v>
      </c>
      <c r="C3674" s="2">
        <v>1</v>
      </c>
      <c r="D3674" s="2" t="s">
        <v>140</v>
      </c>
      <c r="E3674" s="2" t="s">
        <v>23</v>
      </c>
      <c r="F3674" s="2" t="s">
        <v>23</v>
      </c>
      <c r="G3674" s="2" t="s">
        <v>22</v>
      </c>
      <c r="H3674" s="2" t="s">
        <v>23</v>
      </c>
      <c r="I3674" s="2" t="s">
        <v>23</v>
      </c>
      <c r="J3674" s="2">
        <v>1</v>
      </c>
      <c r="K3674" s="2" t="s">
        <v>24</v>
      </c>
      <c r="L3674" s="2">
        <v>1833</v>
      </c>
      <c r="M3674" s="2" t="s">
        <v>142</v>
      </c>
      <c r="N3674" s="2">
        <v>2</v>
      </c>
      <c r="O3674" s="2">
        <v>25532.28</v>
      </c>
      <c r="P3674" s="2">
        <v>12766.14</v>
      </c>
    </row>
    <row r="3675" spans="1:16" outlineLevel="1" x14ac:dyDescent="0.2">
      <c r="A3675" s="5"/>
      <c r="D3675" s="3" t="s">
        <v>696</v>
      </c>
      <c r="N3675" s="2">
        <f>SUBTOTAL(9,N3674:N3674)</f>
        <v>2</v>
      </c>
      <c r="O3675" s="2">
        <f>SUBTOTAL(9,O3674:O3674)</f>
        <v>25532.28</v>
      </c>
      <c r="P3675" s="2">
        <f>+O3675/N3675</f>
        <v>12766.14</v>
      </c>
    </row>
    <row r="3676" spans="1:16" outlineLevel="2" x14ac:dyDescent="0.2">
      <c r="A3676" s="5">
        <v>46178</v>
      </c>
      <c r="B3676" s="2">
        <v>159835</v>
      </c>
      <c r="C3676" s="2">
        <v>1</v>
      </c>
      <c r="D3676" s="2" t="s">
        <v>67</v>
      </c>
      <c r="E3676" s="2" t="s">
        <v>409</v>
      </c>
      <c r="F3676" s="2" t="s">
        <v>23</v>
      </c>
      <c r="G3676" s="2" t="s">
        <v>22</v>
      </c>
      <c r="H3676" s="2" t="s">
        <v>23</v>
      </c>
      <c r="I3676" s="2" t="s">
        <v>23</v>
      </c>
      <c r="J3676" s="2">
        <v>2</v>
      </c>
      <c r="K3676" s="2" t="s">
        <v>48</v>
      </c>
      <c r="L3676" s="2">
        <v>25054</v>
      </c>
      <c r="M3676" s="2" t="s">
        <v>351</v>
      </c>
      <c r="N3676" s="2">
        <v>1</v>
      </c>
      <c r="O3676" s="2">
        <v>4365.1899999999996</v>
      </c>
      <c r="P3676" s="2">
        <v>4365.1899999999996</v>
      </c>
    </row>
    <row r="3677" spans="1:16" outlineLevel="1" x14ac:dyDescent="0.2">
      <c r="A3677" s="5"/>
      <c r="D3677" s="3" t="s">
        <v>720</v>
      </c>
      <c r="N3677" s="2">
        <f>SUBTOTAL(9,N3676:N3676)</f>
        <v>1</v>
      </c>
      <c r="O3677" s="2">
        <f>SUBTOTAL(9,O3676:O3676)</f>
        <v>4365.1899999999996</v>
      </c>
      <c r="P3677" s="2">
        <f>+O3677/N3677</f>
        <v>4365.1899999999996</v>
      </c>
    </row>
    <row r="3678" spans="1:16" outlineLevel="2" x14ac:dyDescent="0.2">
      <c r="A3678" s="5">
        <v>46176</v>
      </c>
      <c r="B3678" s="2">
        <v>159836</v>
      </c>
      <c r="C3678" s="2">
        <v>1</v>
      </c>
      <c r="D3678" s="2" t="s">
        <v>404</v>
      </c>
      <c r="E3678" s="2" t="s">
        <v>23</v>
      </c>
      <c r="F3678" s="2" t="s">
        <v>405</v>
      </c>
      <c r="G3678" s="2" t="s">
        <v>22</v>
      </c>
      <c r="H3678" s="2" t="s">
        <v>23</v>
      </c>
      <c r="I3678" s="2" t="s">
        <v>23</v>
      </c>
      <c r="J3678" s="2">
        <v>1</v>
      </c>
      <c r="K3678" s="2" t="s">
        <v>24</v>
      </c>
      <c r="L3678" s="2">
        <v>1795</v>
      </c>
      <c r="M3678" s="2" t="s">
        <v>506</v>
      </c>
      <c r="N3678" s="2">
        <v>34</v>
      </c>
      <c r="O3678" s="2">
        <v>2040497.3</v>
      </c>
      <c r="P3678" s="2">
        <v>60014.63</v>
      </c>
    </row>
    <row r="3679" spans="1:16" outlineLevel="1" x14ac:dyDescent="0.2">
      <c r="A3679" s="5"/>
      <c r="D3679" s="3" t="s">
        <v>769</v>
      </c>
      <c r="N3679" s="2">
        <f>SUBTOTAL(9,N3678:N3678)</f>
        <v>34</v>
      </c>
      <c r="O3679" s="2">
        <f>SUBTOTAL(9,O3678:O3678)</f>
        <v>2040497.3</v>
      </c>
      <c r="P3679" s="2">
        <f>+O3679/N3679</f>
        <v>60014.626470588235</v>
      </c>
    </row>
    <row r="3680" spans="1:16" outlineLevel="2" x14ac:dyDescent="0.2">
      <c r="A3680" s="5">
        <v>46176</v>
      </c>
      <c r="B3680" s="2">
        <v>159837</v>
      </c>
      <c r="C3680" s="2">
        <v>1</v>
      </c>
      <c r="D3680" s="2" t="s">
        <v>207</v>
      </c>
      <c r="E3680" s="2" t="s">
        <v>23</v>
      </c>
      <c r="F3680" s="2" t="s">
        <v>47</v>
      </c>
      <c r="G3680" s="2" t="s">
        <v>210</v>
      </c>
      <c r="H3680" s="2" t="s">
        <v>23</v>
      </c>
      <c r="I3680" s="2" t="s">
        <v>23</v>
      </c>
      <c r="J3680" s="2">
        <v>1</v>
      </c>
      <c r="K3680" s="2" t="s">
        <v>24</v>
      </c>
      <c r="L3680" s="2">
        <v>25213</v>
      </c>
      <c r="M3680" s="2" t="s">
        <v>130</v>
      </c>
      <c r="N3680" s="2">
        <v>2</v>
      </c>
      <c r="O3680" s="2">
        <v>130077.46</v>
      </c>
      <c r="P3680" s="2">
        <v>65038.73</v>
      </c>
    </row>
    <row r="3681" spans="1:16" outlineLevel="1" x14ac:dyDescent="0.2">
      <c r="A3681" s="5"/>
      <c r="D3681" s="3" t="s">
        <v>699</v>
      </c>
      <c r="N3681" s="2">
        <f>SUBTOTAL(9,N3680:N3680)</f>
        <v>2</v>
      </c>
      <c r="O3681" s="2">
        <f>SUBTOTAL(9,O3680:O3680)</f>
        <v>130077.46</v>
      </c>
      <c r="P3681" s="2">
        <f>+O3681/N3681</f>
        <v>65038.73</v>
      </c>
    </row>
    <row r="3682" spans="1:16" outlineLevel="2" x14ac:dyDescent="0.2">
      <c r="A3682" s="5">
        <v>46176</v>
      </c>
      <c r="B3682" s="2">
        <v>159837</v>
      </c>
      <c r="C3682" s="2">
        <v>2</v>
      </c>
      <c r="D3682" s="2" t="s">
        <v>128</v>
      </c>
      <c r="E3682" s="2" t="s">
        <v>23</v>
      </c>
      <c r="F3682" s="2" t="s">
        <v>47</v>
      </c>
      <c r="G3682" s="2" t="s">
        <v>22</v>
      </c>
      <c r="H3682" s="2" t="s">
        <v>23</v>
      </c>
      <c r="I3682" s="2" t="s">
        <v>23</v>
      </c>
      <c r="J3682" s="2">
        <v>41</v>
      </c>
      <c r="K3682" s="2" t="s">
        <v>129</v>
      </c>
      <c r="L3682" s="2">
        <v>25213</v>
      </c>
      <c r="M3682" s="2" t="s">
        <v>130</v>
      </c>
      <c r="N3682" s="2">
        <v>75</v>
      </c>
      <c r="O3682" s="2">
        <v>276703.76</v>
      </c>
      <c r="P3682" s="2">
        <v>3689.38</v>
      </c>
    </row>
    <row r="3683" spans="1:16" outlineLevel="1" x14ac:dyDescent="0.2">
      <c r="A3683" s="5"/>
      <c r="D3683" s="3" t="s">
        <v>732</v>
      </c>
      <c r="N3683" s="2">
        <f>SUBTOTAL(9,N3682:N3682)</f>
        <v>75</v>
      </c>
      <c r="O3683" s="2">
        <f>SUBTOTAL(9,O3682:O3682)</f>
        <v>276703.76</v>
      </c>
      <c r="P3683" s="2">
        <f>+O3683/N3683</f>
        <v>3689.3834666666667</v>
      </c>
    </row>
    <row r="3684" spans="1:16" outlineLevel="2" x14ac:dyDescent="0.2">
      <c r="A3684" s="5">
        <v>46176</v>
      </c>
      <c r="B3684" s="2">
        <v>159838</v>
      </c>
      <c r="C3684" s="2">
        <v>1</v>
      </c>
      <c r="D3684" s="2" t="s">
        <v>474</v>
      </c>
      <c r="E3684" s="2" t="s">
        <v>475</v>
      </c>
      <c r="F3684" s="2" t="s">
        <v>47</v>
      </c>
      <c r="G3684" s="2" t="s">
        <v>22</v>
      </c>
      <c r="H3684" s="2" t="s">
        <v>23</v>
      </c>
      <c r="I3684" s="2" t="s">
        <v>23</v>
      </c>
      <c r="J3684" s="2">
        <v>41</v>
      </c>
      <c r="K3684" s="2" t="s">
        <v>129</v>
      </c>
      <c r="L3684" s="2">
        <v>2338</v>
      </c>
      <c r="M3684" s="2" t="s">
        <v>417</v>
      </c>
      <c r="N3684" s="2">
        <v>96</v>
      </c>
      <c r="O3684" s="2">
        <v>159590.48000000001</v>
      </c>
      <c r="P3684" s="2">
        <v>1662.4</v>
      </c>
    </row>
    <row r="3685" spans="1:16" outlineLevel="1" x14ac:dyDescent="0.2">
      <c r="A3685" s="5"/>
      <c r="D3685" s="3" t="s">
        <v>780</v>
      </c>
      <c r="N3685" s="2">
        <f>SUBTOTAL(9,N3684:N3684)</f>
        <v>96</v>
      </c>
      <c r="O3685" s="2">
        <f>SUBTOTAL(9,O3684:O3684)</f>
        <v>159590.48000000001</v>
      </c>
      <c r="P3685" s="2">
        <f>+O3685/N3685</f>
        <v>1662.4008333333334</v>
      </c>
    </row>
    <row r="3686" spans="1:16" outlineLevel="2" x14ac:dyDescent="0.2">
      <c r="A3686" s="5">
        <v>46176</v>
      </c>
      <c r="B3686" s="2">
        <v>159838</v>
      </c>
      <c r="C3686" s="2">
        <v>2</v>
      </c>
      <c r="D3686" s="2" t="s">
        <v>470</v>
      </c>
      <c r="E3686" s="2" t="s">
        <v>23</v>
      </c>
      <c r="F3686" s="2" t="s">
        <v>47</v>
      </c>
      <c r="G3686" s="2" t="s">
        <v>22</v>
      </c>
      <c r="H3686" s="2" t="s">
        <v>23</v>
      </c>
      <c r="I3686" s="2" t="s">
        <v>23</v>
      </c>
      <c r="J3686" s="2">
        <v>86</v>
      </c>
      <c r="K3686" s="2" t="s">
        <v>73</v>
      </c>
      <c r="L3686" s="2">
        <v>2338</v>
      </c>
      <c r="M3686" s="2" t="s">
        <v>417</v>
      </c>
      <c r="N3686" s="2">
        <v>2</v>
      </c>
      <c r="O3686" s="2">
        <v>74373.119999999995</v>
      </c>
      <c r="P3686" s="2">
        <v>37186.559999999998</v>
      </c>
    </row>
    <row r="3687" spans="1:16" outlineLevel="2" x14ac:dyDescent="0.2">
      <c r="A3687" s="5">
        <v>46176</v>
      </c>
      <c r="B3687" s="2">
        <v>159838</v>
      </c>
      <c r="C3687" s="2">
        <v>3</v>
      </c>
      <c r="D3687" s="2" t="s">
        <v>470</v>
      </c>
      <c r="E3687" s="2" t="s">
        <v>23</v>
      </c>
      <c r="F3687" s="2" t="s">
        <v>47</v>
      </c>
      <c r="G3687" s="2" t="s">
        <v>22</v>
      </c>
      <c r="H3687" s="2" t="s">
        <v>23</v>
      </c>
      <c r="I3687" s="2" t="s">
        <v>23</v>
      </c>
      <c r="J3687" s="2">
        <v>41</v>
      </c>
      <c r="K3687" s="2" t="s">
        <v>129</v>
      </c>
      <c r="L3687" s="2">
        <v>2338</v>
      </c>
      <c r="M3687" s="2" t="s">
        <v>417</v>
      </c>
      <c r="N3687" s="2">
        <v>81</v>
      </c>
      <c r="O3687" s="2">
        <v>105816.62</v>
      </c>
      <c r="P3687" s="2">
        <v>1306.3800000000001</v>
      </c>
    </row>
    <row r="3688" spans="1:16" outlineLevel="2" x14ac:dyDescent="0.2">
      <c r="A3688" s="5">
        <v>46176</v>
      </c>
      <c r="B3688" s="2">
        <v>159838</v>
      </c>
      <c r="C3688" s="2">
        <v>200</v>
      </c>
      <c r="D3688" s="2" t="s">
        <v>470</v>
      </c>
      <c r="E3688" s="2" t="s">
        <v>23</v>
      </c>
      <c r="F3688" s="2" t="s">
        <v>47</v>
      </c>
      <c r="G3688" s="2" t="s">
        <v>22</v>
      </c>
      <c r="H3688" s="2" t="s">
        <v>23</v>
      </c>
      <c r="I3688" s="2" t="s">
        <v>23</v>
      </c>
      <c r="J3688" s="2">
        <v>86</v>
      </c>
      <c r="K3688" s="2" t="s">
        <v>73</v>
      </c>
      <c r="L3688" s="2">
        <v>2338</v>
      </c>
      <c r="M3688" s="2" t="s">
        <v>417</v>
      </c>
      <c r="N3688" s="2">
        <v>1</v>
      </c>
      <c r="O3688" s="2">
        <v>35168.68</v>
      </c>
      <c r="P3688" s="2">
        <v>35168.68</v>
      </c>
    </row>
    <row r="3689" spans="1:16" outlineLevel="1" x14ac:dyDescent="0.2">
      <c r="A3689" s="5"/>
      <c r="D3689" s="3" t="s">
        <v>779</v>
      </c>
      <c r="N3689" s="2">
        <f>SUBTOTAL(9,N3686:N3688)</f>
        <v>84</v>
      </c>
      <c r="O3689" s="2">
        <f>SUBTOTAL(9,O3686:O3688)</f>
        <v>215358.41999999998</v>
      </c>
      <c r="P3689" s="2">
        <f>+O3689/N3689</f>
        <v>2563.7907142857139</v>
      </c>
    </row>
    <row r="3690" spans="1:16" outlineLevel="2" x14ac:dyDescent="0.2">
      <c r="A3690" s="5">
        <v>46178</v>
      </c>
      <c r="B3690" s="2">
        <v>159839</v>
      </c>
      <c r="C3690" s="2">
        <v>315</v>
      </c>
      <c r="D3690" s="2" t="s">
        <v>54</v>
      </c>
      <c r="E3690" s="2" t="s">
        <v>151</v>
      </c>
      <c r="F3690" s="2" t="s">
        <v>47</v>
      </c>
      <c r="G3690" s="2" t="s">
        <v>23</v>
      </c>
      <c r="H3690" s="2" t="s">
        <v>23</v>
      </c>
      <c r="I3690" s="2" t="s">
        <v>23</v>
      </c>
      <c r="J3690" s="2">
        <v>2</v>
      </c>
      <c r="K3690" s="2" t="s">
        <v>48</v>
      </c>
      <c r="L3690" s="2">
        <v>600</v>
      </c>
      <c r="M3690" s="2" t="s">
        <v>112</v>
      </c>
      <c r="N3690" s="2">
        <v>3</v>
      </c>
      <c r="O3690" s="2">
        <v>46699.38</v>
      </c>
      <c r="P3690" s="2">
        <v>15566.46</v>
      </c>
    </row>
    <row r="3691" spans="1:16" outlineLevel="1" x14ac:dyDescent="0.2">
      <c r="A3691" s="5"/>
      <c r="D3691" s="3" t="s">
        <v>719</v>
      </c>
      <c r="N3691" s="2">
        <f>SUBTOTAL(9,N3690:N3690)</f>
        <v>3</v>
      </c>
      <c r="O3691" s="2">
        <f>SUBTOTAL(9,O3690:O3690)</f>
        <v>46699.38</v>
      </c>
      <c r="P3691" s="2">
        <f>+O3691/N3691</f>
        <v>15566.46</v>
      </c>
    </row>
    <row r="3692" spans="1:16" outlineLevel="2" x14ac:dyDescent="0.2">
      <c r="A3692" s="5">
        <v>46174</v>
      </c>
      <c r="B3692" s="2">
        <v>159846</v>
      </c>
      <c r="C3692" s="2">
        <v>1</v>
      </c>
      <c r="D3692" s="2" t="s">
        <v>38</v>
      </c>
      <c r="E3692" s="2" t="s">
        <v>39</v>
      </c>
      <c r="F3692" s="2" t="s">
        <v>40</v>
      </c>
      <c r="G3692" s="2" t="s">
        <v>41</v>
      </c>
      <c r="H3692" s="2" t="s">
        <v>23</v>
      </c>
      <c r="I3692" s="2" t="s">
        <v>79</v>
      </c>
      <c r="J3692" s="2">
        <v>40</v>
      </c>
      <c r="K3692" s="2" t="s">
        <v>43</v>
      </c>
      <c r="L3692" s="2">
        <v>2579</v>
      </c>
      <c r="M3692" s="2" t="s">
        <v>44</v>
      </c>
      <c r="N3692" s="2">
        <v>304</v>
      </c>
      <c r="O3692" s="2">
        <v>8534907.8200000003</v>
      </c>
      <c r="P3692" s="2">
        <v>28075.35</v>
      </c>
    </row>
    <row r="3693" spans="1:16" outlineLevel="2" x14ac:dyDescent="0.2">
      <c r="A3693" s="5">
        <v>46174</v>
      </c>
      <c r="B3693" s="2">
        <v>159846</v>
      </c>
      <c r="C3693" s="2">
        <v>2</v>
      </c>
      <c r="D3693" s="2" t="s">
        <v>38</v>
      </c>
      <c r="E3693" s="2" t="s">
        <v>39</v>
      </c>
      <c r="F3693" s="2" t="s">
        <v>40</v>
      </c>
      <c r="G3693" s="2" t="s">
        <v>41</v>
      </c>
      <c r="H3693" s="2" t="s">
        <v>23</v>
      </c>
      <c r="I3693" s="2" t="s">
        <v>217</v>
      </c>
      <c r="J3693" s="2">
        <v>40</v>
      </c>
      <c r="K3693" s="2" t="s">
        <v>43</v>
      </c>
      <c r="L3693" s="2">
        <v>2579</v>
      </c>
      <c r="M3693" s="2" t="s">
        <v>44</v>
      </c>
      <c r="N3693" s="2">
        <v>96</v>
      </c>
      <c r="O3693" s="2">
        <v>2742690.52</v>
      </c>
      <c r="P3693" s="2">
        <v>28569.69</v>
      </c>
    </row>
    <row r="3694" spans="1:16" outlineLevel="2" x14ac:dyDescent="0.2">
      <c r="A3694" s="5">
        <v>46174</v>
      </c>
      <c r="B3694" s="2">
        <v>159846</v>
      </c>
      <c r="C3694" s="2">
        <v>3</v>
      </c>
      <c r="D3694" s="2" t="s">
        <v>38</v>
      </c>
      <c r="E3694" s="2" t="s">
        <v>39</v>
      </c>
      <c r="F3694" s="2" t="s">
        <v>40</v>
      </c>
      <c r="G3694" s="2" t="s">
        <v>41</v>
      </c>
      <c r="H3694" s="2" t="s">
        <v>23</v>
      </c>
      <c r="I3694" s="2" t="s">
        <v>220</v>
      </c>
      <c r="J3694" s="2">
        <v>40</v>
      </c>
      <c r="K3694" s="2" t="s">
        <v>43</v>
      </c>
      <c r="L3694" s="2">
        <v>2579</v>
      </c>
      <c r="M3694" s="2" t="s">
        <v>44</v>
      </c>
      <c r="N3694" s="2">
        <v>192</v>
      </c>
      <c r="O3694" s="2">
        <v>5463225.7000000002</v>
      </c>
      <c r="P3694" s="2">
        <v>28454.3</v>
      </c>
    </row>
    <row r="3695" spans="1:16" outlineLevel="2" x14ac:dyDescent="0.2">
      <c r="A3695" s="5">
        <v>46205</v>
      </c>
      <c r="B3695" s="2">
        <v>159846</v>
      </c>
      <c r="C3695" s="2">
        <v>5</v>
      </c>
      <c r="D3695" s="2" t="s">
        <v>38</v>
      </c>
      <c r="E3695" s="2" t="s">
        <v>39</v>
      </c>
      <c r="F3695" s="2" t="s">
        <v>40</v>
      </c>
      <c r="G3695" s="2" t="s">
        <v>22</v>
      </c>
      <c r="H3695" s="2" t="s">
        <v>23</v>
      </c>
      <c r="I3695" s="2" t="s">
        <v>124</v>
      </c>
      <c r="J3695" s="2">
        <v>40</v>
      </c>
      <c r="K3695" s="2" t="s">
        <v>43</v>
      </c>
      <c r="L3695" s="2">
        <v>2579</v>
      </c>
      <c r="M3695" s="2" t="s">
        <v>44</v>
      </c>
      <c r="N3695" s="2">
        <v>10</v>
      </c>
      <c r="O3695" s="2">
        <v>281902.03000000003</v>
      </c>
      <c r="P3695" s="2">
        <v>28190.2</v>
      </c>
    </row>
    <row r="3696" spans="1:16" outlineLevel="2" x14ac:dyDescent="0.2">
      <c r="A3696" s="5">
        <v>46180</v>
      </c>
      <c r="B3696" s="2">
        <v>159846</v>
      </c>
      <c r="C3696" s="2">
        <v>6</v>
      </c>
      <c r="D3696" s="2" t="s">
        <v>38</v>
      </c>
      <c r="E3696" s="2" t="s">
        <v>39</v>
      </c>
      <c r="F3696" s="2" t="s">
        <v>40</v>
      </c>
      <c r="G3696" s="2" t="s">
        <v>22</v>
      </c>
      <c r="H3696" s="2" t="s">
        <v>23</v>
      </c>
      <c r="I3696" s="2" t="s">
        <v>395</v>
      </c>
      <c r="J3696" s="2">
        <v>40</v>
      </c>
      <c r="K3696" s="2" t="s">
        <v>43</v>
      </c>
      <c r="L3696" s="2">
        <v>2579</v>
      </c>
      <c r="M3696" s="2" t="s">
        <v>44</v>
      </c>
      <c r="N3696" s="2">
        <v>192</v>
      </c>
      <c r="O3696" s="2">
        <v>2759133.83</v>
      </c>
      <c r="P3696" s="2">
        <v>14370.49</v>
      </c>
    </row>
    <row r="3697" spans="1:16" outlineLevel="2" x14ac:dyDescent="0.2">
      <c r="A3697" s="5">
        <v>46182</v>
      </c>
      <c r="B3697" s="2">
        <v>159847</v>
      </c>
      <c r="C3697" s="2">
        <v>2</v>
      </c>
      <c r="D3697" s="2" t="s">
        <v>38</v>
      </c>
      <c r="E3697" s="2" t="s">
        <v>39</v>
      </c>
      <c r="F3697" s="2" t="s">
        <v>40</v>
      </c>
      <c r="G3697" s="2" t="s">
        <v>22</v>
      </c>
      <c r="H3697" s="2" t="s">
        <v>23</v>
      </c>
      <c r="I3697" s="2" t="s">
        <v>182</v>
      </c>
      <c r="J3697" s="2">
        <v>40</v>
      </c>
      <c r="K3697" s="2" t="s">
        <v>43</v>
      </c>
      <c r="L3697" s="2">
        <v>2579</v>
      </c>
      <c r="M3697" s="2" t="s">
        <v>44</v>
      </c>
      <c r="N3697" s="2">
        <v>391</v>
      </c>
      <c r="O3697" s="2">
        <v>9592860.7699999996</v>
      </c>
      <c r="P3697" s="2">
        <v>24534.17</v>
      </c>
    </row>
    <row r="3698" spans="1:16" outlineLevel="2" x14ac:dyDescent="0.2">
      <c r="A3698" s="5">
        <v>46182</v>
      </c>
      <c r="B3698" s="2">
        <v>159847</v>
      </c>
      <c r="C3698" s="2">
        <v>3</v>
      </c>
      <c r="D3698" s="2" t="s">
        <v>38</v>
      </c>
      <c r="E3698" s="2" t="s">
        <v>39</v>
      </c>
      <c r="F3698" s="2" t="s">
        <v>40</v>
      </c>
      <c r="G3698" s="2" t="s">
        <v>22</v>
      </c>
      <c r="H3698" s="2" t="s">
        <v>23</v>
      </c>
      <c r="I3698" s="2" t="s">
        <v>184</v>
      </c>
      <c r="J3698" s="2">
        <v>40</v>
      </c>
      <c r="K3698" s="2" t="s">
        <v>43</v>
      </c>
      <c r="L3698" s="2">
        <v>2579</v>
      </c>
      <c r="M3698" s="2" t="s">
        <v>44</v>
      </c>
      <c r="N3698" s="2">
        <v>173</v>
      </c>
      <c r="O3698" s="2">
        <v>4837107.53</v>
      </c>
      <c r="P3698" s="2">
        <v>27960.16</v>
      </c>
    </row>
    <row r="3699" spans="1:16" outlineLevel="2" x14ac:dyDescent="0.2">
      <c r="A3699" s="5">
        <v>46192</v>
      </c>
      <c r="B3699" s="2">
        <v>159847</v>
      </c>
      <c r="C3699" s="2">
        <v>5</v>
      </c>
      <c r="D3699" s="2" t="s">
        <v>38</v>
      </c>
      <c r="E3699" s="2" t="s">
        <v>39</v>
      </c>
      <c r="F3699" s="2" t="s">
        <v>40</v>
      </c>
      <c r="G3699" s="2" t="s">
        <v>22</v>
      </c>
      <c r="H3699" s="2" t="s">
        <v>23</v>
      </c>
      <c r="I3699" s="2" t="s">
        <v>113</v>
      </c>
      <c r="J3699" s="2">
        <v>40</v>
      </c>
      <c r="K3699" s="2" t="s">
        <v>43</v>
      </c>
      <c r="L3699" s="2">
        <v>2579</v>
      </c>
      <c r="M3699" s="2" t="s">
        <v>44</v>
      </c>
      <c r="N3699" s="2">
        <v>95</v>
      </c>
      <c r="O3699" s="2">
        <v>2291839.6</v>
      </c>
      <c r="P3699" s="2">
        <v>24124.63</v>
      </c>
    </row>
    <row r="3700" spans="1:16" outlineLevel="2" x14ac:dyDescent="0.2">
      <c r="A3700" s="5">
        <v>46180</v>
      </c>
      <c r="B3700" s="2">
        <v>159847</v>
      </c>
      <c r="C3700" s="2">
        <v>6</v>
      </c>
      <c r="D3700" s="2" t="s">
        <v>38</v>
      </c>
      <c r="E3700" s="2" t="s">
        <v>39</v>
      </c>
      <c r="F3700" s="2" t="s">
        <v>40</v>
      </c>
      <c r="G3700" s="2" t="s">
        <v>22</v>
      </c>
      <c r="H3700" s="2" t="s">
        <v>23</v>
      </c>
      <c r="I3700" s="2" t="s">
        <v>513</v>
      </c>
      <c r="J3700" s="2">
        <v>40</v>
      </c>
      <c r="K3700" s="2" t="s">
        <v>43</v>
      </c>
      <c r="L3700" s="2">
        <v>2579</v>
      </c>
      <c r="M3700" s="2" t="s">
        <v>44</v>
      </c>
      <c r="N3700" s="2">
        <v>192</v>
      </c>
      <c r="O3700" s="2">
        <v>4216233.37</v>
      </c>
      <c r="P3700" s="2">
        <v>21959.55</v>
      </c>
    </row>
    <row r="3701" spans="1:16" outlineLevel="1" x14ac:dyDescent="0.2">
      <c r="A3701" s="5"/>
      <c r="D3701" s="3" t="s">
        <v>721</v>
      </c>
      <c r="N3701" s="2">
        <f>SUBTOTAL(9,N3692:N3700)</f>
        <v>1645</v>
      </c>
      <c r="O3701" s="2">
        <f>SUBTOTAL(9,O3692:O3700)</f>
        <v>40719901.169999994</v>
      </c>
      <c r="P3701" s="2">
        <f>+O3701/N3701</f>
        <v>24753.739313069906</v>
      </c>
    </row>
    <row r="3702" spans="1:16" outlineLevel="2" x14ac:dyDescent="0.2">
      <c r="A3702" s="5">
        <v>46174</v>
      </c>
      <c r="B3702" s="2">
        <v>159848</v>
      </c>
      <c r="C3702" s="2">
        <v>1</v>
      </c>
      <c r="D3702" s="2" t="s">
        <v>150</v>
      </c>
      <c r="E3702" s="2" t="s">
        <v>151</v>
      </c>
      <c r="F3702" s="2" t="s">
        <v>40</v>
      </c>
      <c r="G3702" s="2" t="s">
        <v>22</v>
      </c>
      <c r="H3702" s="2" t="s">
        <v>23</v>
      </c>
      <c r="I3702" s="2" t="s">
        <v>466</v>
      </c>
      <c r="J3702" s="2">
        <v>1</v>
      </c>
      <c r="K3702" s="2" t="s">
        <v>24</v>
      </c>
      <c r="L3702" s="2">
        <v>634</v>
      </c>
      <c r="M3702" s="2" t="s">
        <v>153</v>
      </c>
      <c r="N3702" s="2">
        <v>85</v>
      </c>
      <c r="O3702" s="2">
        <v>2407886.2599999998</v>
      </c>
      <c r="P3702" s="2">
        <v>28328.07</v>
      </c>
    </row>
    <row r="3703" spans="1:16" outlineLevel="2" x14ac:dyDescent="0.2">
      <c r="A3703" s="5">
        <v>46174</v>
      </c>
      <c r="B3703" s="2">
        <v>159848</v>
      </c>
      <c r="C3703" s="2">
        <v>2</v>
      </c>
      <c r="D3703" s="2" t="s">
        <v>150</v>
      </c>
      <c r="E3703" s="2" t="s">
        <v>151</v>
      </c>
      <c r="F3703" s="2" t="s">
        <v>40</v>
      </c>
      <c r="G3703" s="2" t="s">
        <v>22</v>
      </c>
      <c r="H3703" s="2" t="s">
        <v>23</v>
      </c>
      <c r="I3703" s="2" t="s">
        <v>100</v>
      </c>
      <c r="J3703" s="2">
        <v>1</v>
      </c>
      <c r="K3703" s="2" t="s">
        <v>24</v>
      </c>
      <c r="L3703" s="2">
        <v>634</v>
      </c>
      <c r="M3703" s="2" t="s">
        <v>153</v>
      </c>
      <c r="N3703" s="2">
        <v>141</v>
      </c>
      <c r="O3703" s="2">
        <v>4033950.81</v>
      </c>
      <c r="P3703" s="2">
        <v>28609.58</v>
      </c>
    </row>
    <row r="3704" spans="1:16" outlineLevel="2" x14ac:dyDescent="0.2">
      <c r="A3704" s="5">
        <v>46176</v>
      </c>
      <c r="B3704" s="2">
        <v>159848</v>
      </c>
      <c r="C3704" s="2">
        <v>4</v>
      </c>
      <c r="D3704" s="2" t="s">
        <v>150</v>
      </c>
      <c r="E3704" s="2" t="s">
        <v>151</v>
      </c>
      <c r="F3704" s="2" t="s">
        <v>40</v>
      </c>
      <c r="G3704" s="2" t="s">
        <v>22</v>
      </c>
      <c r="H3704" s="2" t="s">
        <v>23</v>
      </c>
      <c r="I3704" s="2" t="s">
        <v>101</v>
      </c>
      <c r="J3704" s="2">
        <v>1</v>
      </c>
      <c r="K3704" s="2" t="s">
        <v>24</v>
      </c>
      <c r="L3704" s="2">
        <v>634</v>
      </c>
      <c r="M3704" s="2" t="s">
        <v>153</v>
      </c>
      <c r="N3704" s="2">
        <v>114</v>
      </c>
      <c r="O3704" s="2">
        <v>2733822.57</v>
      </c>
      <c r="P3704" s="2">
        <v>23980.9</v>
      </c>
    </row>
    <row r="3705" spans="1:16" outlineLevel="1" x14ac:dyDescent="0.2">
      <c r="A3705" s="5"/>
      <c r="D3705" s="3" t="s">
        <v>718</v>
      </c>
      <c r="N3705" s="2">
        <f>SUBTOTAL(9,N3702:N3704)</f>
        <v>340</v>
      </c>
      <c r="O3705" s="2">
        <f>SUBTOTAL(9,O3702:O3704)</f>
        <v>9175659.6400000006</v>
      </c>
      <c r="P3705" s="2">
        <f>+O3705/N3705</f>
        <v>26987.23423529412</v>
      </c>
    </row>
    <row r="3706" spans="1:16" outlineLevel="2" x14ac:dyDescent="0.2">
      <c r="A3706" s="5">
        <v>46176</v>
      </c>
      <c r="B3706" s="2">
        <v>159849</v>
      </c>
      <c r="C3706" s="2">
        <v>1</v>
      </c>
      <c r="D3706" s="2" t="s">
        <v>75</v>
      </c>
      <c r="E3706" s="2" t="s">
        <v>412</v>
      </c>
      <c r="F3706" s="2" t="s">
        <v>108</v>
      </c>
      <c r="G3706" s="2" t="s">
        <v>22</v>
      </c>
      <c r="H3706" s="2" t="s">
        <v>23</v>
      </c>
      <c r="I3706" s="2" t="s">
        <v>100</v>
      </c>
      <c r="J3706" s="2">
        <v>1</v>
      </c>
      <c r="K3706" s="2" t="s">
        <v>24</v>
      </c>
      <c r="L3706" s="2">
        <v>2024</v>
      </c>
      <c r="M3706" s="2" t="s">
        <v>76</v>
      </c>
      <c r="N3706" s="2">
        <v>231</v>
      </c>
      <c r="O3706" s="2">
        <v>6334591.3700000001</v>
      </c>
      <c r="P3706" s="2">
        <v>27422.47</v>
      </c>
    </row>
    <row r="3707" spans="1:16" outlineLevel="2" x14ac:dyDescent="0.2">
      <c r="A3707" s="5">
        <v>46176</v>
      </c>
      <c r="B3707" s="2">
        <v>159849</v>
      </c>
      <c r="C3707" s="2">
        <v>2</v>
      </c>
      <c r="D3707" s="2" t="s">
        <v>75</v>
      </c>
      <c r="E3707" s="2" t="s">
        <v>412</v>
      </c>
      <c r="F3707" s="2" t="s">
        <v>108</v>
      </c>
      <c r="G3707" s="2" t="s">
        <v>22</v>
      </c>
      <c r="H3707" s="2" t="s">
        <v>23</v>
      </c>
      <c r="I3707" s="2" t="s">
        <v>109</v>
      </c>
      <c r="J3707" s="2">
        <v>1</v>
      </c>
      <c r="K3707" s="2" t="s">
        <v>24</v>
      </c>
      <c r="L3707" s="2">
        <v>2024</v>
      </c>
      <c r="M3707" s="2" t="s">
        <v>76</v>
      </c>
      <c r="N3707" s="2">
        <v>669</v>
      </c>
      <c r="O3707" s="2">
        <v>14229809.34</v>
      </c>
      <c r="P3707" s="2">
        <v>21270.27</v>
      </c>
    </row>
    <row r="3708" spans="1:16" outlineLevel="1" x14ac:dyDescent="0.2">
      <c r="A3708" s="5"/>
      <c r="D3708" s="3" t="s">
        <v>729</v>
      </c>
      <c r="N3708" s="2">
        <f>SUBTOTAL(9,N3706:N3707)</f>
        <v>900</v>
      </c>
      <c r="O3708" s="2">
        <f>SUBTOTAL(9,O3706:O3707)</f>
        <v>20564400.710000001</v>
      </c>
      <c r="P3708" s="2">
        <f>+O3708/N3708</f>
        <v>22849.334122222223</v>
      </c>
    </row>
    <row r="3709" spans="1:16" outlineLevel="2" x14ac:dyDescent="0.2">
      <c r="A3709" s="5">
        <v>46180</v>
      </c>
      <c r="B3709" s="2">
        <v>159851</v>
      </c>
      <c r="C3709" s="2">
        <v>1</v>
      </c>
      <c r="D3709" s="2" t="s">
        <v>38</v>
      </c>
      <c r="E3709" s="2" t="s">
        <v>39</v>
      </c>
      <c r="F3709" s="2" t="s">
        <v>40</v>
      </c>
      <c r="G3709" s="2" t="s">
        <v>22</v>
      </c>
      <c r="H3709" s="2" t="s">
        <v>23</v>
      </c>
      <c r="I3709" s="2" t="s">
        <v>79</v>
      </c>
      <c r="J3709" s="2">
        <v>40</v>
      </c>
      <c r="K3709" s="2" t="s">
        <v>43</v>
      </c>
      <c r="L3709" s="2">
        <v>2579</v>
      </c>
      <c r="M3709" s="2" t="s">
        <v>44</v>
      </c>
      <c r="N3709" s="2">
        <v>189</v>
      </c>
      <c r="O3709" s="2">
        <v>5300862.13</v>
      </c>
      <c r="P3709" s="2">
        <v>28046.89</v>
      </c>
    </row>
    <row r="3710" spans="1:16" outlineLevel="2" x14ac:dyDescent="0.2">
      <c r="A3710" s="5">
        <v>46188</v>
      </c>
      <c r="B3710" s="2">
        <v>159851</v>
      </c>
      <c r="C3710" s="2">
        <v>2</v>
      </c>
      <c r="D3710" s="2" t="s">
        <v>38</v>
      </c>
      <c r="E3710" s="2" t="s">
        <v>39</v>
      </c>
      <c r="F3710" s="2" t="s">
        <v>40</v>
      </c>
      <c r="G3710" s="2" t="s">
        <v>22</v>
      </c>
      <c r="H3710" s="2" t="s">
        <v>23</v>
      </c>
      <c r="I3710" s="2" t="s">
        <v>182</v>
      </c>
      <c r="J3710" s="2">
        <v>40</v>
      </c>
      <c r="K3710" s="2" t="s">
        <v>43</v>
      </c>
      <c r="L3710" s="2">
        <v>2579</v>
      </c>
      <c r="M3710" s="2" t="s">
        <v>44</v>
      </c>
      <c r="N3710" s="2">
        <v>96</v>
      </c>
      <c r="O3710" s="2">
        <v>2674247.35</v>
      </c>
      <c r="P3710" s="2">
        <v>27856.74</v>
      </c>
    </row>
    <row r="3711" spans="1:16" outlineLevel="2" x14ac:dyDescent="0.2">
      <c r="A3711" s="5">
        <v>46180</v>
      </c>
      <c r="B3711" s="2">
        <v>159851</v>
      </c>
      <c r="C3711" s="2">
        <v>4</v>
      </c>
      <c r="D3711" s="2" t="s">
        <v>38</v>
      </c>
      <c r="E3711" s="2" t="s">
        <v>39</v>
      </c>
      <c r="F3711" s="2" t="s">
        <v>40</v>
      </c>
      <c r="G3711" s="2" t="s">
        <v>210</v>
      </c>
      <c r="H3711" s="2" t="s">
        <v>23</v>
      </c>
      <c r="I3711" s="2" t="s">
        <v>507</v>
      </c>
      <c r="J3711" s="2">
        <v>40</v>
      </c>
      <c r="K3711" s="2" t="s">
        <v>43</v>
      </c>
      <c r="L3711" s="2">
        <v>2579</v>
      </c>
      <c r="M3711" s="2" t="s">
        <v>44</v>
      </c>
      <c r="N3711" s="2">
        <v>171</v>
      </c>
      <c r="O3711" s="2">
        <v>3902138.53</v>
      </c>
      <c r="P3711" s="2">
        <v>22819.52</v>
      </c>
    </row>
    <row r="3712" spans="1:16" outlineLevel="2" x14ac:dyDescent="0.2">
      <c r="A3712" s="5">
        <v>46182</v>
      </c>
      <c r="B3712" s="2">
        <v>159851</v>
      </c>
      <c r="C3712" s="2">
        <v>5</v>
      </c>
      <c r="D3712" s="2" t="s">
        <v>38</v>
      </c>
      <c r="E3712" s="2" t="s">
        <v>39</v>
      </c>
      <c r="F3712" s="2" t="s">
        <v>40</v>
      </c>
      <c r="G3712" s="2" t="s">
        <v>22</v>
      </c>
      <c r="H3712" s="2" t="s">
        <v>23</v>
      </c>
      <c r="I3712" s="2" t="s">
        <v>395</v>
      </c>
      <c r="J3712" s="2">
        <v>40</v>
      </c>
      <c r="K3712" s="2" t="s">
        <v>43</v>
      </c>
      <c r="L3712" s="2">
        <v>2579</v>
      </c>
      <c r="M3712" s="2" t="s">
        <v>44</v>
      </c>
      <c r="N3712" s="2">
        <v>288</v>
      </c>
      <c r="O3712" s="2">
        <v>4074431.64</v>
      </c>
      <c r="P3712" s="2">
        <v>14147.33</v>
      </c>
    </row>
    <row r="3713" spans="1:16" outlineLevel="2" x14ac:dyDescent="0.2">
      <c r="A3713" s="5">
        <v>46188</v>
      </c>
      <c r="B3713" s="2">
        <v>159851</v>
      </c>
      <c r="C3713" s="2">
        <v>6</v>
      </c>
      <c r="D3713" s="2" t="s">
        <v>38</v>
      </c>
      <c r="E3713" s="2" t="s">
        <v>570</v>
      </c>
      <c r="F3713" s="2" t="s">
        <v>40</v>
      </c>
      <c r="G3713" s="2" t="s">
        <v>22</v>
      </c>
      <c r="H3713" s="2" t="s">
        <v>23</v>
      </c>
      <c r="I3713" s="2" t="s">
        <v>23</v>
      </c>
      <c r="J3713" s="2">
        <v>40</v>
      </c>
      <c r="K3713" s="2" t="s">
        <v>43</v>
      </c>
      <c r="L3713" s="2">
        <v>2579</v>
      </c>
      <c r="M3713" s="2" t="s">
        <v>44</v>
      </c>
      <c r="N3713" s="2">
        <v>108</v>
      </c>
      <c r="O3713" s="2">
        <v>3209300.35</v>
      </c>
      <c r="P3713" s="2">
        <v>29715.74</v>
      </c>
    </row>
    <row r="3714" spans="1:16" outlineLevel="2" x14ac:dyDescent="0.2">
      <c r="A3714" s="5">
        <v>46188</v>
      </c>
      <c r="B3714" s="2">
        <v>159851</v>
      </c>
      <c r="C3714" s="2">
        <v>7</v>
      </c>
      <c r="D3714" s="2" t="s">
        <v>38</v>
      </c>
      <c r="E3714" s="2" t="s">
        <v>562</v>
      </c>
      <c r="F3714" s="2" t="s">
        <v>40</v>
      </c>
      <c r="G3714" s="2" t="s">
        <v>22</v>
      </c>
      <c r="H3714" s="2" t="s">
        <v>23</v>
      </c>
      <c r="I3714" s="2" t="s">
        <v>23</v>
      </c>
      <c r="J3714" s="2">
        <v>40</v>
      </c>
      <c r="K3714" s="2" t="s">
        <v>43</v>
      </c>
      <c r="L3714" s="2">
        <v>2579</v>
      </c>
      <c r="M3714" s="2" t="s">
        <v>44</v>
      </c>
      <c r="N3714" s="2">
        <v>40</v>
      </c>
      <c r="O3714" s="2">
        <v>471441.12</v>
      </c>
      <c r="P3714" s="2">
        <v>11786.03</v>
      </c>
    </row>
    <row r="3715" spans="1:16" outlineLevel="1" x14ac:dyDescent="0.2">
      <c r="A3715" s="5"/>
      <c r="D3715" s="3" t="s">
        <v>721</v>
      </c>
      <c r="N3715" s="2">
        <f>SUBTOTAL(9,N3709:N3714)</f>
        <v>892</v>
      </c>
      <c r="O3715" s="2">
        <f>SUBTOTAL(9,O3709:O3714)</f>
        <v>19632421.120000001</v>
      </c>
      <c r="P3715" s="2">
        <f>+O3715/N3715</f>
        <v>22009.440717488789</v>
      </c>
    </row>
    <row r="3716" spans="1:16" outlineLevel="2" x14ac:dyDescent="0.2">
      <c r="A3716" s="5">
        <v>46181</v>
      </c>
      <c r="B3716" s="2">
        <v>159851</v>
      </c>
      <c r="C3716" s="2">
        <v>300</v>
      </c>
      <c r="D3716" s="2" t="s">
        <v>560</v>
      </c>
      <c r="E3716" s="2" t="s">
        <v>39</v>
      </c>
      <c r="F3716" s="2" t="s">
        <v>40</v>
      </c>
      <c r="G3716" s="2" t="s">
        <v>22</v>
      </c>
      <c r="H3716" s="2" t="s">
        <v>23</v>
      </c>
      <c r="I3716" s="2" t="s">
        <v>23</v>
      </c>
      <c r="J3716" s="2">
        <v>41</v>
      </c>
      <c r="K3716" s="2" t="s">
        <v>129</v>
      </c>
      <c r="L3716" s="2">
        <v>2579</v>
      </c>
      <c r="M3716" s="2" t="s">
        <v>44</v>
      </c>
      <c r="N3716" s="2">
        <v>128</v>
      </c>
      <c r="O3716" s="2">
        <v>1697235.87</v>
      </c>
      <c r="P3716" s="2">
        <v>13259.66</v>
      </c>
    </row>
    <row r="3717" spans="1:16" outlineLevel="1" x14ac:dyDescent="0.2">
      <c r="A3717" s="5"/>
      <c r="D3717" s="3" t="s">
        <v>798</v>
      </c>
      <c r="N3717" s="2">
        <f>SUBTOTAL(9,N3716:N3716)</f>
        <v>128</v>
      </c>
      <c r="O3717" s="2">
        <f>SUBTOTAL(9,O3716:O3716)</f>
        <v>1697235.87</v>
      </c>
      <c r="P3717" s="2">
        <f>+O3717/N3717</f>
        <v>13259.655234375001</v>
      </c>
    </row>
    <row r="3718" spans="1:16" outlineLevel="2" x14ac:dyDescent="0.2">
      <c r="A3718" s="5">
        <v>46180</v>
      </c>
      <c r="B3718" s="2">
        <v>159855</v>
      </c>
      <c r="C3718" s="2">
        <v>1</v>
      </c>
      <c r="D3718" s="2" t="s">
        <v>33</v>
      </c>
      <c r="E3718" s="2" t="s">
        <v>34</v>
      </c>
      <c r="F3718" s="2" t="s">
        <v>47</v>
      </c>
      <c r="G3718" s="2" t="s">
        <v>22</v>
      </c>
      <c r="H3718" s="2" t="s">
        <v>23</v>
      </c>
      <c r="I3718" s="2" t="s">
        <v>23</v>
      </c>
      <c r="J3718" s="2">
        <v>1</v>
      </c>
      <c r="K3718" s="2" t="s">
        <v>24</v>
      </c>
      <c r="L3718" s="2">
        <v>2520</v>
      </c>
      <c r="M3718" s="2" t="s">
        <v>37</v>
      </c>
      <c r="N3718" s="2">
        <v>106</v>
      </c>
      <c r="O3718" s="2">
        <v>2198907.44</v>
      </c>
      <c r="P3718" s="2">
        <v>20744.41</v>
      </c>
    </row>
    <row r="3719" spans="1:16" outlineLevel="2" x14ac:dyDescent="0.2">
      <c r="A3719" s="5">
        <v>46174</v>
      </c>
      <c r="B3719" s="2">
        <v>159855</v>
      </c>
      <c r="C3719" s="2">
        <v>2</v>
      </c>
      <c r="D3719" s="2" t="s">
        <v>33</v>
      </c>
      <c r="E3719" s="2" t="s">
        <v>34</v>
      </c>
      <c r="F3719" s="2" t="s">
        <v>35</v>
      </c>
      <c r="G3719" s="2" t="s">
        <v>22</v>
      </c>
      <c r="H3719" s="2" t="s">
        <v>23</v>
      </c>
      <c r="I3719" s="2" t="s">
        <v>101</v>
      </c>
      <c r="J3719" s="2">
        <v>1</v>
      </c>
      <c r="K3719" s="2" t="s">
        <v>24</v>
      </c>
      <c r="L3719" s="2">
        <v>2520</v>
      </c>
      <c r="M3719" s="2" t="s">
        <v>37</v>
      </c>
      <c r="N3719" s="2">
        <v>180</v>
      </c>
      <c r="O3719" s="2">
        <v>3599422.37</v>
      </c>
      <c r="P3719" s="2">
        <v>19996.79</v>
      </c>
    </row>
    <row r="3720" spans="1:16" outlineLevel="2" x14ac:dyDescent="0.2">
      <c r="A3720" s="5">
        <v>46174</v>
      </c>
      <c r="B3720" s="2">
        <v>159855</v>
      </c>
      <c r="C3720" s="2">
        <v>3</v>
      </c>
      <c r="D3720" s="2" t="s">
        <v>33</v>
      </c>
      <c r="E3720" s="2" t="s">
        <v>34</v>
      </c>
      <c r="F3720" s="2" t="s">
        <v>35</v>
      </c>
      <c r="G3720" s="2" t="s">
        <v>22</v>
      </c>
      <c r="H3720" s="2" t="s">
        <v>23</v>
      </c>
      <c r="I3720" s="2" t="s">
        <v>109</v>
      </c>
      <c r="J3720" s="2">
        <v>1</v>
      </c>
      <c r="K3720" s="2" t="s">
        <v>24</v>
      </c>
      <c r="L3720" s="2">
        <v>2520</v>
      </c>
      <c r="M3720" s="2" t="s">
        <v>37</v>
      </c>
      <c r="N3720" s="2">
        <v>141</v>
      </c>
      <c r="O3720" s="2">
        <v>2570388.15</v>
      </c>
      <c r="P3720" s="2">
        <v>18229.7</v>
      </c>
    </row>
    <row r="3721" spans="1:16" outlineLevel="1" x14ac:dyDescent="0.2">
      <c r="A3721" s="5"/>
      <c r="D3721" s="3" t="s">
        <v>705</v>
      </c>
      <c r="N3721" s="2">
        <f>SUBTOTAL(9,N3718:N3720)</f>
        <v>427</v>
      </c>
      <c r="O3721" s="2">
        <f>SUBTOTAL(9,O3718:O3720)</f>
        <v>8368717.9600000009</v>
      </c>
      <c r="P3721" s="2">
        <f>+O3721/N3721</f>
        <v>19598.871100702578</v>
      </c>
    </row>
    <row r="3722" spans="1:16" outlineLevel="2" x14ac:dyDescent="0.2">
      <c r="A3722" s="5">
        <v>46174</v>
      </c>
      <c r="B3722" s="2">
        <v>159856</v>
      </c>
      <c r="C3722" s="2">
        <v>4</v>
      </c>
      <c r="D3722" s="2" t="s">
        <v>45</v>
      </c>
      <c r="E3722" s="2" t="s">
        <v>125</v>
      </c>
      <c r="F3722" s="2" t="s">
        <v>289</v>
      </c>
      <c r="G3722" s="2" t="s">
        <v>22</v>
      </c>
      <c r="H3722" s="2" t="s">
        <v>23</v>
      </c>
      <c r="I3722" s="2" t="s">
        <v>23</v>
      </c>
      <c r="J3722" s="2">
        <v>2</v>
      </c>
      <c r="K3722" s="2" t="s">
        <v>48</v>
      </c>
      <c r="L3722" s="2">
        <v>106</v>
      </c>
      <c r="M3722" s="2" t="s">
        <v>486</v>
      </c>
      <c r="N3722" s="2">
        <v>56</v>
      </c>
      <c r="O3722" s="2">
        <v>1708083.44</v>
      </c>
      <c r="P3722" s="2">
        <v>30501.49</v>
      </c>
    </row>
    <row r="3723" spans="1:16" outlineLevel="2" x14ac:dyDescent="0.2">
      <c r="A3723" s="5">
        <v>46174</v>
      </c>
      <c r="B3723" s="2">
        <v>159856</v>
      </c>
      <c r="C3723" s="2">
        <v>5</v>
      </c>
      <c r="D3723" s="2" t="s">
        <v>45</v>
      </c>
      <c r="E3723" s="2" t="s">
        <v>125</v>
      </c>
      <c r="F3723" s="2" t="s">
        <v>289</v>
      </c>
      <c r="G3723" s="2" t="s">
        <v>22</v>
      </c>
      <c r="H3723" s="2" t="s">
        <v>23</v>
      </c>
      <c r="I3723" s="2" t="s">
        <v>23</v>
      </c>
      <c r="J3723" s="2">
        <v>2</v>
      </c>
      <c r="K3723" s="2" t="s">
        <v>48</v>
      </c>
      <c r="L3723" s="2">
        <v>106</v>
      </c>
      <c r="M3723" s="2" t="s">
        <v>486</v>
      </c>
      <c r="N3723" s="2">
        <v>224</v>
      </c>
      <c r="O3723" s="2">
        <v>6858469.9500000002</v>
      </c>
      <c r="P3723" s="2">
        <v>30618.17</v>
      </c>
    </row>
    <row r="3724" spans="1:16" outlineLevel="1" x14ac:dyDescent="0.2">
      <c r="A3724" s="5"/>
      <c r="D3724" s="3" t="s">
        <v>733</v>
      </c>
      <c r="N3724" s="2">
        <f>SUBTOTAL(9,N3722:N3723)</f>
        <v>280</v>
      </c>
      <c r="O3724" s="2">
        <f>SUBTOTAL(9,O3722:O3723)</f>
        <v>8566553.3900000006</v>
      </c>
      <c r="P3724" s="2">
        <f>+O3724/N3724</f>
        <v>30594.83353571429</v>
      </c>
    </row>
    <row r="3725" spans="1:16" outlineLevel="2" x14ac:dyDescent="0.2">
      <c r="A3725" s="5">
        <v>46174</v>
      </c>
      <c r="B3725" s="2">
        <v>159856</v>
      </c>
      <c r="C3725" s="2">
        <v>6</v>
      </c>
      <c r="D3725" s="2" t="s">
        <v>226</v>
      </c>
      <c r="E3725" s="2" t="s">
        <v>23</v>
      </c>
      <c r="F3725" s="2" t="s">
        <v>289</v>
      </c>
      <c r="G3725" s="2" t="s">
        <v>22</v>
      </c>
      <c r="H3725" s="2" t="s">
        <v>23</v>
      </c>
      <c r="I3725" s="2" t="s">
        <v>23</v>
      </c>
      <c r="J3725" s="2">
        <v>2</v>
      </c>
      <c r="K3725" s="2" t="s">
        <v>48</v>
      </c>
      <c r="L3725" s="2">
        <v>106</v>
      </c>
      <c r="M3725" s="2" t="s">
        <v>486</v>
      </c>
      <c r="N3725" s="2">
        <v>16</v>
      </c>
      <c r="O3725" s="2">
        <v>204258.24</v>
      </c>
      <c r="P3725" s="2">
        <v>12766.14</v>
      </c>
    </row>
    <row r="3726" spans="1:16" outlineLevel="1" x14ac:dyDescent="0.2">
      <c r="A3726" s="5"/>
      <c r="D3726" s="3" t="s">
        <v>736</v>
      </c>
      <c r="N3726" s="2">
        <f>SUBTOTAL(9,N3725:N3725)</f>
        <v>16</v>
      </c>
      <c r="O3726" s="2">
        <f>SUBTOTAL(9,O3725:O3725)</f>
        <v>204258.24</v>
      </c>
      <c r="P3726" s="2">
        <f>+O3726/N3726</f>
        <v>12766.14</v>
      </c>
    </row>
    <row r="3727" spans="1:16" outlineLevel="2" x14ac:dyDescent="0.2">
      <c r="A3727" s="5">
        <v>46178</v>
      </c>
      <c r="B3727" s="2">
        <v>159857</v>
      </c>
      <c r="C3727" s="2">
        <v>315</v>
      </c>
      <c r="D3727" s="2" t="s">
        <v>45</v>
      </c>
      <c r="E3727" s="2" t="s">
        <v>125</v>
      </c>
      <c r="F3727" s="2" t="s">
        <v>55</v>
      </c>
      <c r="G3727" s="2" t="s">
        <v>23</v>
      </c>
      <c r="H3727" s="2" t="s">
        <v>23</v>
      </c>
      <c r="I3727" s="2" t="s">
        <v>23</v>
      </c>
      <c r="J3727" s="2">
        <v>2</v>
      </c>
      <c r="K3727" s="2" t="s">
        <v>48</v>
      </c>
      <c r="L3727" s="2">
        <v>106</v>
      </c>
      <c r="M3727" s="2" t="s">
        <v>486</v>
      </c>
      <c r="N3727" s="2">
        <v>4</v>
      </c>
      <c r="O3727" s="2">
        <v>28662.04</v>
      </c>
      <c r="P3727" s="2">
        <v>7165.51</v>
      </c>
    </row>
    <row r="3728" spans="1:16" outlineLevel="2" x14ac:dyDescent="0.2">
      <c r="A3728" s="5">
        <v>46174</v>
      </c>
      <c r="B3728" s="2">
        <v>159858</v>
      </c>
      <c r="C3728" s="2">
        <v>9</v>
      </c>
      <c r="D3728" s="2" t="s">
        <v>45</v>
      </c>
      <c r="E3728" s="2" t="s">
        <v>228</v>
      </c>
      <c r="F3728" s="2" t="s">
        <v>289</v>
      </c>
      <c r="G3728" s="2" t="s">
        <v>22</v>
      </c>
      <c r="H3728" s="2" t="s">
        <v>23</v>
      </c>
      <c r="I3728" s="2" t="s">
        <v>23</v>
      </c>
      <c r="J3728" s="2">
        <v>41</v>
      </c>
      <c r="K3728" s="2" t="s">
        <v>129</v>
      </c>
      <c r="L3728" s="2">
        <v>801</v>
      </c>
      <c r="M3728" s="2" t="s">
        <v>56</v>
      </c>
      <c r="N3728" s="2">
        <v>3</v>
      </c>
      <c r="O3728" s="2">
        <v>36431.54</v>
      </c>
      <c r="P3728" s="2">
        <v>12143.85</v>
      </c>
    </row>
    <row r="3729" spans="1:16" outlineLevel="2" x14ac:dyDescent="0.2">
      <c r="A3729" s="5">
        <v>46174</v>
      </c>
      <c r="B3729" s="2">
        <v>159858</v>
      </c>
      <c r="C3729" s="2">
        <v>10</v>
      </c>
      <c r="D3729" s="2" t="s">
        <v>45</v>
      </c>
      <c r="E3729" s="2" t="s">
        <v>228</v>
      </c>
      <c r="F3729" s="2" t="s">
        <v>289</v>
      </c>
      <c r="G3729" s="2" t="s">
        <v>22</v>
      </c>
      <c r="H3729" s="2" t="s">
        <v>23</v>
      </c>
      <c r="I3729" s="2" t="s">
        <v>23</v>
      </c>
      <c r="J3729" s="2">
        <v>41</v>
      </c>
      <c r="K3729" s="2" t="s">
        <v>129</v>
      </c>
      <c r="L3729" s="2">
        <v>801</v>
      </c>
      <c r="M3729" s="2" t="s">
        <v>56</v>
      </c>
      <c r="N3729" s="2">
        <v>7</v>
      </c>
      <c r="O3729" s="2">
        <v>84695.78</v>
      </c>
      <c r="P3729" s="2">
        <v>12099.4</v>
      </c>
    </row>
    <row r="3730" spans="1:16" outlineLevel="2" x14ac:dyDescent="0.2">
      <c r="A3730" s="5">
        <v>46174</v>
      </c>
      <c r="B3730" s="2">
        <v>159858</v>
      </c>
      <c r="C3730" s="2">
        <v>11</v>
      </c>
      <c r="D3730" s="2" t="s">
        <v>45</v>
      </c>
      <c r="E3730" s="2" t="s">
        <v>228</v>
      </c>
      <c r="F3730" s="2" t="s">
        <v>289</v>
      </c>
      <c r="G3730" s="2" t="s">
        <v>22</v>
      </c>
      <c r="H3730" s="2" t="s">
        <v>23</v>
      </c>
      <c r="I3730" s="2" t="s">
        <v>23</v>
      </c>
      <c r="J3730" s="2">
        <v>41</v>
      </c>
      <c r="K3730" s="2" t="s">
        <v>129</v>
      </c>
      <c r="L3730" s="2">
        <v>801</v>
      </c>
      <c r="M3730" s="2" t="s">
        <v>56</v>
      </c>
      <c r="N3730" s="2">
        <v>5</v>
      </c>
      <c r="O3730" s="2">
        <v>73165.100000000006</v>
      </c>
      <c r="P3730" s="2">
        <v>14633.02</v>
      </c>
    </row>
    <row r="3731" spans="1:16" outlineLevel="1" x14ac:dyDescent="0.2">
      <c r="A3731" s="5"/>
      <c r="D3731" s="3" t="s">
        <v>733</v>
      </c>
      <c r="N3731" s="2">
        <f>SUBTOTAL(9,N3727:N3730)</f>
        <v>19</v>
      </c>
      <c r="O3731" s="2">
        <f>SUBTOTAL(9,O3727:O3730)</f>
        <v>222954.46</v>
      </c>
      <c r="P3731" s="2">
        <f>+O3731/N3731</f>
        <v>11734.445263157895</v>
      </c>
    </row>
    <row r="3732" spans="1:16" outlineLevel="2" x14ac:dyDescent="0.2">
      <c r="A3732" s="5">
        <v>46174</v>
      </c>
      <c r="B3732" s="2">
        <v>159858</v>
      </c>
      <c r="C3732" s="2">
        <v>13</v>
      </c>
      <c r="D3732" s="2" t="s">
        <v>226</v>
      </c>
      <c r="E3732" s="2" t="s">
        <v>530</v>
      </c>
      <c r="F3732" s="2" t="s">
        <v>289</v>
      </c>
      <c r="G3732" s="2" t="s">
        <v>22</v>
      </c>
      <c r="H3732" s="2" t="s">
        <v>23</v>
      </c>
      <c r="I3732" s="2" t="s">
        <v>23</v>
      </c>
      <c r="J3732" s="2">
        <v>41</v>
      </c>
      <c r="K3732" s="2" t="s">
        <v>129</v>
      </c>
      <c r="L3732" s="2">
        <v>801</v>
      </c>
      <c r="M3732" s="2" t="s">
        <v>56</v>
      </c>
      <c r="N3732" s="2">
        <v>24</v>
      </c>
      <c r="O3732" s="2">
        <v>612555.46</v>
      </c>
      <c r="P3732" s="2">
        <v>25523.14</v>
      </c>
    </row>
    <row r="3733" spans="1:16" outlineLevel="2" x14ac:dyDescent="0.2">
      <c r="A3733" s="5">
        <v>46174</v>
      </c>
      <c r="B3733" s="2">
        <v>159858</v>
      </c>
      <c r="C3733" s="2">
        <v>15</v>
      </c>
      <c r="D3733" s="2" t="s">
        <v>226</v>
      </c>
      <c r="E3733" s="2" t="s">
        <v>67</v>
      </c>
      <c r="F3733" s="2" t="s">
        <v>289</v>
      </c>
      <c r="G3733" s="2" t="s">
        <v>22</v>
      </c>
      <c r="H3733" s="2" t="s">
        <v>23</v>
      </c>
      <c r="I3733" s="2" t="s">
        <v>23</v>
      </c>
      <c r="J3733" s="2">
        <v>41</v>
      </c>
      <c r="K3733" s="2" t="s">
        <v>129</v>
      </c>
      <c r="L3733" s="2">
        <v>801</v>
      </c>
      <c r="M3733" s="2" t="s">
        <v>56</v>
      </c>
      <c r="N3733" s="2">
        <v>1</v>
      </c>
      <c r="O3733" s="2">
        <v>16499.900000000001</v>
      </c>
      <c r="P3733" s="2">
        <v>16499.900000000001</v>
      </c>
    </row>
    <row r="3734" spans="1:16" outlineLevel="2" x14ac:dyDescent="0.2">
      <c r="A3734" s="5">
        <v>46174</v>
      </c>
      <c r="B3734" s="2">
        <v>159858</v>
      </c>
      <c r="C3734" s="2">
        <v>16</v>
      </c>
      <c r="D3734" s="2" t="s">
        <v>226</v>
      </c>
      <c r="E3734" s="2" t="s">
        <v>151</v>
      </c>
      <c r="F3734" s="2" t="s">
        <v>289</v>
      </c>
      <c r="G3734" s="2" t="s">
        <v>22</v>
      </c>
      <c r="H3734" s="2" t="s">
        <v>23</v>
      </c>
      <c r="I3734" s="2" t="s">
        <v>23</v>
      </c>
      <c r="J3734" s="2">
        <v>41</v>
      </c>
      <c r="K3734" s="2" t="s">
        <v>129</v>
      </c>
      <c r="L3734" s="2">
        <v>801</v>
      </c>
      <c r="M3734" s="2" t="s">
        <v>56</v>
      </c>
      <c r="N3734" s="2">
        <v>31</v>
      </c>
      <c r="O3734" s="2">
        <v>532032.53</v>
      </c>
      <c r="P3734" s="2">
        <v>17162.34</v>
      </c>
    </row>
    <row r="3735" spans="1:16" outlineLevel="1" x14ac:dyDescent="0.2">
      <c r="A3735" s="5"/>
      <c r="D3735" s="3" t="s">
        <v>736</v>
      </c>
      <c r="N3735" s="2">
        <f>SUBTOTAL(9,N3732:N3734)</f>
        <v>56</v>
      </c>
      <c r="O3735" s="2">
        <f>SUBTOTAL(9,O3732:O3734)</f>
        <v>1161087.8900000001</v>
      </c>
      <c r="P3735" s="2">
        <f>+O3735/N3735</f>
        <v>20733.712321428575</v>
      </c>
    </row>
    <row r="3736" spans="1:16" outlineLevel="2" x14ac:dyDescent="0.2">
      <c r="A3736" s="5">
        <v>46174</v>
      </c>
      <c r="B3736" s="2">
        <v>159858</v>
      </c>
      <c r="C3736" s="2">
        <v>19</v>
      </c>
      <c r="D3736" s="2" t="s">
        <v>45</v>
      </c>
      <c r="E3736" s="2" t="s">
        <v>227</v>
      </c>
      <c r="F3736" s="2" t="s">
        <v>289</v>
      </c>
      <c r="G3736" s="2" t="s">
        <v>22</v>
      </c>
      <c r="H3736" s="2" t="s">
        <v>23</v>
      </c>
      <c r="I3736" s="2" t="s">
        <v>23</v>
      </c>
      <c r="J3736" s="2">
        <v>2</v>
      </c>
      <c r="K3736" s="2" t="s">
        <v>48</v>
      </c>
      <c r="L3736" s="2">
        <v>801</v>
      </c>
      <c r="M3736" s="2" t="s">
        <v>56</v>
      </c>
      <c r="N3736" s="2">
        <v>43</v>
      </c>
      <c r="O3736" s="2">
        <v>1563000.34</v>
      </c>
      <c r="P3736" s="2">
        <v>36348.85</v>
      </c>
    </row>
    <row r="3737" spans="1:16" outlineLevel="2" x14ac:dyDescent="0.2">
      <c r="A3737" s="5">
        <v>46174</v>
      </c>
      <c r="B3737" s="2">
        <v>159858</v>
      </c>
      <c r="C3737" s="2">
        <v>20</v>
      </c>
      <c r="D3737" s="2" t="s">
        <v>45</v>
      </c>
      <c r="E3737" s="2" t="s">
        <v>227</v>
      </c>
      <c r="F3737" s="2" t="s">
        <v>289</v>
      </c>
      <c r="G3737" s="2" t="s">
        <v>22</v>
      </c>
      <c r="H3737" s="2" t="s">
        <v>23</v>
      </c>
      <c r="I3737" s="2" t="s">
        <v>23</v>
      </c>
      <c r="J3737" s="2">
        <v>41</v>
      </c>
      <c r="K3737" s="2" t="s">
        <v>129</v>
      </c>
      <c r="L3737" s="2">
        <v>801</v>
      </c>
      <c r="M3737" s="2" t="s">
        <v>56</v>
      </c>
      <c r="N3737" s="2">
        <v>48</v>
      </c>
      <c r="O3737" s="2">
        <v>1025991.27</v>
      </c>
      <c r="P3737" s="2">
        <v>21374.82</v>
      </c>
    </row>
    <row r="3738" spans="1:16" outlineLevel="2" x14ac:dyDescent="0.2">
      <c r="A3738" s="5">
        <v>46174</v>
      </c>
      <c r="B3738" s="2">
        <v>159858</v>
      </c>
      <c r="C3738" s="2">
        <v>21</v>
      </c>
      <c r="D3738" s="2" t="s">
        <v>45</v>
      </c>
      <c r="E3738" s="2" t="s">
        <v>568</v>
      </c>
      <c r="F3738" s="2" t="s">
        <v>289</v>
      </c>
      <c r="G3738" s="2" t="s">
        <v>22</v>
      </c>
      <c r="H3738" s="2" t="s">
        <v>23</v>
      </c>
      <c r="I3738" s="2" t="s">
        <v>23</v>
      </c>
      <c r="J3738" s="2">
        <v>41</v>
      </c>
      <c r="K3738" s="2" t="s">
        <v>129</v>
      </c>
      <c r="L3738" s="2">
        <v>801</v>
      </c>
      <c r="M3738" s="2" t="s">
        <v>56</v>
      </c>
      <c r="N3738" s="2">
        <v>24</v>
      </c>
      <c r="O3738" s="2">
        <v>549081.71</v>
      </c>
      <c r="P3738" s="2">
        <v>22878.400000000001</v>
      </c>
    </row>
    <row r="3739" spans="1:16" outlineLevel="1" x14ac:dyDescent="0.2">
      <c r="A3739" s="5"/>
      <c r="D3739" s="3" t="s">
        <v>733</v>
      </c>
      <c r="N3739" s="2">
        <f>SUBTOTAL(9,N3736:N3738)</f>
        <v>115</v>
      </c>
      <c r="O3739" s="2">
        <f>SUBTOTAL(9,O3736:O3738)</f>
        <v>3138073.3200000003</v>
      </c>
      <c r="P3739" s="2">
        <f>+O3739/N3739</f>
        <v>27287.594086956524</v>
      </c>
    </row>
    <row r="3740" spans="1:16" outlineLevel="2" x14ac:dyDescent="0.2">
      <c r="A3740" s="5">
        <v>46174</v>
      </c>
      <c r="B3740" s="2">
        <v>159858</v>
      </c>
      <c r="C3740" s="2">
        <v>22</v>
      </c>
      <c r="D3740" s="2" t="s">
        <v>226</v>
      </c>
      <c r="E3740" s="2" t="s">
        <v>227</v>
      </c>
      <c r="F3740" s="2" t="s">
        <v>289</v>
      </c>
      <c r="G3740" s="2" t="s">
        <v>22</v>
      </c>
      <c r="H3740" s="2" t="s">
        <v>23</v>
      </c>
      <c r="I3740" s="2" t="s">
        <v>23</v>
      </c>
      <c r="J3740" s="2">
        <v>41</v>
      </c>
      <c r="K3740" s="2" t="s">
        <v>129</v>
      </c>
      <c r="L3740" s="2">
        <v>801</v>
      </c>
      <c r="M3740" s="2" t="s">
        <v>56</v>
      </c>
      <c r="N3740" s="2">
        <v>79</v>
      </c>
      <c r="O3740" s="2">
        <v>2128652.31</v>
      </c>
      <c r="P3740" s="2">
        <v>26944.97</v>
      </c>
    </row>
    <row r="3741" spans="1:16" outlineLevel="2" x14ac:dyDescent="0.2">
      <c r="A3741" s="5">
        <v>46174</v>
      </c>
      <c r="B3741" s="2">
        <v>159858</v>
      </c>
      <c r="C3741" s="2">
        <v>23</v>
      </c>
      <c r="D3741" s="2" t="s">
        <v>226</v>
      </c>
      <c r="E3741" s="2" t="s">
        <v>227</v>
      </c>
      <c r="F3741" s="2" t="s">
        <v>289</v>
      </c>
      <c r="G3741" s="2" t="s">
        <v>22</v>
      </c>
      <c r="H3741" s="2" t="s">
        <v>23</v>
      </c>
      <c r="I3741" s="2" t="s">
        <v>23</v>
      </c>
      <c r="J3741" s="2">
        <v>41</v>
      </c>
      <c r="K3741" s="2" t="s">
        <v>129</v>
      </c>
      <c r="L3741" s="2">
        <v>801</v>
      </c>
      <c r="M3741" s="2" t="s">
        <v>56</v>
      </c>
      <c r="N3741" s="2">
        <v>11</v>
      </c>
      <c r="O3741" s="2">
        <v>288844.44</v>
      </c>
      <c r="P3741" s="2">
        <v>26258.59</v>
      </c>
    </row>
    <row r="3742" spans="1:16" outlineLevel="2" x14ac:dyDescent="0.2">
      <c r="A3742" s="5">
        <v>46174</v>
      </c>
      <c r="B3742" s="2">
        <v>159858</v>
      </c>
      <c r="C3742" s="2">
        <v>24</v>
      </c>
      <c r="D3742" s="2" t="s">
        <v>226</v>
      </c>
      <c r="E3742" s="2" t="s">
        <v>568</v>
      </c>
      <c r="F3742" s="2" t="s">
        <v>289</v>
      </c>
      <c r="G3742" s="2" t="s">
        <v>22</v>
      </c>
      <c r="H3742" s="2" t="s">
        <v>23</v>
      </c>
      <c r="I3742" s="2" t="s">
        <v>23</v>
      </c>
      <c r="J3742" s="2">
        <v>41</v>
      </c>
      <c r="K3742" s="2" t="s">
        <v>129</v>
      </c>
      <c r="L3742" s="2">
        <v>801</v>
      </c>
      <c r="M3742" s="2" t="s">
        <v>56</v>
      </c>
      <c r="N3742" s="2">
        <v>25</v>
      </c>
      <c r="O3742" s="2">
        <v>612253.5</v>
      </c>
      <c r="P3742" s="2">
        <v>24490.14</v>
      </c>
    </row>
    <row r="3743" spans="1:16" outlineLevel="1" x14ac:dyDescent="0.2">
      <c r="A3743" s="5"/>
      <c r="D3743" s="3" t="s">
        <v>736</v>
      </c>
      <c r="N3743" s="2">
        <f>SUBTOTAL(9,N3740:N3742)</f>
        <v>115</v>
      </c>
      <c r="O3743" s="2">
        <f>SUBTOTAL(9,O3740:O3742)</f>
        <v>3029750.25</v>
      </c>
      <c r="P3743" s="2">
        <f>+O3743/N3743</f>
        <v>26345.654347826086</v>
      </c>
    </row>
    <row r="3744" spans="1:16" outlineLevel="2" x14ac:dyDescent="0.2">
      <c r="A3744" s="5">
        <v>46178</v>
      </c>
      <c r="B3744" s="2">
        <v>159859</v>
      </c>
      <c r="C3744" s="2">
        <v>315</v>
      </c>
      <c r="D3744" s="2" t="s">
        <v>26</v>
      </c>
      <c r="E3744" s="2" t="s">
        <v>55</v>
      </c>
      <c r="F3744" s="2" t="s">
        <v>23</v>
      </c>
      <c r="G3744" s="2" t="s">
        <v>23</v>
      </c>
      <c r="H3744" s="2" t="s">
        <v>23</v>
      </c>
      <c r="I3744" s="2" t="s">
        <v>23</v>
      </c>
      <c r="J3744" s="2">
        <v>5</v>
      </c>
      <c r="K3744" s="2" t="s">
        <v>27</v>
      </c>
      <c r="L3744" s="2">
        <v>3048</v>
      </c>
      <c r="M3744" s="2" t="s">
        <v>53</v>
      </c>
      <c r="N3744" s="2">
        <v>37</v>
      </c>
      <c r="O3744" s="2">
        <v>152540.85</v>
      </c>
      <c r="P3744" s="2">
        <v>4122.7299999999996</v>
      </c>
    </row>
    <row r="3745" spans="1:16" outlineLevel="1" x14ac:dyDescent="0.2">
      <c r="A3745" s="5"/>
      <c r="D3745" s="3" t="s">
        <v>711</v>
      </c>
      <c r="N3745" s="2">
        <f>SUBTOTAL(9,N3744:N3744)</f>
        <v>37</v>
      </c>
      <c r="O3745" s="2">
        <f>SUBTOTAL(9,O3744:O3744)</f>
        <v>152540.85</v>
      </c>
      <c r="P3745" s="2">
        <f>+O3745/N3745</f>
        <v>4122.725675675676</v>
      </c>
    </row>
    <row r="3746" spans="1:16" outlineLevel="2" x14ac:dyDescent="0.2">
      <c r="A3746" s="5">
        <v>46178</v>
      </c>
      <c r="B3746" s="2">
        <v>159863</v>
      </c>
      <c r="C3746" s="2">
        <v>315</v>
      </c>
      <c r="D3746" s="2" t="s">
        <v>524</v>
      </c>
      <c r="E3746" s="2" t="s">
        <v>23</v>
      </c>
      <c r="F3746" s="2" t="s">
        <v>72</v>
      </c>
      <c r="G3746" s="2" t="s">
        <v>23</v>
      </c>
      <c r="H3746" s="2" t="s">
        <v>23</v>
      </c>
      <c r="I3746" s="2" t="s">
        <v>23</v>
      </c>
      <c r="J3746" s="2">
        <v>2</v>
      </c>
      <c r="K3746" s="2" t="s">
        <v>48</v>
      </c>
      <c r="L3746" s="2">
        <v>2093</v>
      </c>
      <c r="M3746" s="2" t="s">
        <v>571</v>
      </c>
      <c r="N3746" s="2">
        <v>56</v>
      </c>
      <c r="O3746" s="2">
        <v>95055.71</v>
      </c>
      <c r="P3746" s="2">
        <v>1697.42</v>
      </c>
    </row>
    <row r="3747" spans="1:16" outlineLevel="1" x14ac:dyDescent="0.2">
      <c r="A3747" s="5"/>
      <c r="D3747" s="3" t="s">
        <v>794</v>
      </c>
      <c r="N3747" s="2">
        <f>SUBTOTAL(9,N3746:N3746)</f>
        <v>56</v>
      </c>
      <c r="O3747" s="2">
        <f>SUBTOTAL(9,O3746:O3746)</f>
        <v>95055.71</v>
      </c>
      <c r="P3747" s="2">
        <f>+O3747/N3747</f>
        <v>1697.423392857143</v>
      </c>
    </row>
    <row r="3748" spans="1:16" outlineLevel="2" x14ac:dyDescent="0.2">
      <c r="A3748" s="5">
        <v>46176</v>
      </c>
      <c r="B3748" s="2">
        <v>159864</v>
      </c>
      <c r="C3748" s="2">
        <v>1</v>
      </c>
      <c r="D3748" s="2" t="s">
        <v>70</v>
      </c>
      <c r="E3748" s="2" t="s">
        <v>71</v>
      </c>
      <c r="F3748" s="2" t="s">
        <v>72</v>
      </c>
      <c r="G3748" s="2" t="s">
        <v>22</v>
      </c>
      <c r="H3748" s="2" t="s">
        <v>23</v>
      </c>
      <c r="I3748" s="2" t="s">
        <v>23</v>
      </c>
      <c r="J3748" s="2">
        <v>86</v>
      </c>
      <c r="K3748" s="2" t="s">
        <v>73</v>
      </c>
      <c r="L3748" s="2">
        <v>896</v>
      </c>
      <c r="M3748" s="2" t="s">
        <v>74</v>
      </c>
      <c r="N3748" s="2">
        <v>87</v>
      </c>
      <c r="O3748" s="2">
        <v>9435310.0999999996</v>
      </c>
      <c r="P3748" s="2">
        <v>108451.84</v>
      </c>
    </row>
    <row r="3749" spans="1:16" outlineLevel="1" x14ac:dyDescent="0.2">
      <c r="A3749" s="5"/>
      <c r="D3749" s="3" t="s">
        <v>695</v>
      </c>
      <c r="N3749" s="2">
        <f>SUBTOTAL(9,N3748:N3748)</f>
        <v>87</v>
      </c>
      <c r="O3749" s="2">
        <f>SUBTOTAL(9,O3748:O3748)</f>
        <v>9435310.0999999996</v>
      </c>
      <c r="P3749" s="2">
        <f>+O3749/N3749</f>
        <v>108451.84022988506</v>
      </c>
    </row>
    <row r="3750" spans="1:16" outlineLevel="2" x14ac:dyDescent="0.2">
      <c r="A3750" s="5">
        <v>46176</v>
      </c>
      <c r="B3750" s="2">
        <v>159866</v>
      </c>
      <c r="C3750" s="2">
        <v>1</v>
      </c>
      <c r="D3750" s="2" t="s">
        <v>119</v>
      </c>
      <c r="E3750" s="2" t="s">
        <v>151</v>
      </c>
      <c r="F3750" s="2" t="s">
        <v>47</v>
      </c>
      <c r="G3750" s="2" t="s">
        <v>22</v>
      </c>
      <c r="H3750" s="2" t="s">
        <v>23</v>
      </c>
      <c r="I3750" s="2" t="s">
        <v>572</v>
      </c>
      <c r="J3750" s="2">
        <v>1</v>
      </c>
      <c r="K3750" s="2" t="s">
        <v>24</v>
      </c>
      <c r="L3750" s="2">
        <v>895</v>
      </c>
      <c r="M3750" s="2" t="s">
        <v>448</v>
      </c>
      <c r="N3750" s="2">
        <v>112</v>
      </c>
      <c r="O3750" s="2">
        <v>4400838.51</v>
      </c>
      <c r="P3750" s="2">
        <v>39293.199999999997</v>
      </c>
    </row>
    <row r="3751" spans="1:16" outlineLevel="1" x14ac:dyDescent="0.2">
      <c r="A3751" s="5"/>
      <c r="D3751" s="3" t="s">
        <v>708</v>
      </c>
      <c r="N3751" s="2">
        <f>SUBTOTAL(9,N3750:N3750)</f>
        <v>112</v>
      </c>
      <c r="O3751" s="2">
        <f>SUBTOTAL(9,O3750:O3750)</f>
        <v>4400838.51</v>
      </c>
      <c r="P3751" s="2">
        <f>+O3751/N3751</f>
        <v>39293.200982142858</v>
      </c>
    </row>
    <row r="3752" spans="1:16" outlineLevel="2" x14ac:dyDescent="0.2">
      <c r="A3752" s="5">
        <v>46182</v>
      </c>
      <c r="B3752" s="2">
        <v>159867</v>
      </c>
      <c r="C3752" s="2">
        <v>2</v>
      </c>
      <c r="D3752" s="2" t="s">
        <v>140</v>
      </c>
      <c r="E3752" s="2" t="s">
        <v>23</v>
      </c>
      <c r="F3752" s="2" t="s">
        <v>23</v>
      </c>
      <c r="G3752" s="2" t="s">
        <v>22</v>
      </c>
      <c r="H3752" s="2" t="s">
        <v>23</v>
      </c>
      <c r="I3752" s="2" t="s">
        <v>23</v>
      </c>
      <c r="J3752" s="2">
        <v>1</v>
      </c>
      <c r="K3752" s="2" t="s">
        <v>24</v>
      </c>
      <c r="L3752" s="2">
        <v>1833</v>
      </c>
      <c r="M3752" s="2" t="s">
        <v>142</v>
      </c>
      <c r="N3752" s="2">
        <v>19</v>
      </c>
      <c r="O3752" s="2">
        <v>264918.69</v>
      </c>
      <c r="P3752" s="2">
        <v>13943.09</v>
      </c>
    </row>
    <row r="3753" spans="1:16" outlineLevel="1" x14ac:dyDescent="0.2">
      <c r="A3753" s="5"/>
      <c r="D3753" s="3" t="s">
        <v>696</v>
      </c>
      <c r="N3753" s="2">
        <f>SUBTOTAL(9,N3752:N3752)</f>
        <v>19</v>
      </c>
      <c r="O3753" s="2">
        <f>SUBTOTAL(9,O3752:O3752)</f>
        <v>264918.69</v>
      </c>
      <c r="P3753" s="2">
        <f>+O3753/N3753</f>
        <v>13943.088947368422</v>
      </c>
    </row>
    <row r="3754" spans="1:16" outlineLevel="2" x14ac:dyDescent="0.2">
      <c r="A3754" s="5">
        <v>46176</v>
      </c>
      <c r="B3754" s="2">
        <v>159868</v>
      </c>
      <c r="C3754" s="2">
        <v>1</v>
      </c>
      <c r="D3754" s="2" t="s">
        <v>45</v>
      </c>
      <c r="E3754" s="2" t="s">
        <v>125</v>
      </c>
      <c r="F3754" s="2" t="s">
        <v>63</v>
      </c>
      <c r="G3754" s="2" t="s">
        <v>22</v>
      </c>
      <c r="H3754" s="2" t="s">
        <v>23</v>
      </c>
      <c r="I3754" s="2" t="s">
        <v>23</v>
      </c>
      <c r="J3754" s="2">
        <v>40</v>
      </c>
      <c r="K3754" s="2" t="s">
        <v>43</v>
      </c>
      <c r="L3754" s="2">
        <v>2890</v>
      </c>
      <c r="M3754" s="2" t="s">
        <v>573</v>
      </c>
      <c r="N3754" s="2">
        <v>379</v>
      </c>
      <c r="O3754" s="2">
        <v>16690241.4</v>
      </c>
      <c r="P3754" s="2">
        <v>44037.58</v>
      </c>
    </row>
    <row r="3755" spans="1:16" outlineLevel="1" x14ac:dyDescent="0.2">
      <c r="A3755" s="5"/>
      <c r="D3755" s="3" t="s">
        <v>733</v>
      </c>
      <c r="N3755" s="2">
        <f>SUBTOTAL(9,N3754:N3754)</f>
        <v>379</v>
      </c>
      <c r="O3755" s="2">
        <f>SUBTOTAL(9,O3754:O3754)</f>
        <v>16690241.4</v>
      </c>
      <c r="P3755" s="2">
        <f>+O3755/N3755</f>
        <v>44037.576253298153</v>
      </c>
    </row>
    <row r="3756" spans="1:16" outlineLevel="2" x14ac:dyDescent="0.2">
      <c r="A3756" s="5">
        <v>46181</v>
      </c>
      <c r="B3756" s="2">
        <v>159869</v>
      </c>
      <c r="C3756" s="2">
        <v>1</v>
      </c>
      <c r="D3756" s="2" t="s">
        <v>38</v>
      </c>
      <c r="E3756" s="2" t="s">
        <v>39</v>
      </c>
      <c r="F3756" s="2" t="s">
        <v>63</v>
      </c>
      <c r="G3756" s="2" t="s">
        <v>22</v>
      </c>
      <c r="H3756" s="2" t="s">
        <v>23</v>
      </c>
      <c r="I3756" s="2" t="s">
        <v>574</v>
      </c>
      <c r="J3756" s="2">
        <v>1</v>
      </c>
      <c r="K3756" s="2" t="s">
        <v>24</v>
      </c>
      <c r="L3756" s="2">
        <v>1846</v>
      </c>
      <c r="M3756" s="2" t="s">
        <v>134</v>
      </c>
      <c r="N3756" s="2">
        <v>328</v>
      </c>
      <c r="O3756" s="2">
        <v>28383871.719999999</v>
      </c>
      <c r="P3756" s="2">
        <v>86536.19</v>
      </c>
    </row>
    <row r="3757" spans="1:16" outlineLevel="2" x14ac:dyDescent="0.2">
      <c r="A3757" s="5">
        <v>46178</v>
      </c>
      <c r="B3757" s="2">
        <v>159869</v>
      </c>
      <c r="C3757" s="2">
        <v>2</v>
      </c>
      <c r="D3757" s="2" t="s">
        <v>38</v>
      </c>
      <c r="E3757" s="2" t="s">
        <v>39</v>
      </c>
      <c r="F3757" s="2" t="s">
        <v>63</v>
      </c>
      <c r="G3757" s="2" t="s">
        <v>22</v>
      </c>
      <c r="H3757" s="2" t="s">
        <v>23</v>
      </c>
      <c r="I3757" s="2" t="s">
        <v>116</v>
      </c>
      <c r="J3757" s="2">
        <v>1</v>
      </c>
      <c r="K3757" s="2" t="s">
        <v>24</v>
      </c>
      <c r="L3757" s="2">
        <v>1846</v>
      </c>
      <c r="M3757" s="2" t="s">
        <v>134</v>
      </c>
      <c r="N3757" s="2">
        <v>380</v>
      </c>
      <c r="O3757" s="2">
        <v>37165525.479999997</v>
      </c>
      <c r="P3757" s="2">
        <v>97804.01</v>
      </c>
    </row>
    <row r="3758" spans="1:16" outlineLevel="1" x14ac:dyDescent="0.2">
      <c r="A3758" s="5"/>
      <c r="D3758" s="3" t="s">
        <v>721</v>
      </c>
      <c r="N3758" s="2">
        <f>SUBTOTAL(9,N3756:N3757)</f>
        <v>708</v>
      </c>
      <c r="O3758" s="2">
        <f>SUBTOTAL(9,O3756:O3757)</f>
        <v>65549397.199999996</v>
      </c>
      <c r="P3758" s="2">
        <f>+O3758/N3758</f>
        <v>92583.894350282484</v>
      </c>
    </row>
    <row r="3759" spans="1:16" outlineLevel="2" x14ac:dyDescent="0.2">
      <c r="A3759" s="5">
        <v>46185</v>
      </c>
      <c r="B3759" s="2">
        <v>159873</v>
      </c>
      <c r="C3759" s="2">
        <v>315</v>
      </c>
      <c r="D3759" s="2" t="s">
        <v>54</v>
      </c>
      <c r="E3759" s="2" t="s">
        <v>30</v>
      </c>
      <c r="F3759" s="2" t="s">
        <v>23</v>
      </c>
      <c r="G3759" s="2" t="s">
        <v>22</v>
      </c>
      <c r="H3759" s="2" t="s">
        <v>23</v>
      </c>
      <c r="I3759" s="2" t="s">
        <v>23</v>
      </c>
      <c r="J3759" s="2">
        <v>2</v>
      </c>
      <c r="K3759" s="2" t="s">
        <v>48</v>
      </c>
      <c r="L3759" s="2">
        <v>811</v>
      </c>
      <c r="M3759" s="2" t="s">
        <v>575</v>
      </c>
      <c r="N3759" s="2">
        <v>5</v>
      </c>
      <c r="O3759" s="2">
        <v>37694.43</v>
      </c>
      <c r="P3759" s="2">
        <v>7538.89</v>
      </c>
    </row>
    <row r="3760" spans="1:16" outlineLevel="1" x14ac:dyDescent="0.2">
      <c r="A3760" s="5"/>
      <c r="D3760" s="3" t="s">
        <v>719</v>
      </c>
      <c r="N3760" s="2">
        <f>SUBTOTAL(9,N3759:N3759)</f>
        <v>5</v>
      </c>
      <c r="O3760" s="2">
        <f>SUBTOTAL(9,O3759:O3759)</f>
        <v>37694.43</v>
      </c>
      <c r="P3760" s="2">
        <f>+O3760/N3760</f>
        <v>7538.8860000000004</v>
      </c>
    </row>
    <row r="3761" spans="1:16" outlineLevel="2" x14ac:dyDescent="0.2">
      <c r="A3761" s="5">
        <v>46178</v>
      </c>
      <c r="B3761" s="2">
        <v>159890</v>
      </c>
      <c r="C3761" s="2">
        <v>1</v>
      </c>
      <c r="D3761" s="2" t="s">
        <v>207</v>
      </c>
      <c r="E3761" s="2" t="s">
        <v>23</v>
      </c>
      <c r="F3761" s="2" t="s">
        <v>47</v>
      </c>
      <c r="G3761" s="2" t="s">
        <v>22</v>
      </c>
      <c r="H3761" s="2" t="s">
        <v>208</v>
      </c>
      <c r="I3761" s="2" t="s">
        <v>23</v>
      </c>
      <c r="J3761" s="2">
        <v>41</v>
      </c>
      <c r="K3761" s="2" t="s">
        <v>129</v>
      </c>
      <c r="L3761" s="2">
        <v>25213</v>
      </c>
      <c r="M3761" s="2" t="s">
        <v>130</v>
      </c>
      <c r="N3761" s="2">
        <v>50</v>
      </c>
      <c r="O3761" s="2">
        <v>171587.5</v>
      </c>
      <c r="P3761" s="2">
        <v>3431.75</v>
      </c>
    </row>
    <row r="3762" spans="1:16" outlineLevel="1" x14ac:dyDescent="0.2">
      <c r="A3762" s="5"/>
      <c r="D3762" s="3" t="s">
        <v>699</v>
      </c>
      <c r="N3762" s="2">
        <f>SUBTOTAL(9,N3761:N3761)</f>
        <v>50</v>
      </c>
      <c r="O3762" s="2">
        <f>SUBTOTAL(9,O3761:O3761)</f>
        <v>171587.5</v>
      </c>
      <c r="P3762" s="2">
        <f>+O3762/N3762</f>
        <v>3431.75</v>
      </c>
    </row>
    <row r="3763" spans="1:16" outlineLevel="2" x14ac:dyDescent="0.2">
      <c r="A3763" s="5">
        <v>46178</v>
      </c>
      <c r="B3763" s="2">
        <v>159890</v>
      </c>
      <c r="C3763" s="2">
        <v>2</v>
      </c>
      <c r="D3763" s="2" t="s">
        <v>576</v>
      </c>
      <c r="E3763" s="2" t="s">
        <v>23</v>
      </c>
      <c r="F3763" s="2" t="s">
        <v>47</v>
      </c>
      <c r="G3763" s="2" t="s">
        <v>22</v>
      </c>
      <c r="H3763" s="2" t="s">
        <v>209</v>
      </c>
      <c r="I3763" s="2" t="s">
        <v>23</v>
      </c>
      <c r="J3763" s="2">
        <v>41</v>
      </c>
      <c r="K3763" s="2" t="s">
        <v>129</v>
      </c>
      <c r="L3763" s="2">
        <v>25213</v>
      </c>
      <c r="M3763" s="2" t="s">
        <v>130</v>
      </c>
      <c r="N3763" s="2">
        <v>50</v>
      </c>
      <c r="O3763" s="2">
        <v>141323.25</v>
      </c>
      <c r="P3763" s="2">
        <v>2826.47</v>
      </c>
    </row>
    <row r="3764" spans="1:16" outlineLevel="1" x14ac:dyDescent="0.2">
      <c r="A3764" s="5"/>
      <c r="D3764" s="3" t="s">
        <v>799</v>
      </c>
      <c r="N3764" s="2">
        <f>SUBTOTAL(9,N3763:N3763)</f>
        <v>50</v>
      </c>
      <c r="O3764" s="2">
        <f>SUBTOTAL(9,O3763:O3763)</f>
        <v>141323.25</v>
      </c>
      <c r="P3764" s="2">
        <f>+O3764/N3764</f>
        <v>2826.4650000000001</v>
      </c>
    </row>
    <row r="3765" spans="1:16" outlineLevel="2" x14ac:dyDescent="0.2">
      <c r="A3765" s="5">
        <v>46178</v>
      </c>
      <c r="B3765" s="2">
        <v>159890</v>
      </c>
      <c r="C3765" s="2">
        <v>3</v>
      </c>
      <c r="D3765" s="2" t="s">
        <v>128</v>
      </c>
      <c r="E3765" s="2" t="s">
        <v>23</v>
      </c>
      <c r="F3765" s="2" t="s">
        <v>47</v>
      </c>
      <c r="G3765" s="2" t="s">
        <v>22</v>
      </c>
      <c r="H3765" s="2" t="s">
        <v>23</v>
      </c>
      <c r="I3765" s="2" t="s">
        <v>23</v>
      </c>
      <c r="J3765" s="2">
        <v>41</v>
      </c>
      <c r="K3765" s="2" t="s">
        <v>129</v>
      </c>
      <c r="L3765" s="2">
        <v>25213</v>
      </c>
      <c r="M3765" s="2" t="s">
        <v>130</v>
      </c>
      <c r="N3765" s="2">
        <v>25</v>
      </c>
      <c r="O3765" s="2">
        <v>95128.25</v>
      </c>
      <c r="P3765" s="2">
        <v>3805.13</v>
      </c>
    </row>
    <row r="3766" spans="1:16" outlineLevel="1" x14ac:dyDescent="0.2">
      <c r="A3766" s="5"/>
      <c r="D3766" s="3" t="s">
        <v>732</v>
      </c>
      <c r="N3766" s="2">
        <f>SUBTOTAL(9,N3765:N3765)</f>
        <v>25</v>
      </c>
      <c r="O3766" s="2">
        <f>SUBTOTAL(9,O3765:O3765)</f>
        <v>95128.25</v>
      </c>
      <c r="P3766" s="2">
        <f>+O3766/N3766</f>
        <v>3805.13</v>
      </c>
    </row>
    <row r="3767" spans="1:16" outlineLevel="2" x14ac:dyDescent="0.2">
      <c r="A3767" s="5">
        <v>46178</v>
      </c>
      <c r="B3767" s="2">
        <v>159890</v>
      </c>
      <c r="C3767" s="2">
        <v>4</v>
      </c>
      <c r="D3767" s="2" t="s">
        <v>207</v>
      </c>
      <c r="E3767" s="2" t="s">
        <v>23</v>
      </c>
      <c r="F3767" s="2" t="s">
        <v>47</v>
      </c>
      <c r="G3767" s="2" t="s">
        <v>22</v>
      </c>
      <c r="H3767" s="2" t="s">
        <v>23</v>
      </c>
      <c r="I3767" s="2" t="s">
        <v>23</v>
      </c>
      <c r="J3767" s="2">
        <v>1</v>
      </c>
      <c r="K3767" s="2" t="s">
        <v>24</v>
      </c>
      <c r="L3767" s="2">
        <v>25213</v>
      </c>
      <c r="M3767" s="2" t="s">
        <v>130</v>
      </c>
      <c r="N3767" s="2">
        <v>3</v>
      </c>
      <c r="O3767" s="2">
        <v>249255.62</v>
      </c>
      <c r="P3767" s="2">
        <v>83085.210000000006</v>
      </c>
    </row>
    <row r="3768" spans="1:16" outlineLevel="2" x14ac:dyDescent="0.2">
      <c r="A3768" s="5">
        <v>46178</v>
      </c>
      <c r="B3768" s="2">
        <v>159890</v>
      </c>
      <c r="C3768" s="2">
        <v>5</v>
      </c>
      <c r="D3768" s="2" t="s">
        <v>207</v>
      </c>
      <c r="E3768" s="2" t="s">
        <v>23</v>
      </c>
      <c r="F3768" s="2" t="s">
        <v>47</v>
      </c>
      <c r="G3768" s="2" t="s">
        <v>210</v>
      </c>
      <c r="H3768" s="2" t="s">
        <v>23</v>
      </c>
      <c r="I3768" s="2" t="s">
        <v>23</v>
      </c>
      <c r="J3768" s="2">
        <v>1</v>
      </c>
      <c r="K3768" s="2" t="s">
        <v>24</v>
      </c>
      <c r="L3768" s="2">
        <v>25213</v>
      </c>
      <c r="M3768" s="2" t="s">
        <v>130</v>
      </c>
      <c r="N3768" s="2">
        <v>2</v>
      </c>
      <c r="O3768" s="2">
        <v>133811.22</v>
      </c>
      <c r="P3768" s="2">
        <v>66905.61</v>
      </c>
    </row>
    <row r="3769" spans="1:16" outlineLevel="1" x14ac:dyDescent="0.2">
      <c r="A3769" s="5"/>
      <c r="D3769" s="3" t="s">
        <v>699</v>
      </c>
      <c r="N3769" s="2">
        <f>SUBTOTAL(9,N3767:N3768)</f>
        <v>5</v>
      </c>
      <c r="O3769" s="2">
        <f>SUBTOTAL(9,O3767:O3768)</f>
        <v>383066.83999999997</v>
      </c>
      <c r="P3769" s="2">
        <f>+O3769/N3769</f>
        <v>76613.367999999988</v>
      </c>
    </row>
    <row r="3770" spans="1:16" outlineLevel="2" x14ac:dyDescent="0.2">
      <c r="A3770" s="5">
        <v>46178</v>
      </c>
      <c r="B3770" s="2">
        <v>159890</v>
      </c>
      <c r="C3770" s="2">
        <v>6</v>
      </c>
      <c r="D3770" s="2" t="s">
        <v>128</v>
      </c>
      <c r="E3770" s="2" t="s">
        <v>23</v>
      </c>
      <c r="F3770" s="2" t="s">
        <v>47</v>
      </c>
      <c r="G3770" s="2" t="s">
        <v>22</v>
      </c>
      <c r="H3770" s="2" t="s">
        <v>23</v>
      </c>
      <c r="I3770" s="2" t="s">
        <v>23</v>
      </c>
      <c r="J3770" s="2">
        <v>1</v>
      </c>
      <c r="K3770" s="2" t="s">
        <v>24</v>
      </c>
      <c r="L3770" s="2">
        <v>25213</v>
      </c>
      <c r="M3770" s="2" t="s">
        <v>130</v>
      </c>
      <c r="N3770" s="2">
        <v>5</v>
      </c>
      <c r="O3770" s="2">
        <v>447474.1</v>
      </c>
      <c r="P3770" s="2">
        <v>89494.82</v>
      </c>
    </row>
    <row r="3771" spans="1:16" outlineLevel="1" x14ac:dyDescent="0.2">
      <c r="A3771" s="5"/>
      <c r="D3771" s="3" t="s">
        <v>732</v>
      </c>
      <c r="N3771" s="2">
        <f>SUBTOTAL(9,N3770:N3770)</f>
        <v>5</v>
      </c>
      <c r="O3771" s="2">
        <f>SUBTOTAL(9,O3770:O3770)</f>
        <v>447474.1</v>
      </c>
      <c r="P3771" s="2">
        <f>+O3771/N3771</f>
        <v>89494.819999999992</v>
      </c>
    </row>
    <row r="3772" spans="1:16" outlineLevel="2" x14ac:dyDescent="0.2">
      <c r="A3772" s="5">
        <v>46178</v>
      </c>
      <c r="B3772" s="2">
        <v>159891</v>
      </c>
      <c r="C3772" s="2">
        <v>1</v>
      </c>
      <c r="D3772" s="2" t="s">
        <v>38</v>
      </c>
      <c r="E3772" s="2" t="s">
        <v>39</v>
      </c>
      <c r="F3772" s="2" t="s">
        <v>144</v>
      </c>
      <c r="G3772" s="2" t="s">
        <v>22</v>
      </c>
      <c r="H3772" s="2" t="s">
        <v>23</v>
      </c>
      <c r="I3772" s="2" t="s">
        <v>23</v>
      </c>
      <c r="J3772" s="2">
        <v>1</v>
      </c>
      <c r="K3772" s="2" t="s">
        <v>24</v>
      </c>
      <c r="L3772" s="2">
        <v>25101</v>
      </c>
      <c r="M3772" s="2" t="s">
        <v>473</v>
      </c>
      <c r="N3772" s="2">
        <v>236</v>
      </c>
      <c r="O3772" s="2">
        <v>5728468.4299999997</v>
      </c>
      <c r="P3772" s="2">
        <v>24273.17</v>
      </c>
    </row>
    <row r="3773" spans="1:16" outlineLevel="1" x14ac:dyDescent="0.2">
      <c r="A3773" s="5"/>
      <c r="D3773" s="3" t="s">
        <v>721</v>
      </c>
      <c r="N3773" s="2">
        <f>SUBTOTAL(9,N3772:N3772)</f>
        <v>236</v>
      </c>
      <c r="O3773" s="2">
        <f>SUBTOTAL(9,O3772:O3772)</f>
        <v>5728468.4299999997</v>
      </c>
      <c r="P3773" s="2">
        <f>+O3773/N3773</f>
        <v>24273.17131355932</v>
      </c>
    </row>
    <row r="3774" spans="1:16" outlineLevel="2" x14ac:dyDescent="0.2">
      <c r="A3774" s="5">
        <v>46178</v>
      </c>
      <c r="B3774" s="2">
        <v>159892</v>
      </c>
      <c r="C3774" s="2">
        <v>1</v>
      </c>
      <c r="D3774" s="2" t="s">
        <v>404</v>
      </c>
      <c r="E3774" s="2" t="s">
        <v>23</v>
      </c>
      <c r="F3774" s="2" t="s">
        <v>405</v>
      </c>
      <c r="G3774" s="2" t="s">
        <v>22</v>
      </c>
      <c r="H3774" s="2" t="s">
        <v>23</v>
      </c>
      <c r="I3774" s="2" t="s">
        <v>23</v>
      </c>
      <c r="J3774" s="2">
        <v>1</v>
      </c>
      <c r="K3774" s="2" t="s">
        <v>24</v>
      </c>
      <c r="L3774" s="2">
        <v>1795</v>
      </c>
      <c r="M3774" s="2" t="s">
        <v>506</v>
      </c>
      <c r="N3774" s="2">
        <v>7</v>
      </c>
      <c r="O3774" s="2">
        <v>332359.12</v>
      </c>
      <c r="P3774" s="2">
        <v>47479.87</v>
      </c>
    </row>
    <row r="3775" spans="1:16" outlineLevel="1" x14ac:dyDescent="0.2">
      <c r="A3775" s="5"/>
      <c r="D3775" s="3" t="s">
        <v>769</v>
      </c>
      <c r="N3775" s="2">
        <f>SUBTOTAL(9,N3774:N3774)</f>
        <v>7</v>
      </c>
      <c r="O3775" s="2">
        <f>SUBTOTAL(9,O3774:O3774)</f>
        <v>332359.12</v>
      </c>
      <c r="P3775" s="2">
        <f>+O3775/N3775</f>
        <v>47479.874285714286</v>
      </c>
    </row>
    <row r="3776" spans="1:16" outlineLevel="2" x14ac:dyDescent="0.2">
      <c r="A3776" s="5">
        <v>46178</v>
      </c>
      <c r="B3776" s="2">
        <v>159894</v>
      </c>
      <c r="C3776" s="2">
        <v>1</v>
      </c>
      <c r="D3776" s="2" t="s">
        <v>474</v>
      </c>
      <c r="E3776" s="2" t="s">
        <v>475</v>
      </c>
      <c r="F3776" s="2" t="s">
        <v>47</v>
      </c>
      <c r="G3776" s="2" t="s">
        <v>22</v>
      </c>
      <c r="H3776" s="2" t="s">
        <v>23</v>
      </c>
      <c r="I3776" s="2" t="s">
        <v>23</v>
      </c>
      <c r="J3776" s="2">
        <v>41</v>
      </c>
      <c r="K3776" s="2" t="s">
        <v>129</v>
      </c>
      <c r="L3776" s="2">
        <v>2338</v>
      </c>
      <c r="M3776" s="2" t="s">
        <v>417</v>
      </c>
      <c r="N3776" s="2">
        <v>320</v>
      </c>
      <c r="O3776" s="2">
        <v>474905.33</v>
      </c>
      <c r="P3776" s="2">
        <v>1484.08</v>
      </c>
    </row>
    <row r="3777" spans="1:16" outlineLevel="1" x14ac:dyDescent="0.2">
      <c r="A3777" s="5"/>
      <c r="D3777" s="3" t="s">
        <v>780</v>
      </c>
      <c r="N3777" s="2">
        <f>SUBTOTAL(9,N3776:N3776)</f>
        <v>320</v>
      </c>
      <c r="O3777" s="2">
        <f>SUBTOTAL(9,O3776:O3776)</f>
        <v>474905.33</v>
      </c>
      <c r="P3777" s="2">
        <f>+O3777/N3777</f>
        <v>1484.0791562500001</v>
      </c>
    </row>
    <row r="3778" spans="1:16" outlineLevel="2" x14ac:dyDescent="0.2">
      <c r="A3778" s="5">
        <v>46178</v>
      </c>
      <c r="B3778" s="2">
        <v>159894</v>
      </c>
      <c r="C3778" s="2">
        <v>2</v>
      </c>
      <c r="D3778" s="2" t="s">
        <v>470</v>
      </c>
      <c r="E3778" s="2" t="s">
        <v>23</v>
      </c>
      <c r="F3778" s="2" t="s">
        <v>47</v>
      </c>
      <c r="G3778" s="2" t="s">
        <v>22</v>
      </c>
      <c r="H3778" s="2" t="s">
        <v>23</v>
      </c>
      <c r="I3778" s="2" t="s">
        <v>23</v>
      </c>
      <c r="J3778" s="2">
        <v>86</v>
      </c>
      <c r="K3778" s="2" t="s">
        <v>73</v>
      </c>
      <c r="L3778" s="2">
        <v>2338</v>
      </c>
      <c r="M3778" s="2" t="s">
        <v>417</v>
      </c>
      <c r="N3778" s="2">
        <v>7</v>
      </c>
      <c r="O3778" s="2">
        <v>263284.67</v>
      </c>
      <c r="P3778" s="2">
        <v>37612.1</v>
      </c>
    </row>
    <row r="3779" spans="1:16" outlineLevel="1" x14ac:dyDescent="0.2">
      <c r="A3779" s="5"/>
      <c r="D3779" s="3" t="s">
        <v>779</v>
      </c>
      <c r="N3779" s="2">
        <f>SUBTOTAL(9,N3778:N3778)</f>
        <v>7</v>
      </c>
      <c r="O3779" s="2">
        <f>SUBTOTAL(9,O3778:O3778)</f>
        <v>263284.67</v>
      </c>
      <c r="P3779" s="2">
        <f>+O3779/N3779</f>
        <v>37612.095714285715</v>
      </c>
    </row>
    <row r="3780" spans="1:16" outlineLevel="2" x14ac:dyDescent="0.2">
      <c r="A3780" s="5">
        <v>46178</v>
      </c>
      <c r="B3780" s="2">
        <v>159895</v>
      </c>
      <c r="C3780" s="2">
        <v>1</v>
      </c>
      <c r="D3780" s="2" t="s">
        <v>26</v>
      </c>
      <c r="E3780" s="2" t="s">
        <v>51</v>
      </c>
      <c r="F3780" s="2" t="s">
        <v>52</v>
      </c>
      <c r="G3780" s="2" t="s">
        <v>22</v>
      </c>
      <c r="H3780" s="2" t="s">
        <v>23</v>
      </c>
      <c r="I3780" s="2" t="s">
        <v>23</v>
      </c>
      <c r="J3780" s="2">
        <v>5</v>
      </c>
      <c r="K3780" s="2" t="s">
        <v>27</v>
      </c>
      <c r="L3780" s="2">
        <v>3048</v>
      </c>
      <c r="M3780" s="2" t="s">
        <v>53</v>
      </c>
      <c r="N3780" s="2">
        <v>81</v>
      </c>
      <c r="O3780" s="2">
        <v>330888.84000000003</v>
      </c>
      <c r="P3780" s="2">
        <v>4085.05</v>
      </c>
    </row>
    <row r="3781" spans="1:16" outlineLevel="1" x14ac:dyDescent="0.2">
      <c r="A3781" s="5"/>
      <c r="D3781" s="3" t="s">
        <v>711</v>
      </c>
      <c r="N3781" s="2">
        <f>SUBTOTAL(9,N3780:N3780)</f>
        <v>81</v>
      </c>
      <c r="O3781" s="2">
        <f>SUBTOTAL(9,O3780:O3780)</f>
        <v>330888.84000000003</v>
      </c>
      <c r="P3781" s="2">
        <f>+O3781/N3781</f>
        <v>4085.0474074074077</v>
      </c>
    </row>
    <row r="3782" spans="1:16" outlineLevel="2" x14ac:dyDescent="0.2">
      <c r="A3782" s="5">
        <v>46204</v>
      </c>
      <c r="B3782" s="2">
        <v>159915</v>
      </c>
      <c r="C3782" s="2">
        <v>301</v>
      </c>
      <c r="D3782" s="2" t="s">
        <v>54</v>
      </c>
      <c r="E3782" s="2" t="s">
        <v>30</v>
      </c>
      <c r="F3782" s="2" t="s">
        <v>23</v>
      </c>
      <c r="G3782" s="2" t="s">
        <v>22</v>
      </c>
      <c r="H3782" s="2" t="s">
        <v>23</v>
      </c>
      <c r="I3782" s="2" t="s">
        <v>23</v>
      </c>
      <c r="J3782" s="2">
        <v>2</v>
      </c>
      <c r="K3782" s="2" t="s">
        <v>48</v>
      </c>
      <c r="L3782" s="2">
        <v>341</v>
      </c>
      <c r="M3782" s="2" t="s">
        <v>142</v>
      </c>
      <c r="N3782" s="2">
        <v>3</v>
      </c>
      <c r="O3782" s="2">
        <v>38298.42</v>
      </c>
      <c r="P3782" s="2">
        <v>12766.14</v>
      </c>
    </row>
    <row r="3783" spans="1:16" outlineLevel="1" x14ac:dyDescent="0.2">
      <c r="A3783" s="5"/>
      <c r="D3783" s="3" t="s">
        <v>719</v>
      </c>
      <c r="N3783" s="2">
        <f>SUBTOTAL(9,N3782:N3782)</f>
        <v>3</v>
      </c>
      <c r="O3783" s="2">
        <f>SUBTOTAL(9,O3782:O3782)</f>
        <v>38298.42</v>
      </c>
      <c r="P3783" s="2">
        <f>+O3783/N3783</f>
        <v>12766.14</v>
      </c>
    </row>
    <row r="3784" spans="1:16" outlineLevel="2" x14ac:dyDescent="0.2">
      <c r="A3784" s="5">
        <v>46181</v>
      </c>
      <c r="B3784" s="2">
        <v>159917</v>
      </c>
      <c r="C3784" s="2">
        <v>1</v>
      </c>
      <c r="D3784" s="2" t="s">
        <v>207</v>
      </c>
      <c r="E3784" s="2" t="s">
        <v>23</v>
      </c>
      <c r="F3784" s="2" t="s">
        <v>47</v>
      </c>
      <c r="G3784" s="2" t="s">
        <v>22</v>
      </c>
      <c r="H3784" s="2" t="s">
        <v>208</v>
      </c>
      <c r="I3784" s="2" t="s">
        <v>23</v>
      </c>
      <c r="J3784" s="2">
        <v>127</v>
      </c>
      <c r="K3784" s="2" t="s">
        <v>577</v>
      </c>
      <c r="L3784" s="2">
        <v>25213</v>
      </c>
      <c r="M3784" s="2" t="s">
        <v>130</v>
      </c>
      <c r="N3784" s="2">
        <v>75</v>
      </c>
      <c r="O3784" s="2">
        <v>261581.85</v>
      </c>
      <c r="P3784" s="2">
        <v>3487.76</v>
      </c>
    </row>
    <row r="3785" spans="1:16" outlineLevel="2" x14ac:dyDescent="0.2">
      <c r="A3785" s="5">
        <v>46181</v>
      </c>
      <c r="B3785" s="2">
        <v>159917</v>
      </c>
      <c r="C3785" s="2">
        <v>2</v>
      </c>
      <c r="D3785" s="2" t="s">
        <v>207</v>
      </c>
      <c r="E3785" s="2" t="s">
        <v>23</v>
      </c>
      <c r="F3785" s="2" t="s">
        <v>47</v>
      </c>
      <c r="G3785" s="2" t="s">
        <v>22</v>
      </c>
      <c r="H3785" s="2" t="s">
        <v>209</v>
      </c>
      <c r="I3785" s="2" t="s">
        <v>23</v>
      </c>
      <c r="J3785" s="2">
        <v>125</v>
      </c>
      <c r="K3785" s="2" t="s">
        <v>578</v>
      </c>
      <c r="L3785" s="2">
        <v>25213</v>
      </c>
      <c r="M3785" s="2" t="s">
        <v>130</v>
      </c>
      <c r="N3785" s="2">
        <v>25</v>
      </c>
      <c r="O3785" s="2">
        <v>88967.61</v>
      </c>
      <c r="P3785" s="2">
        <v>3558.7</v>
      </c>
    </row>
    <row r="3786" spans="1:16" outlineLevel="1" x14ac:dyDescent="0.2">
      <c r="A3786" s="5"/>
      <c r="D3786" s="3" t="s">
        <v>699</v>
      </c>
      <c r="N3786" s="2">
        <f>SUBTOTAL(9,N3784:N3785)</f>
        <v>100</v>
      </c>
      <c r="O3786" s="2">
        <f>SUBTOTAL(9,O3784:O3785)</f>
        <v>350549.46</v>
      </c>
      <c r="P3786" s="2">
        <f>+O3786/N3786</f>
        <v>3505.4946</v>
      </c>
    </row>
    <row r="3787" spans="1:16" outlineLevel="2" x14ac:dyDescent="0.2">
      <c r="A3787" s="5">
        <v>46181</v>
      </c>
      <c r="B3787" s="2">
        <v>159917</v>
      </c>
      <c r="C3787" s="2">
        <v>3</v>
      </c>
      <c r="D3787" s="2" t="s">
        <v>128</v>
      </c>
      <c r="E3787" s="2" t="s">
        <v>23</v>
      </c>
      <c r="F3787" s="2" t="s">
        <v>47</v>
      </c>
      <c r="G3787" s="2" t="s">
        <v>22</v>
      </c>
      <c r="H3787" s="2" t="s">
        <v>23</v>
      </c>
      <c r="I3787" s="2" t="s">
        <v>23</v>
      </c>
      <c r="J3787" s="2">
        <v>41</v>
      </c>
      <c r="K3787" s="2" t="s">
        <v>129</v>
      </c>
      <c r="L3787" s="2">
        <v>25213</v>
      </c>
      <c r="M3787" s="2" t="s">
        <v>130</v>
      </c>
      <c r="N3787" s="2">
        <v>50</v>
      </c>
      <c r="O3787" s="2">
        <v>190256.5</v>
      </c>
      <c r="P3787" s="2">
        <v>3805.13</v>
      </c>
    </row>
    <row r="3788" spans="1:16" outlineLevel="1" x14ac:dyDescent="0.2">
      <c r="A3788" s="5"/>
      <c r="D3788" s="3" t="s">
        <v>732</v>
      </c>
      <c r="N3788" s="2">
        <f>SUBTOTAL(9,N3787:N3787)</f>
        <v>50</v>
      </c>
      <c r="O3788" s="2">
        <f>SUBTOTAL(9,O3787:O3787)</f>
        <v>190256.5</v>
      </c>
      <c r="P3788" s="2">
        <f>+O3788/N3788</f>
        <v>3805.13</v>
      </c>
    </row>
    <row r="3789" spans="1:16" outlineLevel="2" x14ac:dyDescent="0.2">
      <c r="A3789" s="5">
        <v>46181</v>
      </c>
      <c r="B3789" s="2">
        <v>159917</v>
      </c>
      <c r="C3789" s="2">
        <v>4</v>
      </c>
      <c r="D3789" s="2" t="s">
        <v>207</v>
      </c>
      <c r="E3789" s="2" t="s">
        <v>23</v>
      </c>
      <c r="F3789" s="2" t="s">
        <v>47</v>
      </c>
      <c r="G3789" s="2" t="s">
        <v>22</v>
      </c>
      <c r="H3789" s="2" t="s">
        <v>23</v>
      </c>
      <c r="I3789" s="2" t="s">
        <v>23</v>
      </c>
      <c r="J3789" s="2">
        <v>1</v>
      </c>
      <c r="K3789" s="2" t="s">
        <v>24</v>
      </c>
      <c r="L3789" s="2">
        <v>25213</v>
      </c>
      <c r="M3789" s="2" t="s">
        <v>130</v>
      </c>
      <c r="N3789" s="2">
        <v>4</v>
      </c>
      <c r="O3789" s="2">
        <v>341666.07</v>
      </c>
      <c r="P3789" s="2">
        <v>85416.52</v>
      </c>
    </row>
    <row r="3790" spans="1:16" outlineLevel="1" x14ac:dyDescent="0.2">
      <c r="A3790" s="5"/>
      <c r="D3790" s="3" t="s">
        <v>699</v>
      </c>
      <c r="N3790" s="2">
        <f>SUBTOTAL(9,N3789:N3789)</f>
        <v>4</v>
      </c>
      <c r="O3790" s="2">
        <f>SUBTOTAL(9,O3789:O3789)</f>
        <v>341666.07</v>
      </c>
      <c r="P3790" s="2">
        <f>+O3790/N3790</f>
        <v>85416.517500000002</v>
      </c>
    </row>
    <row r="3791" spans="1:16" outlineLevel="2" x14ac:dyDescent="0.2">
      <c r="A3791" s="5">
        <v>46181</v>
      </c>
      <c r="B3791" s="2">
        <v>159917</v>
      </c>
      <c r="C3791" s="2">
        <v>5</v>
      </c>
      <c r="D3791" s="2" t="s">
        <v>128</v>
      </c>
      <c r="E3791" s="2" t="s">
        <v>23</v>
      </c>
      <c r="F3791" s="2" t="s">
        <v>23</v>
      </c>
      <c r="G3791" s="2" t="s">
        <v>22</v>
      </c>
      <c r="H3791" s="2" t="s">
        <v>23</v>
      </c>
      <c r="I3791" s="2" t="s">
        <v>23</v>
      </c>
      <c r="J3791" s="2">
        <v>1</v>
      </c>
      <c r="K3791" s="2" t="s">
        <v>24</v>
      </c>
      <c r="L3791" s="2">
        <v>25213</v>
      </c>
      <c r="M3791" s="2" t="s">
        <v>130</v>
      </c>
      <c r="N3791" s="2">
        <v>4</v>
      </c>
      <c r="O3791" s="2">
        <v>359099.41</v>
      </c>
      <c r="P3791" s="2">
        <v>89774.85</v>
      </c>
    </row>
    <row r="3792" spans="1:16" outlineLevel="1" x14ac:dyDescent="0.2">
      <c r="A3792" s="5"/>
      <c r="D3792" s="3" t="s">
        <v>732</v>
      </c>
      <c r="N3792" s="2">
        <f>SUBTOTAL(9,N3791:N3791)</f>
        <v>4</v>
      </c>
      <c r="O3792" s="2">
        <f>SUBTOTAL(9,O3791:O3791)</f>
        <v>359099.41</v>
      </c>
      <c r="P3792" s="2">
        <f>+O3792/N3792</f>
        <v>89774.852499999994</v>
      </c>
    </row>
    <row r="3793" spans="1:16" outlineLevel="2" x14ac:dyDescent="0.2">
      <c r="A3793" s="5">
        <v>46181</v>
      </c>
      <c r="B3793" s="2">
        <v>159917</v>
      </c>
      <c r="C3793" s="2">
        <v>6</v>
      </c>
      <c r="D3793" s="2" t="s">
        <v>207</v>
      </c>
      <c r="E3793" s="2" t="s">
        <v>527</v>
      </c>
      <c r="F3793" s="2" t="s">
        <v>47</v>
      </c>
      <c r="G3793" s="2" t="s">
        <v>22</v>
      </c>
      <c r="H3793" s="2" t="s">
        <v>23</v>
      </c>
      <c r="I3793" s="2" t="s">
        <v>23</v>
      </c>
      <c r="J3793" s="2">
        <v>1</v>
      </c>
      <c r="K3793" s="2" t="s">
        <v>24</v>
      </c>
      <c r="L3793" s="2">
        <v>25213</v>
      </c>
      <c r="M3793" s="2" t="s">
        <v>130</v>
      </c>
      <c r="N3793" s="2">
        <v>3</v>
      </c>
      <c r="O3793" s="2">
        <v>200716.83</v>
      </c>
      <c r="P3793" s="2">
        <v>66905.61</v>
      </c>
    </row>
    <row r="3794" spans="1:16" outlineLevel="1" x14ac:dyDescent="0.2">
      <c r="A3794" s="5"/>
      <c r="D3794" s="3" t="s">
        <v>699</v>
      </c>
      <c r="N3794" s="2">
        <f>SUBTOTAL(9,N3793:N3793)</f>
        <v>3</v>
      </c>
      <c r="O3794" s="2">
        <f>SUBTOTAL(9,O3793:O3793)</f>
        <v>200716.83</v>
      </c>
      <c r="P3794" s="2">
        <f>+O3794/N3794</f>
        <v>66905.61</v>
      </c>
    </row>
    <row r="3795" spans="1:16" outlineLevel="2" x14ac:dyDescent="0.2">
      <c r="A3795" s="5">
        <v>46181</v>
      </c>
      <c r="B3795" s="2">
        <v>159918</v>
      </c>
      <c r="C3795" s="2">
        <v>1</v>
      </c>
      <c r="D3795" s="2" t="s">
        <v>404</v>
      </c>
      <c r="E3795" s="2" t="s">
        <v>548</v>
      </c>
      <c r="F3795" s="2" t="s">
        <v>47</v>
      </c>
      <c r="G3795" s="2" t="s">
        <v>22</v>
      </c>
      <c r="H3795" s="2" t="s">
        <v>23</v>
      </c>
      <c r="I3795" s="2" t="s">
        <v>23</v>
      </c>
      <c r="J3795" s="2">
        <v>1</v>
      </c>
      <c r="K3795" s="2" t="s">
        <v>24</v>
      </c>
      <c r="L3795" s="2">
        <v>1795</v>
      </c>
      <c r="M3795" s="2" t="s">
        <v>506</v>
      </c>
      <c r="N3795" s="2">
        <v>55</v>
      </c>
      <c r="O3795" s="2">
        <v>1829100.81</v>
      </c>
      <c r="P3795" s="2">
        <v>33256.379999999997</v>
      </c>
    </row>
    <row r="3796" spans="1:16" outlineLevel="1" x14ac:dyDescent="0.2">
      <c r="A3796" s="5"/>
      <c r="D3796" s="3" t="s">
        <v>769</v>
      </c>
      <c r="N3796" s="2">
        <f>SUBTOTAL(9,N3795:N3795)</f>
        <v>55</v>
      </c>
      <c r="O3796" s="2">
        <f>SUBTOTAL(9,O3795:O3795)</f>
        <v>1829100.81</v>
      </c>
      <c r="P3796" s="2">
        <f>+O3796/N3796</f>
        <v>33256.378363636366</v>
      </c>
    </row>
    <row r="3797" spans="1:16" outlineLevel="2" x14ac:dyDescent="0.2">
      <c r="A3797" s="5">
        <v>46181</v>
      </c>
      <c r="B3797" s="2">
        <v>159919</v>
      </c>
      <c r="C3797" s="2">
        <v>1</v>
      </c>
      <c r="D3797" s="2" t="s">
        <v>579</v>
      </c>
      <c r="E3797" s="2" t="s">
        <v>23</v>
      </c>
      <c r="F3797" s="2" t="s">
        <v>47</v>
      </c>
      <c r="G3797" s="2" t="s">
        <v>22</v>
      </c>
      <c r="H3797" s="2" t="s">
        <v>23</v>
      </c>
      <c r="I3797" s="2" t="s">
        <v>23</v>
      </c>
      <c r="J3797" s="2">
        <v>41</v>
      </c>
      <c r="K3797" s="2" t="s">
        <v>129</v>
      </c>
      <c r="L3797" s="2">
        <v>2338</v>
      </c>
      <c r="M3797" s="2" t="s">
        <v>417</v>
      </c>
      <c r="N3797" s="2">
        <v>448</v>
      </c>
      <c r="O3797" s="2">
        <v>420194.14</v>
      </c>
      <c r="P3797" s="2">
        <v>937.93</v>
      </c>
    </row>
    <row r="3798" spans="1:16" outlineLevel="1" x14ac:dyDescent="0.2">
      <c r="A3798" s="5"/>
      <c r="D3798" s="3" t="s">
        <v>800</v>
      </c>
      <c r="N3798" s="2">
        <f>SUBTOTAL(9,N3797:N3797)</f>
        <v>448</v>
      </c>
      <c r="O3798" s="2">
        <f>SUBTOTAL(9,O3797:O3797)</f>
        <v>420194.14</v>
      </c>
      <c r="P3798" s="2">
        <f>+O3798/N3798</f>
        <v>937.93334821428573</v>
      </c>
    </row>
    <row r="3799" spans="1:16" outlineLevel="2" x14ac:dyDescent="0.2">
      <c r="A3799" s="5">
        <v>46181</v>
      </c>
      <c r="B3799" s="2">
        <v>159919</v>
      </c>
      <c r="C3799" s="2">
        <v>2</v>
      </c>
      <c r="D3799" s="2" t="s">
        <v>470</v>
      </c>
      <c r="E3799" s="2" t="s">
        <v>23</v>
      </c>
      <c r="F3799" s="2" t="s">
        <v>47</v>
      </c>
      <c r="G3799" s="2" t="s">
        <v>22</v>
      </c>
      <c r="H3799" s="2" t="s">
        <v>23</v>
      </c>
      <c r="I3799" s="2" t="s">
        <v>23</v>
      </c>
      <c r="J3799" s="2">
        <v>41</v>
      </c>
      <c r="K3799" s="2" t="s">
        <v>129</v>
      </c>
      <c r="L3799" s="2">
        <v>2338</v>
      </c>
      <c r="M3799" s="2" t="s">
        <v>417</v>
      </c>
      <c r="N3799" s="2">
        <v>10</v>
      </c>
      <c r="O3799" s="2">
        <v>372222.46</v>
      </c>
      <c r="P3799" s="2">
        <v>37222.25</v>
      </c>
    </row>
    <row r="3800" spans="1:16" outlineLevel="1" x14ac:dyDescent="0.2">
      <c r="A3800" s="5"/>
      <c r="D3800" s="3" t="s">
        <v>779</v>
      </c>
      <c r="N3800" s="2">
        <f>SUBTOTAL(9,N3799:N3799)</f>
        <v>10</v>
      </c>
      <c r="O3800" s="2">
        <f>SUBTOTAL(9,O3799:O3799)</f>
        <v>372222.46</v>
      </c>
      <c r="P3800" s="2">
        <f>+O3800/N3800</f>
        <v>37222.245999999999</v>
      </c>
    </row>
    <row r="3801" spans="1:16" outlineLevel="2" x14ac:dyDescent="0.2">
      <c r="A3801" s="5">
        <v>46199</v>
      </c>
      <c r="B3801" s="2">
        <v>159920</v>
      </c>
      <c r="C3801" s="2">
        <v>315</v>
      </c>
      <c r="D3801" s="2" t="s">
        <v>26</v>
      </c>
      <c r="E3801" s="2" t="s">
        <v>51</v>
      </c>
      <c r="F3801" s="2" t="s">
        <v>23</v>
      </c>
      <c r="G3801" s="2" t="s">
        <v>22</v>
      </c>
      <c r="H3801" s="2" t="s">
        <v>23</v>
      </c>
      <c r="I3801" s="2" t="s">
        <v>23</v>
      </c>
      <c r="J3801" s="2">
        <v>5</v>
      </c>
      <c r="K3801" s="2" t="s">
        <v>27</v>
      </c>
      <c r="L3801" s="2">
        <v>2602</v>
      </c>
      <c r="M3801" s="2" t="s">
        <v>464</v>
      </c>
      <c r="N3801" s="2">
        <v>11</v>
      </c>
      <c r="O3801" s="2">
        <v>39149.440000000002</v>
      </c>
      <c r="P3801" s="2">
        <v>3559.04</v>
      </c>
    </row>
    <row r="3802" spans="1:16" outlineLevel="2" x14ac:dyDescent="0.2">
      <c r="A3802" s="5">
        <v>46181</v>
      </c>
      <c r="B3802" s="2">
        <v>159921</v>
      </c>
      <c r="C3802" s="2">
        <v>1</v>
      </c>
      <c r="D3802" s="2" t="s">
        <v>26</v>
      </c>
      <c r="E3802" s="2" t="s">
        <v>51</v>
      </c>
      <c r="F3802" s="2" t="s">
        <v>52</v>
      </c>
      <c r="G3802" s="2" t="s">
        <v>22</v>
      </c>
      <c r="H3802" s="2" t="s">
        <v>23</v>
      </c>
      <c r="I3802" s="2" t="s">
        <v>23</v>
      </c>
      <c r="J3802" s="2">
        <v>5</v>
      </c>
      <c r="K3802" s="2" t="s">
        <v>27</v>
      </c>
      <c r="L3802" s="2">
        <v>3048</v>
      </c>
      <c r="M3802" s="2" t="s">
        <v>53</v>
      </c>
      <c r="N3802" s="2">
        <v>54</v>
      </c>
      <c r="O3802" s="2">
        <v>226056.42</v>
      </c>
      <c r="P3802" s="2">
        <v>4186.2299999999996</v>
      </c>
    </row>
    <row r="3803" spans="1:16" outlineLevel="1" x14ac:dyDescent="0.2">
      <c r="A3803" s="5"/>
      <c r="D3803" s="3" t="s">
        <v>711</v>
      </c>
      <c r="N3803" s="2">
        <f>SUBTOTAL(9,N3801:N3802)</f>
        <v>65</v>
      </c>
      <c r="O3803" s="2">
        <f>SUBTOTAL(9,O3801:O3802)</f>
        <v>265205.86</v>
      </c>
      <c r="P3803" s="2">
        <f>+O3803/N3803</f>
        <v>4080.0901538461535</v>
      </c>
    </row>
    <row r="3804" spans="1:16" outlineLevel="2" x14ac:dyDescent="0.2">
      <c r="A3804" s="5">
        <v>46181</v>
      </c>
      <c r="B3804" s="2">
        <v>159922</v>
      </c>
      <c r="C3804" s="2">
        <v>1</v>
      </c>
      <c r="D3804" s="2" t="s">
        <v>38</v>
      </c>
      <c r="E3804" s="2" t="s">
        <v>39</v>
      </c>
      <c r="F3804" s="2" t="s">
        <v>23</v>
      </c>
      <c r="G3804" s="2" t="s">
        <v>22</v>
      </c>
      <c r="H3804" s="2" t="s">
        <v>23</v>
      </c>
      <c r="I3804" s="2" t="s">
        <v>580</v>
      </c>
      <c r="J3804" s="2">
        <v>1</v>
      </c>
      <c r="K3804" s="2" t="s">
        <v>24</v>
      </c>
      <c r="L3804" s="2">
        <v>206</v>
      </c>
      <c r="M3804" s="2" t="s">
        <v>516</v>
      </c>
      <c r="N3804" s="2">
        <v>100</v>
      </c>
      <c r="O3804" s="2">
        <v>2552625.4900000002</v>
      </c>
      <c r="P3804" s="2">
        <v>25526.25</v>
      </c>
    </row>
    <row r="3805" spans="1:16" outlineLevel="1" x14ac:dyDescent="0.2">
      <c r="A3805" s="5"/>
      <c r="D3805" s="3" t="s">
        <v>721</v>
      </c>
      <c r="N3805" s="2">
        <f>SUBTOTAL(9,N3804:N3804)</f>
        <v>100</v>
      </c>
      <c r="O3805" s="2">
        <f>SUBTOTAL(9,O3804:O3804)</f>
        <v>2552625.4900000002</v>
      </c>
      <c r="P3805" s="2">
        <f>+O3805/N3805</f>
        <v>25526.254900000004</v>
      </c>
    </row>
    <row r="3806" spans="1:16" outlineLevel="2" x14ac:dyDescent="0.2">
      <c r="A3806" s="5">
        <v>46178</v>
      </c>
      <c r="B3806" s="2">
        <v>159940</v>
      </c>
      <c r="C3806" s="2">
        <v>4</v>
      </c>
      <c r="D3806" s="2" t="s">
        <v>45</v>
      </c>
      <c r="E3806" s="2" t="s">
        <v>125</v>
      </c>
      <c r="F3806" s="2" t="s">
        <v>289</v>
      </c>
      <c r="G3806" s="2" t="s">
        <v>22</v>
      </c>
      <c r="H3806" s="2" t="s">
        <v>23</v>
      </c>
      <c r="I3806" s="2" t="s">
        <v>23</v>
      </c>
      <c r="J3806" s="2">
        <v>2</v>
      </c>
      <c r="K3806" s="2" t="s">
        <v>48</v>
      </c>
      <c r="L3806" s="2">
        <v>106</v>
      </c>
      <c r="M3806" s="2" t="s">
        <v>486</v>
      </c>
      <c r="N3806" s="2">
        <v>56</v>
      </c>
      <c r="O3806" s="2">
        <v>1769058.72</v>
      </c>
      <c r="P3806" s="2">
        <v>31590.33</v>
      </c>
    </row>
    <row r="3807" spans="1:16" outlineLevel="2" x14ac:dyDescent="0.2">
      <c r="A3807" s="5">
        <v>46178</v>
      </c>
      <c r="B3807" s="2">
        <v>159940</v>
      </c>
      <c r="C3807" s="2">
        <v>5</v>
      </c>
      <c r="D3807" s="2" t="s">
        <v>45</v>
      </c>
      <c r="E3807" s="2" t="s">
        <v>125</v>
      </c>
      <c r="F3807" s="2" t="s">
        <v>289</v>
      </c>
      <c r="G3807" s="2" t="s">
        <v>22</v>
      </c>
      <c r="H3807" s="2" t="s">
        <v>23</v>
      </c>
      <c r="I3807" s="2" t="s">
        <v>23</v>
      </c>
      <c r="J3807" s="2">
        <v>2</v>
      </c>
      <c r="K3807" s="2" t="s">
        <v>48</v>
      </c>
      <c r="L3807" s="2">
        <v>106</v>
      </c>
      <c r="M3807" s="2" t="s">
        <v>486</v>
      </c>
      <c r="N3807" s="2">
        <v>224</v>
      </c>
      <c r="O3807" s="2">
        <v>6832333.7599999998</v>
      </c>
      <c r="P3807" s="2">
        <v>30501.49</v>
      </c>
    </row>
    <row r="3808" spans="1:16" outlineLevel="1" x14ac:dyDescent="0.2">
      <c r="A3808" s="5"/>
      <c r="D3808" s="3" t="s">
        <v>733</v>
      </c>
      <c r="N3808" s="2">
        <f>SUBTOTAL(9,N3806:N3807)</f>
        <v>280</v>
      </c>
      <c r="O3808" s="2">
        <f>SUBTOTAL(9,O3806:O3807)</f>
        <v>8601392.4800000004</v>
      </c>
      <c r="P3808" s="2">
        <f>+O3808/N3808</f>
        <v>30719.258857142861</v>
      </c>
    </row>
    <row r="3809" spans="1:16" outlineLevel="2" x14ac:dyDescent="0.2">
      <c r="A3809" s="5">
        <v>46178</v>
      </c>
      <c r="B3809" s="2">
        <v>159940</v>
      </c>
      <c r="C3809" s="2">
        <v>11</v>
      </c>
      <c r="D3809" s="2" t="s">
        <v>226</v>
      </c>
      <c r="E3809" s="2" t="s">
        <v>276</v>
      </c>
      <c r="F3809" s="2" t="s">
        <v>289</v>
      </c>
      <c r="G3809" s="2" t="s">
        <v>22</v>
      </c>
      <c r="H3809" s="2" t="s">
        <v>23</v>
      </c>
      <c r="I3809" s="2" t="s">
        <v>23</v>
      </c>
      <c r="J3809" s="2">
        <v>41</v>
      </c>
      <c r="K3809" s="2" t="s">
        <v>129</v>
      </c>
      <c r="L3809" s="2">
        <v>106</v>
      </c>
      <c r="M3809" s="2" t="s">
        <v>486</v>
      </c>
      <c r="N3809" s="2">
        <v>24</v>
      </c>
      <c r="O3809" s="2">
        <v>524675.12</v>
      </c>
      <c r="P3809" s="2">
        <v>21861.46</v>
      </c>
    </row>
    <row r="3810" spans="1:16" outlineLevel="1" x14ac:dyDescent="0.2">
      <c r="A3810" s="5"/>
      <c r="D3810" s="3" t="s">
        <v>736</v>
      </c>
      <c r="N3810" s="2">
        <f>SUBTOTAL(9,N3809:N3809)</f>
        <v>24</v>
      </c>
      <c r="O3810" s="2">
        <f>SUBTOTAL(9,O3809:O3809)</f>
        <v>524675.12</v>
      </c>
      <c r="P3810" s="2">
        <f>+O3810/N3810</f>
        <v>21861.463333333333</v>
      </c>
    </row>
    <row r="3811" spans="1:16" outlineLevel="2" x14ac:dyDescent="0.2">
      <c r="A3811" s="5">
        <v>46178</v>
      </c>
      <c r="B3811" s="2">
        <v>159943</v>
      </c>
      <c r="C3811" s="2">
        <v>1</v>
      </c>
      <c r="D3811" s="2" t="s">
        <v>19</v>
      </c>
      <c r="E3811" s="2" t="s">
        <v>20</v>
      </c>
      <c r="F3811" s="2" t="s">
        <v>21</v>
      </c>
      <c r="G3811" s="2" t="s">
        <v>22</v>
      </c>
      <c r="H3811" s="2" t="s">
        <v>23</v>
      </c>
      <c r="I3811" s="2" t="s">
        <v>23</v>
      </c>
      <c r="J3811" s="2">
        <v>1</v>
      </c>
      <c r="K3811" s="2" t="s">
        <v>24</v>
      </c>
      <c r="L3811" s="2">
        <v>25205</v>
      </c>
      <c r="M3811" s="2" t="s">
        <v>171</v>
      </c>
      <c r="N3811" s="2">
        <v>196</v>
      </c>
      <c r="O3811" s="2">
        <v>14064233.810000001</v>
      </c>
      <c r="P3811" s="2">
        <v>71756.289999999994</v>
      </c>
    </row>
    <row r="3812" spans="1:16" outlineLevel="2" x14ac:dyDescent="0.2">
      <c r="A3812" s="5">
        <v>46178</v>
      </c>
      <c r="B3812" s="2">
        <v>159943</v>
      </c>
      <c r="C3812" s="2">
        <v>2</v>
      </c>
      <c r="D3812" s="2" t="s">
        <v>19</v>
      </c>
      <c r="E3812" s="2" t="s">
        <v>20</v>
      </c>
      <c r="F3812" s="2" t="s">
        <v>21</v>
      </c>
      <c r="G3812" s="2" t="s">
        <v>22</v>
      </c>
      <c r="H3812" s="2" t="s">
        <v>23</v>
      </c>
      <c r="I3812" s="2" t="s">
        <v>23</v>
      </c>
      <c r="J3812" s="2">
        <v>1</v>
      </c>
      <c r="K3812" s="2" t="s">
        <v>24</v>
      </c>
      <c r="L3812" s="2">
        <v>25205</v>
      </c>
      <c r="M3812" s="2" t="s">
        <v>171</v>
      </c>
      <c r="N3812" s="2">
        <v>6</v>
      </c>
      <c r="O3812" s="2">
        <v>425703.04</v>
      </c>
      <c r="P3812" s="2">
        <v>70950.509999999995</v>
      </c>
    </row>
    <row r="3813" spans="1:16" outlineLevel="1" x14ac:dyDescent="0.2">
      <c r="A3813" s="5"/>
      <c r="D3813" s="3" t="s">
        <v>704</v>
      </c>
      <c r="N3813" s="2">
        <f>SUBTOTAL(9,N3811:N3812)</f>
        <v>202</v>
      </c>
      <c r="O3813" s="2">
        <f>SUBTOTAL(9,O3811:O3812)</f>
        <v>14489936.85</v>
      </c>
      <c r="P3813" s="2">
        <f>+O3813/N3813</f>
        <v>71732.36064356436</v>
      </c>
    </row>
    <row r="3814" spans="1:16" outlineLevel="2" x14ac:dyDescent="0.2">
      <c r="A3814" s="5">
        <v>46178</v>
      </c>
      <c r="B3814" s="2">
        <v>159946</v>
      </c>
      <c r="C3814" s="2">
        <v>6</v>
      </c>
      <c r="D3814" s="2" t="s">
        <v>45</v>
      </c>
      <c r="E3814" s="2" t="s">
        <v>228</v>
      </c>
      <c r="F3814" s="2" t="s">
        <v>289</v>
      </c>
      <c r="G3814" s="2" t="s">
        <v>22</v>
      </c>
      <c r="H3814" s="2" t="s">
        <v>23</v>
      </c>
      <c r="I3814" s="2" t="s">
        <v>23</v>
      </c>
      <c r="J3814" s="2">
        <v>41</v>
      </c>
      <c r="K3814" s="2" t="s">
        <v>129</v>
      </c>
      <c r="L3814" s="2">
        <v>801</v>
      </c>
      <c r="M3814" s="2" t="s">
        <v>56</v>
      </c>
      <c r="N3814" s="2">
        <v>16</v>
      </c>
      <c r="O3814" s="2">
        <v>222927.04</v>
      </c>
      <c r="P3814" s="2">
        <v>13932.94</v>
      </c>
    </row>
    <row r="3815" spans="1:16" outlineLevel="2" x14ac:dyDescent="0.2">
      <c r="A3815" s="5">
        <v>46178</v>
      </c>
      <c r="B3815" s="2">
        <v>159946</v>
      </c>
      <c r="C3815" s="2">
        <v>8</v>
      </c>
      <c r="D3815" s="2" t="s">
        <v>45</v>
      </c>
      <c r="E3815" s="2" t="s">
        <v>558</v>
      </c>
      <c r="F3815" s="2" t="s">
        <v>289</v>
      </c>
      <c r="G3815" s="2" t="s">
        <v>22</v>
      </c>
      <c r="H3815" s="2" t="s">
        <v>23</v>
      </c>
      <c r="I3815" s="2" t="s">
        <v>23</v>
      </c>
      <c r="J3815" s="2">
        <v>41</v>
      </c>
      <c r="K3815" s="2" t="s">
        <v>129</v>
      </c>
      <c r="L3815" s="2">
        <v>801</v>
      </c>
      <c r="M3815" s="2" t="s">
        <v>56</v>
      </c>
      <c r="N3815" s="2">
        <v>35</v>
      </c>
      <c r="O3815" s="2">
        <v>531757.94999999995</v>
      </c>
      <c r="P3815" s="2">
        <v>15193.08</v>
      </c>
    </row>
    <row r="3816" spans="1:16" outlineLevel="2" x14ac:dyDescent="0.2">
      <c r="A3816" s="5">
        <v>46178</v>
      </c>
      <c r="B3816" s="2">
        <v>159946</v>
      </c>
      <c r="C3816" s="2">
        <v>11</v>
      </c>
      <c r="D3816" s="2" t="s">
        <v>45</v>
      </c>
      <c r="E3816" s="2" t="s">
        <v>581</v>
      </c>
      <c r="F3816" s="2" t="s">
        <v>289</v>
      </c>
      <c r="G3816" s="2" t="s">
        <v>22</v>
      </c>
      <c r="H3816" s="2" t="s">
        <v>23</v>
      </c>
      <c r="I3816" s="2" t="s">
        <v>23</v>
      </c>
      <c r="J3816" s="2">
        <v>41</v>
      </c>
      <c r="K3816" s="2" t="s">
        <v>129</v>
      </c>
      <c r="L3816" s="2">
        <v>801</v>
      </c>
      <c r="M3816" s="2" t="s">
        <v>56</v>
      </c>
      <c r="N3816" s="2">
        <v>31</v>
      </c>
      <c r="O3816" s="2">
        <v>707024.78</v>
      </c>
      <c r="P3816" s="2">
        <v>22807.25</v>
      </c>
    </row>
    <row r="3817" spans="1:16" outlineLevel="1" x14ac:dyDescent="0.2">
      <c r="A3817" s="5"/>
      <c r="D3817" s="3" t="s">
        <v>733</v>
      </c>
      <c r="N3817" s="2">
        <f>SUBTOTAL(9,N3814:N3816)</f>
        <v>82</v>
      </c>
      <c r="O3817" s="2">
        <f>SUBTOTAL(9,O3814:O3816)</f>
        <v>1461709.77</v>
      </c>
      <c r="P3817" s="2">
        <f>+O3817/N3817</f>
        <v>17825.728902439023</v>
      </c>
    </row>
    <row r="3818" spans="1:16" outlineLevel="2" x14ac:dyDescent="0.2">
      <c r="A3818" s="5">
        <v>46178</v>
      </c>
      <c r="B3818" s="2">
        <v>159946</v>
      </c>
      <c r="C3818" s="2">
        <v>14</v>
      </c>
      <c r="D3818" s="2" t="s">
        <v>226</v>
      </c>
      <c r="E3818" s="2" t="s">
        <v>581</v>
      </c>
      <c r="F3818" s="2" t="s">
        <v>289</v>
      </c>
      <c r="G3818" s="2" t="s">
        <v>22</v>
      </c>
      <c r="H3818" s="2" t="s">
        <v>23</v>
      </c>
      <c r="I3818" s="2" t="s">
        <v>23</v>
      </c>
      <c r="J3818" s="2">
        <v>41</v>
      </c>
      <c r="K3818" s="2" t="s">
        <v>129</v>
      </c>
      <c r="L3818" s="2">
        <v>801</v>
      </c>
      <c r="M3818" s="2" t="s">
        <v>56</v>
      </c>
      <c r="N3818" s="2">
        <v>4</v>
      </c>
      <c r="O3818" s="2">
        <v>110804.68</v>
      </c>
      <c r="P3818" s="2">
        <v>27701.17</v>
      </c>
    </row>
    <row r="3819" spans="1:16" outlineLevel="2" x14ac:dyDescent="0.2">
      <c r="A3819" s="5">
        <v>46178</v>
      </c>
      <c r="B3819" s="2">
        <v>159946</v>
      </c>
      <c r="C3819" s="2">
        <v>15</v>
      </c>
      <c r="D3819" s="2" t="s">
        <v>226</v>
      </c>
      <c r="E3819" s="2" t="s">
        <v>581</v>
      </c>
      <c r="F3819" s="2" t="s">
        <v>289</v>
      </c>
      <c r="G3819" s="2" t="s">
        <v>22</v>
      </c>
      <c r="H3819" s="2" t="s">
        <v>23</v>
      </c>
      <c r="I3819" s="2" t="s">
        <v>23</v>
      </c>
      <c r="J3819" s="2">
        <v>41</v>
      </c>
      <c r="K3819" s="2" t="s">
        <v>129</v>
      </c>
      <c r="L3819" s="2">
        <v>801</v>
      </c>
      <c r="M3819" s="2" t="s">
        <v>56</v>
      </c>
      <c r="N3819" s="2">
        <v>13</v>
      </c>
      <c r="O3819" s="2">
        <v>382517.77</v>
      </c>
      <c r="P3819" s="2">
        <v>29424.44</v>
      </c>
    </row>
    <row r="3820" spans="1:16" outlineLevel="2" x14ac:dyDescent="0.2">
      <c r="A3820" s="5">
        <v>46178</v>
      </c>
      <c r="B3820" s="2">
        <v>159946</v>
      </c>
      <c r="C3820" s="2">
        <v>16</v>
      </c>
      <c r="D3820" s="2" t="s">
        <v>226</v>
      </c>
      <c r="E3820" s="2" t="s">
        <v>568</v>
      </c>
      <c r="F3820" s="2" t="s">
        <v>289</v>
      </c>
      <c r="G3820" s="2" t="s">
        <v>22</v>
      </c>
      <c r="H3820" s="2" t="s">
        <v>23</v>
      </c>
      <c r="I3820" s="2" t="s">
        <v>23</v>
      </c>
      <c r="J3820" s="2">
        <v>41</v>
      </c>
      <c r="K3820" s="2" t="s">
        <v>129</v>
      </c>
      <c r="L3820" s="2">
        <v>801</v>
      </c>
      <c r="M3820" s="2" t="s">
        <v>56</v>
      </c>
      <c r="N3820" s="2">
        <v>21</v>
      </c>
      <c r="O3820" s="2">
        <v>604127.13</v>
      </c>
      <c r="P3820" s="2">
        <v>28767.96</v>
      </c>
    </row>
    <row r="3821" spans="1:16" outlineLevel="1" x14ac:dyDescent="0.2">
      <c r="A3821" s="5"/>
      <c r="D3821" s="3" t="s">
        <v>736</v>
      </c>
      <c r="N3821" s="2">
        <f>SUBTOTAL(9,N3818:N3820)</f>
        <v>38</v>
      </c>
      <c r="O3821" s="2">
        <f>SUBTOTAL(9,O3818:O3820)</f>
        <v>1097449.58</v>
      </c>
      <c r="P3821" s="2">
        <f>+O3821/N3821</f>
        <v>28880.25210526316</v>
      </c>
    </row>
    <row r="3822" spans="1:16" outlineLevel="2" x14ac:dyDescent="0.2">
      <c r="A3822" s="5">
        <v>46178</v>
      </c>
      <c r="B3822" s="2">
        <v>159946</v>
      </c>
      <c r="C3822" s="2">
        <v>17</v>
      </c>
      <c r="D3822" s="2" t="s">
        <v>45</v>
      </c>
      <c r="E3822" s="2" t="s">
        <v>568</v>
      </c>
      <c r="F3822" s="2" t="s">
        <v>289</v>
      </c>
      <c r="G3822" s="2" t="s">
        <v>22</v>
      </c>
      <c r="H3822" s="2" t="s">
        <v>23</v>
      </c>
      <c r="I3822" s="2" t="s">
        <v>23</v>
      </c>
      <c r="J3822" s="2">
        <v>41</v>
      </c>
      <c r="K3822" s="2" t="s">
        <v>129</v>
      </c>
      <c r="L3822" s="2">
        <v>801</v>
      </c>
      <c r="M3822" s="2" t="s">
        <v>56</v>
      </c>
      <c r="N3822" s="2">
        <v>20</v>
      </c>
      <c r="O3822" s="2">
        <v>414862.27</v>
      </c>
      <c r="P3822" s="2">
        <v>20743.11</v>
      </c>
    </row>
    <row r="3823" spans="1:16" outlineLevel="2" x14ac:dyDescent="0.2">
      <c r="A3823" s="5">
        <v>46178</v>
      </c>
      <c r="B3823" s="2">
        <v>159946</v>
      </c>
      <c r="C3823" s="2">
        <v>18</v>
      </c>
      <c r="D3823" s="2" t="s">
        <v>45</v>
      </c>
      <c r="E3823" s="2" t="s">
        <v>46</v>
      </c>
      <c r="F3823" s="2" t="s">
        <v>289</v>
      </c>
      <c r="G3823" s="2" t="s">
        <v>22</v>
      </c>
      <c r="H3823" s="2" t="s">
        <v>23</v>
      </c>
      <c r="I3823" s="2" t="s">
        <v>23</v>
      </c>
      <c r="J3823" s="2">
        <v>2</v>
      </c>
      <c r="K3823" s="2" t="s">
        <v>48</v>
      </c>
      <c r="L3823" s="2">
        <v>801</v>
      </c>
      <c r="M3823" s="2" t="s">
        <v>56</v>
      </c>
      <c r="N3823" s="2">
        <v>1</v>
      </c>
      <c r="O3823" s="2">
        <v>13699.58</v>
      </c>
      <c r="P3823" s="2">
        <v>13699.58</v>
      </c>
    </row>
    <row r="3824" spans="1:16" outlineLevel="1" x14ac:dyDescent="0.2">
      <c r="A3824" s="5"/>
      <c r="D3824" s="3" t="s">
        <v>733</v>
      </c>
      <c r="N3824" s="2">
        <f>SUBTOTAL(9,N3822:N3823)</f>
        <v>21</v>
      </c>
      <c r="O3824" s="2">
        <f>SUBTOTAL(9,O3822:O3823)</f>
        <v>428561.85000000003</v>
      </c>
      <c r="P3824" s="2">
        <f>+O3824/N3824</f>
        <v>20407.707142857143</v>
      </c>
    </row>
    <row r="3825" spans="1:16" outlineLevel="2" x14ac:dyDescent="0.2">
      <c r="A3825" s="5">
        <v>46178</v>
      </c>
      <c r="B3825" s="2">
        <v>159946</v>
      </c>
      <c r="C3825" s="2">
        <v>22</v>
      </c>
      <c r="D3825" s="2" t="s">
        <v>226</v>
      </c>
      <c r="E3825" s="2" t="s">
        <v>151</v>
      </c>
      <c r="F3825" s="2" t="s">
        <v>289</v>
      </c>
      <c r="G3825" s="2" t="s">
        <v>22</v>
      </c>
      <c r="H3825" s="2" t="s">
        <v>23</v>
      </c>
      <c r="I3825" s="2" t="s">
        <v>23</v>
      </c>
      <c r="J3825" s="2">
        <v>41</v>
      </c>
      <c r="K3825" s="2" t="s">
        <v>129</v>
      </c>
      <c r="L3825" s="2">
        <v>801</v>
      </c>
      <c r="M3825" s="2" t="s">
        <v>56</v>
      </c>
      <c r="N3825" s="2">
        <v>16</v>
      </c>
      <c r="O3825" s="2">
        <v>290134.58</v>
      </c>
      <c r="P3825" s="2">
        <v>18133.41</v>
      </c>
    </row>
    <row r="3826" spans="1:16" outlineLevel="1" x14ac:dyDescent="0.2">
      <c r="A3826" s="5"/>
      <c r="D3826" s="3" t="s">
        <v>736</v>
      </c>
      <c r="N3826" s="2">
        <f>SUBTOTAL(9,N3825:N3825)</f>
        <v>16</v>
      </c>
      <c r="O3826" s="2">
        <f>SUBTOTAL(9,O3825:O3825)</f>
        <v>290134.58</v>
      </c>
      <c r="P3826" s="2">
        <f>+O3826/N3826</f>
        <v>18133.411250000001</v>
      </c>
    </row>
    <row r="3827" spans="1:16" outlineLevel="2" x14ac:dyDescent="0.2">
      <c r="A3827" s="5">
        <v>46178</v>
      </c>
      <c r="B3827" s="2">
        <v>159946</v>
      </c>
      <c r="C3827" s="2">
        <v>306</v>
      </c>
      <c r="D3827" s="2" t="s">
        <v>54</v>
      </c>
      <c r="E3827" s="2" t="s">
        <v>30</v>
      </c>
      <c r="F3827" s="2" t="s">
        <v>289</v>
      </c>
      <c r="G3827" s="2" t="s">
        <v>22</v>
      </c>
      <c r="H3827" s="2" t="s">
        <v>23</v>
      </c>
      <c r="I3827" s="2" t="s">
        <v>23</v>
      </c>
      <c r="J3827" s="2">
        <v>2</v>
      </c>
      <c r="K3827" s="2" t="s">
        <v>48</v>
      </c>
      <c r="L3827" s="2">
        <v>801</v>
      </c>
      <c r="M3827" s="2" t="s">
        <v>56</v>
      </c>
      <c r="N3827" s="2">
        <v>7</v>
      </c>
      <c r="O3827" s="2">
        <v>86562.67</v>
      </c>
      <c r="P3827" s="2">
        <v>12366.1</v>
      </c>
    </row>
    <row r="3828" spans="1:16" outlineLevel="1" x14ac:dyDescent="0.2">
      <c r="A3828" s="5"/>
      <c r="D3828" s="3" t="s">
        <v>719</v>
      </c>
      <c r="N3828" s="2">
        <f>SUBTOTAL(9,N3827:N3827)</f>
        <v>7</v>
      </c>
      <c r="O3828" s="2">
        <f>SUBTOTAL(9,O3827:O3827)</f>
        <v>86562.67</v>
      </c>
      <c r="P3828" s="2">
        <f>+O3828/N3828</f>
        <v>12366.095714285713</v>
      </c>
    </row>
    <row r="3829" spans="1:16" outlineLevel="2" x14ac:dyDescent="0.2">
      <c r="A3829" s="5">
        <v>46183</v>
      </c>
      <c r="B3829" s="2">
        <v>159946</v>
      </c>
      <c r="C3829" s="2">
        <v>311</v>
      </c>
      <c r="D3829" s="2" t="s">
        <v>45</v>
      </c>
      <c r="E3829" s="2" t="s">
        <v>228</v>
      </c>
      <c r="F3829" s="2" t="s">
        <v>23</v>
      </c>
      <c r="G3829" s="2" t="s">
        <v>22</v>
      </c>
      <c r="H3829" s="2" t="s">
        <v>23</v>
      </c>
      <c r="I3829" s="2" t="s">
        <v>23</v>
      </c>
      <c r="J3829" s="2">
        <v>2</v>
      </c>
      <c r="K3829" s="2" t="s">
        <v>48</v>
      </c>
      <c r="L3829" s="2">
        <v>801</v>
      </c>
      <c r="M3829" s="2" t="s">
        <v>56</v>
      </c>
      <c r="N3829" s="2">
        <v>10</v>
      </c>
      <c r="O3829" s="2">
        <v>112987.04</v>
      </c>
      <c r="P3829" s="2">
        <v>11298.7</v>
      </c>
    </row>
    <row r="3830" spans="1:16" outlineLevel="1" x14ac:dyDescent="0.2">
      <c r="A3830" s="5"/>
      <c r="D3830" s="3" t="s">
        <v>733</v>
      </c>
      <c r="N3830" s="2">
        <f>SUBTOTAL(9,N3829:N3829)</f>
        <v>10</v>
      </c>
      <c r="O3830" s="2">
        <f>SUBTOTAL(9,O3829:O3829)</f>
        <v>112987.04</v>
      </c>
      <c r="P3830" s="2">
        <f>+O3830/N3830</f>
        <v>11298.704</v>
      </c>
    </row>
    <row r="3831" spans="1:16" outlineLevel="2" x14ac:dyDescent="0.2">
      <c r="A3831" s="5">
        <v>46178</v>
      </c>
      <c r="B3831" s="2">
        <v>159946</v>
      </c>
      <c r="C3831" s="2">
        <v>315</v>
      </c>
      <c r="D3831" s="2" t="s">
        <v>54</v>
      </c>
      <c r="E3831" s="2" t="s">
        <v>30</v>
      </c>
      <c r="F3831" s="2" t="s">
        <v>289</v>
      </c>
      <c r="G3831" s="2" t="s">
        <v>22</v>
      </c>
      <c r="H3831" s="2" t="s">
        <v>23</v>
      </c>
      <c r="I3831" s="2" t="s">
        <v>23</v>
      </c>
      <c r="J3831" s="2">
        <v>2</v>
      </c>
      <c r="K3831" s="2" t="s">
        <v>48</v>
      </c>
      <c r="L3831" s="2">
        <v>801</v>
      </c>
      <c r="M3831" s="2" t="s">
        <v>56</v>
      </c>
      <c r="N3831" s="2">
        <v>7</v>
      </c>
      <c r="O3831" s="2">
        <v>92465.31</v>
      </c>
      <c r="P3831" s="2">
        <v>13209.33</v>
      </c>
    </row>
    <row r="3832" spans="1:16" outlineLevel="1" x14ac:dyDescent="0.2">
      <c r="A3832" s="5"/>
      <c r="D3832" s="3" t="s">
        <v>719</v>
      </c>
      <c r="N3832" s="2">
        <f>SUBTOTAL(9,N3831:N3831)</f>
        <v>7</v>
      </c>
      <c r="O3832" s="2">
        <f>SUBTOTAL(9,O3831:O3831)</f>
        <v>92465.31</v>
      </c>
      <c r="P3832" s="2">
        <f>+O3832/N3832</f>
        <v>13209.33</v>
      </c>
    </row>
    <row r="3833" spans="1:16" outlineLevel="2" x14ac:dyDescent="0.2">
      <c r="A3833" s="5">
        <v>46148</v>
      </c>
      <c r="B3833" s="2">
        <v>159948</v>
      </c>
      <c r="C3833" s="2">
        <v>315</v>
      </c>
      <c r="D3833" s="2" t="s">
        <v>110</v>
      </c>
      <c r="E3833" s="2" t="s">
        <v>111</v>
      </c>
      <c r="F3833" s="2" t="s">
        <v>55</v>
      </c>
      <c r="G3833" s="2" t="s">
        <v>23</v>
      </c>
      <c r="H3833" s="2" t="s">
        <v>23</v>
      </c>
      <c r="I3833" s="2" t="s">
        <v>23</v>
      </c>
      <c r="J3833" s="2">
        <v>2</v>
      </c>
      <c r="K3833" s="2" t="s">
        <v>48</v>
      </c>
      <c r="L3833" s="2">
        <v>600</v>
      </c>
      <c r="M3833" s="2" t="s">
        <v>112</v>
      </c>
      <c r="N3833" s="2">
        <v>11</v>
      </c>
      <c r="O3833" s="2">
        <v>43349.919999999998</v>
      </c>
      <c r="P3833" s="2">
        <v>3940.9</v>
      </c>
    </row>
    <row r="3834" spans="1:16" outlineLevel="1" x14ac:dyDescent="0.2">
      <c r="A3834" s="5"/>
      <c r="D3834" s="3" t="s">
        <v>697</v>
      </c>
      <c r="N3834" s="2">
        <f>SUBTOTAL(9,N3833:N3833)</f>
        <v>11</v>
      </c>
      <c r="O3834" s="2">
        <f>SUBTOTAL(9,O3833:O3833)</f>
        <v>43349.919999999998</v>
      </c>
      <c r="P3834" s="2">
        <f>+O3834/N3834</f>
        <v>3940.9018181818178</v>
      </c>
    </row>
    <row r="3835" spans="1:16" outlineLevel="2" x14ac:dyDescent="0.2">
      <c r="A3835" s="5">
        <v>46202</v>
      </c>
      <c r="B3835" s="2">
        <v>159953</v>
      </c>
      <c r="C3835" s="2">
        <v>2</v>
      </c>
      <c r="D3835" s="2" t="s">
        <v>197</v>
      </c>
      <c r="E3835" s="2" t="s">
        <v>284</v>
      </c>
      <c r="F3835" s="2" t="s">
        <v>23</v>
      </c>
      <c r="G3835" s="2" t="s">
        <v>22</v>
      </c>
      <c r="H3835" s="2" t="s">
        <v>23</v>
      </c>
      <c r="I3835" s="2" t="s">
        <v>23</v>
      </c>
      <c r="J3835" s="2">
        <v>1</v>
      </c>
      <c r="K3835" s="2" t="s">
        <v>24</v>
      </c>
      <c r="L3835" s="2">
        <v>3003</v>
      </c>
      <c r="M3835" s="2" t="s">
        <v>414</v>
      </c>
      <c r="N3835" s="2">
        <v>59</v>
      </c>
      <c r="O3835" s="2">
        <v>752269.07</v>
      </c>
      <c r="P3835" s="2">
        <v>12750.32</v>
      </c>
    </row>
    <row r="3836" spans="1:16" outlineLevel="2" x14ac:dyDescent="0.2">
      <c r="A3836" s="5">
        <v>46195</v>
      </c>
      <c r="B3836" s="2">
        <v>159954</v>
      </c>
      <c r="C3836" s="2">
        <v>1</v>
      </c>
      <c r="D3836" s="2" t="s">
        <v>197</v>
      </c>
      <c r="E3836" s="2" t="s">
        <v>284</v>
      </c>
      <c r="F3836" s="2" t="s">
        <v>23</v>
      </c>
      <c r="G3836" s="2" t="s">
        <v>22</v>
      </c>
      <c r="H3836" s="2" t="s">
        <v>23</v>
      </c>
      <c r="I3836" s="2" t="s">
        <v>23</v>
      </c>
      <c r="J3836" s="2">
        <v>2</v>
      </c>
      <c r="K3836" s="2" t="s">
        <v>48</v>
      </c>
      <c r="L3836" s="2">
        <v>2403</v>
      </c>
      <c r="M3836" s="2" t="s">
        <v>142</v>
      </c>
      <c r="N3836" s="2">
        <v>8</v>
      </c>
      <c r="O3836" s="2">
        <v>118931.01</v>
      </c>
      <c r="P3836" s="2">
        <v>14866.38</v>
      </c>
    </row>
    <row r="3837" spans="1:16" outlineLevel="1" x14ac:dyDescent="0.2">
      <c r="A3837" s="5"/>
      <c r="D3837" s="3" t="s">
        <v>734</v>
      </c>
      <c r="N3837" s="2">
        <f>SUBTOTAL(9,N3835:N3836)</f>
        <v>67</v>
      </c>
      <c r="O3837" s="2">
        <f>SUBTOTAL(9,O3835:O3836)</f>
        <v>871200.08</v>
      </c>
      <c r="P3837" s="2">
        <f>+O3837/N3837</f>
        <v>13002.986268656716</v>
      </c>
    </row>
    <row r="3838" spans="1:16" outlineLevel="2" x14ac:dyDescent="0.2">
      <c r="A3838" s="5">
        <v>46185</v>
      </c>
      <c r="B3838" s="2">
        <v>159955</v>
      </c>
      <c r="C3838" s="2">
        <v>1</v>
      </c>
      <c r="D3838" s="2" t="s">
        <v>38</v>
      </c>
      <c r="E3838" s="2" t="s">
        <v>39</v>
      </c>
      <c r="F3838" s="2" t="s">
        <v>21</v>
      </c>
      <c r="G3838" s="2" t="s">
        <v>556</v>
      </c>
      <c r="H3838" s="2" t="s">
        <v>23</v>
      </c>
      <c r="I3838" s="2" t="s">
        <v>135</v>
      </c>
      <c r="J3838" s="2">
        <v>1</v>
      </c>
      <c r="K3838" s="2" t="s">
        <v>24</v>
      </c>
      <c r="L3838" s="2">
        <v>25186</v>
      </c>
      <c r="M3838" s="2" t="s">
        <v>418</v>
      </c>
      <c r="N3838" s="2">
        <v>103</v>
      </c>
      <c r="O3838" s="2">
        <v>3576103.25</v>
      </c>
      <c r="P3838" s="2">
        <v>34719.449999999997</v>
      </c>
    </row>
    <row r="3839" spans="1:16" outlineLevel="2" x14ac:dyDescent="0.2">
      <c r="A3839" s="5">
        <v>46182</v>
      </c>
      <c r="B3839" s="2">
        <v>159956</v>
      </c>
      <c r="C3839" s="2">
        <v>1</v>
      </c>
      <c r="D3839" s="2" t="s">
        <v>38</v>
      </c>
      <c r="E3839" s="2" t="s">
        <v>39</v>
      </c>
      <c r="F3839" s="2" t="s">
        <v>40</v>
      </c>
      <c r="G3839" s="2" t="s">
        <v>22</v>
      </c>
      <c r="H3839" s="2" t="s">
        <v>23</v>
      </c>
      <c r="I3839" s="2" t="s">
        <v>355</v>
      </c>
      <c r="J3839" s="2">
        <v>40</v>
      </c>
      <c r="K3839" s="2" t="s">
        <v>43</v>
      </c>
      <c r="L3839" s="2">
        <v>2579</v>
      </c>
      <c r="M3839" s="2" t="s">
        <v>44</v>
      </c>
      <c r="N3839" s="2">
        <v>303</v>
      </c>
      <c r="O3839" s="2">
        <v>7353274.2000000002</v>
      </c>
      <c r="P3839" s="2">
        <v>24268.23</v>
      </c>
    </row>
    <row r="3840" spans="1:16" outlineLevel="2" x14ac:dyDescent="0.2">
      <c r="A3840" s="5">
        <v>46185</v>
      </c>
      <c r="B3840" s="2">
        <v>159956</v>
      </c>
      <c r="C3840" s="2">
        <v>2</v>
      </c>
      <c r="D3840" s="2" t="s">
        <v>38</v>
      </c>
      <c r="E3840" s="2" t="s">
        <v>39</v>
      </c>
      <c r="F3840" s="2" t="s">
        <v>23</v>
      </c>
      <c r="G3840" s="2" t="s">
        <v>22</v>
      </c>
      <c r="H3840" s="2" t="s">
        <v>23</v>
      </c>
      <c r="I3840" s="2" t="s">
        <v>410</v>
      </c>
      <c r="J3840" s="2">
        <v>40</v>
      </c>
      <c r="K3840" s="2" t="s">
        <v>43</v>
      </c>
      <c r="L3840" s="2">
        <v>2579</v>
      </c>
      <c r="M3840" s="2" t="s">
        <v>44</v>
      </c>
      <c r="N3840" s="2">
        <v>58</v>
      </c>
      <c r="O3840" s="2">
        <v>1151973.2</v>
      </c>
      <c r="P3840" s="2">
        <v>19861.61</v>
      </c>
    </row>
    <row r="3841" spans="1:16" outlineLevel="2" x14ac:dyDescent="0.2">
      <c r="A3841" s="5">
        <v>46188</v>
      </c>
      <c r="B3841" s="2">
        <v>159959</v>
      </c>
      <c r="C3841" s="2">
        <v>1</v>
      </c>
      <c r="D3841" s="2" t="s">
        <v>38</v>
      </c>
      <c r="E3841" s="2" t="s">
        <v>39</v>
      </c>
      <c r="F3841" s="2" t="s">
        <v>40</v>
      </c>
      <c r="G3841" s="2" t="s">
        <v>22</v>
      </c>
      <c r="H3841" s="2" t="s">
        <v>23</v>
      </c>
      <c r="I3841" s="2" t="s">
        <v>355</v>
      </c>
      <c r="J3841" s="2">
        <v>40</v>
      </c>
      <c r="K3841" s="2" t="s">
        <v>43</v>
      </c>
      <c r="L3841" s="2">
        <v>2579</v>
      </c>
      <c r="M3841" s="2" t="s">
        <v>44</v>
      </c>
      <c r="N3841" s="2">
        <v>2223</v>
      </c>
      <c r="O3841" s="2">
        <v>56729666.490000002</v>
      </c>
      <c r="P3841" s="2">
        <v>25519.42</v>
      </c>
    </row>
    <row r="3842" spans="1:16" outlineLevel="2" x14ac:dyDescent="0.2">
      <c r="A3842" s="5">
        <v>46199</v>
      </c>
      <c r="B3842" s="2">
        <v>159959</v>
      </c>
      <c r="C3842" s="2">
        <v>2</v>
      </c>
      <c r="D3842" s="2" t="s">
        <v>38</v>
      </c>
      <c r="E3842" s="2" t="s">
        <v>39</v>
      </c>
      <c r="F3842" s="2" t="s">
        <v>40</v>
      </c>
      <c r="G3842" s="2" t="s">
        <v>22</v>
      </c>
      <c r="H3842" s="2" t="s">
        <v>23</v>
      </c>
      <c r="I3842" s="2" t="s">
        <v>182</v>
      </c>
      <c r="J3842" s="2">
        <v>40</v>
      </c>
      <c r="K3842" s="2" t="s">
        <v>43</v>
      </c>
      <c r="L3842" s="2">
        <v>2579</v>
      </c>
      <c r="M3842" s="2" t="s">
        <v>44</v>
      </c>
      <c r="N3842" s="2">
        <v>96</v>
      </c>
      <c r="O3842" s="2">
        <v>1763209.92</v>
      </c>
      <c r="P3842" s="2">
        <v>18366.77</v>
      </c>
    </row>
    <row r="3843" spans="1:16" outlineLevel="1" x14ac:dyDescent="0.2">
      <c r="A3843" s="5"/>
      <c r="D3843" s="3" t="s">
        <v>721</v>
      </c>
      <c r="N3843" s="2">
        <f>SUBTOTAL(9,N3838:N3842)</f>
        <v>2783</v>
      </c>
      <c r="O3843" s="2">
        <f>SUBTOTAL(9,O3838:O3842)</f>
        <v>70574227.060000002</v>
      </c>
      <c r="P3843" s="2">
        <f>+O3843/N3843</f>
        <v>25359.046733740568</v>
      </c>
    </row>
    <row r="3844" spans="1:16" outlineLevel="2" x14ac:dyDescent="0.2">
      <c r="A3844" s="5">
        <v>46176</v>
      </c>
      <c r="B3844" s="2">
        <v>159967</v>
      </c>
      <c r="C3844" s="2">
        <v>301</v>
      </c>
      <c r="D3844" s="2" t="s">
        <v>45</v>
      </c>
      <c r="E3844" s="2" t="s">
        <v>125</v>
      </c>
      <c r="F3844" s="2" t="s">
        <v>289</v>
      </c>
      <c r="G3844" s="2" t="s">
        <v>22</v>
      </c>
      <c r="H3844" s="2" t="s">
        <v>23</v>
      </c>
      <c r="I3844" s="2" t="s">
        <v>23</v>
      </c>
      <c r="J3844" s="2">
        <v>2</v>
      </c>
      <c r="K3844" s="2" t="s">
        <v>48</v>
      </c>
      <c r="L3844" s="2">
        <v>106</v>
      </c>
      <c r="M3844" s="2" t="s">
        <v>486</v>
      </c>
      <c r="N3844" s="2">
        <v>14</v>
      </c>
      <c r="O3844" s="2">
        <v>137325.26</v>
      </c>
      <c r="P3844" s="2">
        <v>9808.9500000000007</v>
      </c>
    </row>
    <row r="3845" spans="1:16" outlineLevel="1" x14ac:dyDescent="0.2">
      <c r="A3845" s="5"/>
      <c r="D3845" s="3" t="s">
        <v>733</v>
      </c>
      <c r="N3845" s="2">
        <f>SUBTOTAL(9,N3844:N3844)</f>
        <v>14</v>
      </c>
      <c r="O3845" s="2">
        <f>SUBTOTAL(9,O3844:O3844)</f>
        <v>137325.26</v>
      </c>
      <c r="P3845" s="2">
        <f>+O3845/N3845</f>
        <v>9808.9471428571433</v>
      </c>
    </row>
    <row r="3846" spans="1:16" outlineLevel="2" x14ac:dyDescent="0.2">
      <c r="A3846" s="5">
        <v>46181</v>
      </c>
      <c r="B3846" s="2">
        <v>159970</v>
      </c>
      <c r="C3846" s="2">
        <v>1</v>
      </c>
      <c r="D3846" s="2" t="s">
        <v>197</v>
      </c>
      <c r="E3846" s="2" t="s">
        <v>533</v>
      </c>
      <c r="F3846" s="2" t="s">
        <v>40</v>
      </c>
      <c r="G3846" s="2" t="s">
        <v>22</v>
      </c>
      <c r="H3846" s="2" t="s">
        <v>23</v>
      </c>
      <c r="I3846" s="2" t="s">
        <v>23</v>
      </c>
      <c r="J3846" s="2">
        <v>1</v>
      </c>
      <c r="K3846" s="2" t="s">
        <v>24</v>
      </c>
      <c r="L3846" s="2">
        <v>2541</v>
      </c>
      <c r="M3846" s="2" t="s">
        <v>534</v>
      </c>
      <c r="N3846" s="2">
        <v>360</v>
      </c>
      <c r="O3846" s="2">
        <v>25925146.68</v>
      </c>
      <c r="P3846" s="2">
        <v>72014.3</v>
      </c>
    </row>
    <row r="3847" spans="1:16" outlineLevel="2" x14ac:dyDescent="0.2">
      <c r="A3847" s="5">
        <v>46181</v>
      </c>
      <c r="B3847" s="2">
        <v>159970</v>
      </c>
      <c r="C3847" s="2">
        <v>2</v>
      </c>
      <c r="D3847" s="2" t="s">
        <v>197</v>
      </c>
      <c r="E3847" s="2" t="s">
        <v>582</v>
      </c>
      <c r="F3847" s="2" t="s">
        <v>23</v>
      </c>
      <c r="G3847" s="2" t="s">
        <v>22</v>
      </c>
      <c r="H3847" s="2" t="s">
        <v>23</v>
      </c>
      <c r="I3847" s="2" t="s">
        <v>23</v>
      </c>
      <c r="J3847" s="2">
        <v>1</v>
      </c>
      <c r="K3847" s="2" t="s">
        <v>24</v>
      </c>
      <c r="L3847" s="2">
        <v>2541</v>
      </c>
      <c r="M3847" s="2" t="s">
        <v>534</v>
      </c>
      <c r="N3847" s="2">
        <v>94</v>
      </c>
      <c r="O3847" s="2">
        <v>4090122.76</v>
      </c>
      <c r="P3847" s="2">
        <v>43511.94</v>
      </c>
    </row>
    <row r="3848" spans="1:16" outlineLevel="2" x14ac:dyDescent="0.2">
      <c r="A3848" s="5">
        <v>46198</v>
      </c>
      <c r="B3848" s="2">
        <v>159970</v>
      </c>
      <c r="C3848" s="2">
        <v>3</v>
      </c>
      <c r="D3848" s="2" t="s">
        <v>197</v>
      </c>
      <c r="E3848" s="2" t="s">
        <v>536</v>
      </c>
      <c r="F3848" s="2" t="s">
        <v>23</v>
      </c>
      <c r="G3848" s="2" t="s">
        <v>22</v>
      </c>
      <c r="H3848" s="2" t="s">
        <v>23</v>
      </c>
      <c r="I3848" s="2" t="s">
        <v>23</v>
      </c>
      <c r="J3848" s="2">
        <v>1</v>
      </c>
      <c r="K3848" s="2" t="s">
        <v>24</v>
      </c>
      <c r="L3848" s="2">
        <v>2541</v>
      </c>
      <c r="M3848" s="2" t="s">
        <v>534</v>
      </c>
      <c r="N3848" s="2">
        <v>39</v>
      </c>
      <c r="O3848" s="2">
        <v>2500322.23</v>
      </c>
      <c r="P3848" s="2">
        <v>64110.83</v>
      </c>
    </row>
    <row r="3849" spans="1:16" outlineLevel="1" x14ac:dyDescent="0.2">
      <c r="A3849" s="5"/>
      <c r="D3849" s="3" t="s">
        <v>734</v>
      </c>
      <c r="N3849" s="2">
        <f>SUBTOTAL(9,N3846:N3848)</f>
        <v>493</v>
      </c>
      <c r="O3849" s="2">
        <f>SUBTOTAL(9,O3846:O3848)</f>
        <v>32515591.669999998</v>
      </c>
      <c r="P3849" s="2">
        <f>+O3849/N3849</f>
        <v>65954.5469979716</v>
      </c>
    </row>
    <row r="3850" spans="1:16" outlineLevel="2" x14ac:dyDescent="0.2">
      <c r="A3850" s="5">
        <v>46182</v>
      </c>
      <c r="B3850" s="2">
        <v>159979</v>
      </c>
      <c r="C3850" s="2">
        <v>2</v>
      </c>
      <c r="D3850" s="2" t="s">
        <v>140</v>
      </c>
      <c r="E3850" s="2" t="s">
        <v>23</v>
      </c>
      <c r="F3850" s="2" t="s">
        <v>23</v>
      </c>
      <c r="G3850" s="2" t="s">
        <v>22</v>
      </c>
      <c r="H3850" s="2" t="s">
        <v>23</v>
      </c>
      <c r="I3850" s="2" t="s">
        <v>23</v>
      </c>
      <c r="J3850" s="2">
        <v>1</v>
      </c>
      <c r="K3850" s="2" t="s">
        <v>24</v>
      </c>
      <c r="L3850" s="2">
        <v>1833</v>
      </c>
      <c r="M3850" s="2" t="s">
        <v>142</v>
      </c>
      <c r="N3850" s="2">
        <v>9</v>
      </c>
      <c r="O3850" s="2">
        <v>105601.5</v>
      </c>
      <c r="P3850" s="2">
        <v>11733.5</v>
      </c>
    </row>
    <row r="3851" spans="1:16" outlineLevel="1" x14ac:dyDescent="0.2">
      <c r="A3851" s="5"/>
      <c r="D3851" s="3" t="s">
        <v>696</v>
      </c>
      <c r="N3851" s="2">
        <f>SUBTOTAL(9,N3850:N3850)</f>
        <v>9</v>
      </c>
      <c r="O3851" s="2">
        <f>SUBTOTAL(9,O3850:O3850)</f>
        <v>105601.5</v>
      </c>
      <c r="P3851" s="2">
        <f>+O3851/N3851</f>
        <v>11733.5</v>
      </c>
    </row>
    <row r="3852" spans="1:16" outlineLevel="2" x14ac:dyDescent="0.2">
      <c r="A3852" s="5">
        <v>46246</v>
      </c>
      <c r="B3852" s="2">
        <v>159984</v>
      </c>
      <c r="C3852" s="2">
        <v>2</v>
      </c>
      <c r="D3852" s="2" t="s">
        <v>67</v>
      </c>
      <c r="E3852" s="2" t="s">
        <v>68</v>
      </c>
      <c r="F3852" s="2" t="s">
        <v>72</v>
      </c>
      <c r="G3852" s="2" t="s">
        <v>23</v>
      </c>
      <c r="H3852" s="2" t="s">
        <v>23</v>
      </c>
      <c r="I3852" s="2" t="s">
        <v>23</v>
      </c>
      <c r="J3852" s="2">
        <v>1</v>
      </c>
      <c r="K3852" s="2" t="s">
        <v>24</v>
      </c>
      <c r="L3852" s="2">
        <v>600</v>
      </c>
      <c r="M3852" s="2" t="s">
        <v>112</v>
      </c>
      <c r="N3852" s="2">
        <v>9</v>
      </c>
      <c r="O3852" s="2">
        <v>34857.519999999997</v>
      </c>
      <c r="P3852" s="2">
        <v>3873.06</v>
      </c>
    </row>
    <row r="3853" spans="1:16" outlineLevel="2" x14ac:dyDescent="0.2">
      <c r="A3853" s="5">
        <v>46248</v>
      </c>
      <c r="B3853" s="2">
        <v>159984</v>
      </c>
      <c r="C3853" s="2">
        <v>315</v>
      </c>
      <c r="D3853" s="2" t="s">
        <v>67</v>
      </c>
      <c r="E3853" s="2" t="s">
        <v>68</v>
      </c>
      <c r="F3853" s="2" t="s">
        <v>72</v>
      </c>
      <c r="G3853" s="2" t="s">
        <v>23</v>
      </c>
      <c r="H3853" s="2" t="s">
        <v>23</v>
      </c>
      <c r="I3853" s="2" t="s">
        <v>23</v>
      </c>
      <c r="J3853" s="2">
        <v>2</v>
      </c>
      <c r="K3853" s="2" t="s">
        <v>48</v>
      </c>
      <c r="L3853" s="2">
        <v>1921</v>
      </c>
      <c r="M3853" s="2" t="s">
        <v>490</v>
      </c>
      <c r="N3853" s="2">
        <v>3</v>
      </c>
      <c r="O3853" s="2">
        <v>15871.89</v>
      </c>
      <c r="P3853" s="2">
        <v>5290.63</v>
      </c>
    </row>
    <row r="3854" spans="1:16" outlineLevel="1" x14ac:dyDescent="0.2">
      <c r="A3854" s="5"/>
      <c r="D3854" s="3" t="s">
        <v>720</v>
      </c>
      <c r="N3854" s="2">
        <f>SUBTOTAL(9,N3852:N3853)</f>
        <v>12</v>
      </c>
      <c r="O3854" s="2">
        <f>SUBTOTAL(9,O3852:O3853)</f>
        <v>50729.409999999996</v>
      </c>
      <c r="P3854" s="2">
        <f>+O3854/N3854</f>
        <v>4227.4508333333333</v>
      </c>
    </row>
    <row r="3855" spans="1:16" outlineLevel="2" x14ac:dyDescent="0.2">
      <c r="A3855" s="5">
        <v>46183</v>
      </c>
      <c r="B3855" s="2">
        <v>159988</v>
      </c>
      <c r="C3855" s="2">
        <v>1</v>
      </c>
      <c r="D3855" s="2" t="s">
        <v>207</v>
      </c>
      <c r="E3855" s="2" t="s">
        <v>23</v>
      </c>
      <c r="F3855" s="2" t="s">
        <v>47</v>
      </c>
      <c r="G3855" s="2" t="s">
        <v>22</v>
      </c>
      <c r="H3855" s="2" t="s">
        <v>208</v>
      </c>
      <c r="I3855" s="2" t="s">
        <v>23</v>
      </c>
      <c r="J3855" s="2">
        <v>41</v>
      </c>
      <c r="K3855" s="2" t="s">
        <v>129</v>
      </c>
      <c r="L3855" s="2">
        <v>25213</v>
      </c>
      <c r="M3855" s="2" t="s">
        <v>130</v>
      </c>
      <c r="N3855" s="2">
        <v>50</v>
      </c>
      <c r="O3855" s="2">
        <v>171587.5</v>
      </c>
      <c r="P3855" s="2">
        <v>3431.75</v>
      </c>
    </row>
    <row r="3856" spans="1:16" outlineLevel="1" x14ac:dyDescent="0.2">
      <c r="A3856" s="5"/>
      <c r="D3856" s="3" t="s">
        <v>699</v>
      </c>
      <c r="N3856" s="2">
        <f>SUBTOTAL(9,N3855:N3855)</f>
        <v>50</v>
      </c>
      <c r="O3856" s="2">
        <f>SUBTOTAL(9,O3855:O3855)</f>
        <v>171587.5</v>
      </c>
      <c r="P3856" s="2">
        <f>+O3856/N3856</f>
        <v>3431.75</v>
      </c>
    </row>
    <row r="3857" spans="1:16" outlineLevel="2" x14ac:dyDescent="0.2">
      <c r="A3857" s="5">
        <v>46183</v>
      </c>
      <c r="B3857" s="2">
        <v>159988</v>
      </c>
      <c r="C3857" s="2">
        <v>2</v>
      </c>
      <c r="D3857" s="2" t="s">
        <v>128</v>
      </c>
      <c r="E3857" s="2" t="s">
        <v>23</v>
      </c>
      <c r="F3857" s="2" t="s">
        <v>47</v>
      </c>
      <c r="G3857" s="2" t="s">
        <v>22</v>
      </c>
      <c r="H3857" s="2" t="s">
        <v>209</v>
      </c>
      <c r="I3857" s="2" t="s">
        <v>23</v>
      </c>
      <c r="J3857" s="2">
        <v>41</v>
      </c>
      <c r="K3857" s="2" t="s">
        <v>129</v>
      </c>
      <c r="L3857" s="2">
        <v>25213</v>
      </c>
      <c r="M3857" s="2" t="s">
        <v>130</v>
      </c>
      <c r="N3857" s="2">
        <v>50</v>
      </c>
      <c r="O3857" s="2">
        <v>187497.85</v>
      </c>
      <c r="P3857" s="2">
        <v>3749.96</v>
      </c>
    </row>
    <row r="3858" spans="1:16" outlineLevel="1" x14ac:dyDescent="0.2">
      <c r="A3858" s="5"/>
      <c r="D3858" s="3" t="s">
        <v>732</v>
      </c>
      <c r="N3858" s="2">
        <f>SUBTOTAL(9,N3857:N3857)</f>
        <v>50</v>
      </c>
      <c r="O3858" s="2">
        <f>SUBTOTAL(9,O3857:O3857)</f>
        <v>187497.85</v>
      </c>
      <c r="P3858" s="2">
        <f>+O3858/N3858</f>
        <v>3749.9570000000003</v>
      </c>
    </row>
    <row r="3859" spans="1:16" outlineLevel="2" x14ac:dyDescent="0.2">
      <c r="A3859" s="5">
        <v>46183</v>
      </c>
      <c r="B3859" s="2">
        <v>159988</v>
      </c>
      <c r="C3859" s="2">
        <v>3</v>
      </c>
      <c r="D3859" s="2" t="s">
        <v>207</v>
      </c>
      <c r="E3859" s="2" t="s">
        <v>23</v>
      </c>
      <c r="F3859" s="2" t="s">
        <v>47</v>
      </c>
      <c r="G3859" s="2" t="s">
        <v>22</v>
      </c>
      <c r="H3859" s="2" t="s">
        <v>23</v>
      </c>
      <c r="I3859" s="2" t="s">
        <v>23</v>
      </c>
      <c r="J3859" s="2">
        <v>1</v>
      </c>
      <c r="K3859" s="2" t="s">
        <v>24</v>
      </c>
      <c r="L3859" s="2">
        <v>25213</v>
      </c>
      <c r="M3859" s="2" t="s">
        <v>130</v>
      </c>
      <c r="N3859" s="2">
        <v>3</v>
      </c>
      <c r="O3859" s="2">
        <v>238987.8</v>
      </c>
      <c r="P3859" s="2">
        <v>79662.600000000006</v>
      </c>
    </row>
    <row r="3860" spans="1:16" outlineLevel="2" x14ac:dyDescent="0.2">
      <c r="A3860" s="5">
        <v>46183</v>
      </c>
      <c r="B3860" s="2">
        <v>159988</v>
      </c>
      <c r="C3860" s="2">
        <v>4</v>
      </c>
      <c r="D3860" s="2" t="s">
        <v>207</v>
      </c>
      <c r="E3860" s="2" t="s">
        <v>527</v>
      </c>
      <c r="F3860" s="2" t="s">
        <v>47</v>
      </c>
      <c r="G3860" s="2" t="s">
        <v>23</v>
      </c>
      <c r="H3860" s="2" t="s">
        <v>23</v>
      </c>
      <c r="I3860" s="2" t="s">
        <v>23</v>
      </c>
      <c r="J3860" s="2">
        <v>1</v>
      </c>
      <c r="K3860" s="2" t="s">
        <v>24</v>
      </c>
      <c r="L3860" s="2">
        <v>25213</v>
      </c>
      <c r="M3860" s="2" t="s">
        <v>130</v>
      </c>
      <c r="N3860" s="2">
        <v>2</v>
      </c>
      <c r="O3860" s="2">
        <v>133811.22</v>
      </c>
      <c r="P3860" s="2">
        <v>66905.61</v>
      </c>
    </row>
    <row r="3861" spans="1:16" outlineLevel="1" x14ac:dyDescent="0.2">
      <c r="A3861" s="5"/>
      <c r="D3861" s="3" t="s">
        <v>699</v>
      </c>
      <c r="N3861" s="2">
        <f>SUBTOTAL(9,N3859:N3860)</f>
        <v>5</v>
      </c>
      <c r="O3861" s="2">
        <f>SUBTOTAL(9,O3859:O3860)</f>
        <v>372799.02</v>
      </c>
      <c r="P3861" s="2">
        <f>+O3861/N3861</f>
        <v>74559.804000000004</v>
      </c>
    </row>
    <row r="3862" spans="1:16" outlineLevel="2" x14ac:dyDescent="0.2">
      <c r="A3862" s="5">
        <v>46183</v>
      </c>
      <c r="B3862" s="2">
        <v>159988</v>
      </c>
      <c r="C3862" s="2">
        <v>5</v>
      </c>
      <c r="D3862" s="2" t="s">
        <v>128</v>
      </c>
      <c r="E3862" s="2" t="s">
        <v>23</v>
      </c>
      <c r="F3862" s="2" t="s">
        <v>47</v>
      </c>
      <c r="G3862" s="2" t="s">
        <v>22</v>
      </c>
      <c r="H3862" s="2" t="s">
        <v>23</v>
      </c>
      <c r="I3862" s="2" t="s">
        <v>23</v>
      </c>
      <c r="J3862" s="2">
        <v>1</v>
      </c>
      <c r="K3862" s="2" t="s">
        <v>24</v>
      </c>
      <c r="L3862" s="2">
        <v>25213</v>
      </c>
      <c r="M3862" s="2" t="s">
        <v>130</v>
      </c>
      <c r="N3862" s="2">
        <v>4</v>
      </c>
      <c r="O3862" s="2">
        <v>355365.66</v>
      </c>
      <c r="P3862" s="2">
        <v>88841.42</v>
      </c>
    </row>
    <row r="3863" spans="1:16" outlineLevel="1" x14ac:dyDescent="0.2">
      <c r="A3863" s="5"/>
      <c r="D3863" s="3" t="s">
        <v>732</v>
      </c>
      <c r="N3863" s="2">
        <f>SUBTOTAL(9,N3862:N3862)</f>
        <v>4</v>
      </c>
      <c r="O3863" s="2">
        <f>SUBTOTAL(9,O3862:O3862)</f>
        <v>355365.66</v>
      </c>
      <c r="P3863" s="2">
        <f>+O3863/N3863</f>
        <v>88841.414999999994</v>
      </c>
    </row>
    <row r="3864" spans="1:16" outlineLevel="2" x14ac:dyDescent="0.2">
      <c r="A3864" s="5">
        <v>46183</v>
      </c>
      <c r="B3864" s="2">
        <v>159989</v>
      </c>
      <c r="C3864" s="2">
        <v>1</v>
      </c>
      <c r="D3864" s="2" t="s">
        <v>579</v>
      </c>
      <c r="E3864" s="2" t="s">
        <v>23</v>
      </c>
      <c r="F3864" s="2" t="s">
        <v>23</v>
      </c>
      <c r="G3864" s="2" t="s">
        <v>23</v>
      </c>
      <c r="H3864" s="2" t="s">
        <v>23</v>
      </c>
      <c r="I3864" s="2" t="s">
        <v>23</v>
      </c>
      <c r="J3864" s="2">
        <v>41</v>
      </c>
      <c r="K3864" s="2" t="s">
        <v>129</v>
      </c>
      <c r="L3864" s="2">
        <v>2338</v>
      </c>
      <c r="M3864" s="2" t="s">
        <v>417</v>
      </c>
      <c r="N3864" s="2">
        <v>393</v>
      </c>
      <c r="O3864" s="2">
        <v>431372.01</v>
      </c>
      <c r="P3864" s="2">
        <v>1097.6400000000001</v>
      </c>
    </row>
    <row r="3865" spans="1:16" outlineLevel="1" x14ac:dyDescent="0.2">
      <c r="A3865" s="5"/>
      <c r="D3865" s="3" t="s">
        <v>800</v>
      </c>
      <c r="N3865" s="2">
        <f>SUBTOTAL(9,N3864:N3864)</f>
        <v>393</v>
      </c>
      <c r="O3865" s="2">
        <f>SUBTOTAL(9,O3864:O3864)</f>
        <v>431372.01</v>
      </c>
      <c r="P3865" s="2">
        <f>+O3865/N3865</f>
        <v>1097.6387022900763</v>
      </c>
    </row>
    <row r="3866" spans="1:16" outlineLevel="2" x14ac:dyDescent="0.2">
      <c r="A3866" s="5">
        <v>46183</v>
      </c>
      <c r="B3866" s="2">
        <v>159989</v>
      </c>
      <c r="C3866" s="2">
        <v>2</v>
      </c>
      <c r="D3866" s="2" t="s">
        <v>470</v>
      </c>
      <c r="E3866" s="2" t="s">
        <v>23</v>
      </c>
      <c r="F3866" s="2" t="s">
        <v>23</v>
      </c>
      <c r="G3866" s="2" t="s">
        <v>22</v>
      </c>
      <c r="H3866" s="2" t="s">
        <v>23</v>
      </c>
      <c r="I3866" s="2" t="s">
        <v>23</v>
      </c>
      <c r="J3866" s="2">
        <v>86</v>
      </c>
      <c r="K3866" s="2" t="s">
        <v>73</v>
      </c>
      <c r="L3866" s="2">
        <v>2338</v>
      </c>
      <c r="M3866" s="2" t="s">
        <v>417</v>
      </c>
      <c r="N3866" s="2">
        <v>14</v>
      </c>
      <c r="O3866" s="2">
        <v>470562.94</v>
      </c>
      <c r="P3866" s="2">
        <v>33611.64</v>
      </c>
    </row>
    <row r="3867" spans="1:16" outlineLevel="1" x14ac:dyDescent="0.2">
      <c r="A3867" s="5"/>
      <c r="D3867" s="3" t="s">
        <v>779</v>
      </c>
      <c r="N3867" s="2">
        <f>SUBTOTAL(9,N3866:N3866)</f>
        <v>14</v>
      </c>
      <c r="O3867" s="2">
        <f>SUBTOTAL(9,O3866:O3866)</f>
        <v>470562.94</v>
      </c>
      <c r="P3867" s="2">
        <f>+O3867/N3867</f>
        <v>33611.638571428572</v>
      </c>
    </row>
    <row r="3868" spans="1:16" outlineLevel="2" x14ac:dyDescent="0.2">
      <c r="A3868" s="5">
        <v>46185</v>
      </c>
      <c r="B3868" s="2">
        <v>159995</v>
      </c>
      <c r="C3868" s="2">
        <v>2</v>
      </c>
      <c r="D3868" s="2" t="s">
        <v>160</v>
      </c>
      <c r="E3868" s="2" t="s">
        <v>222</v>
      </c>
      <c r="F3868" s="2" t="s">
        <v>40</v>
      </c>
      <c r="G3868" s="2" t="s">
        <v>22</v>
      </c>
      <c r="H3868" s="2" t="s">
        <v>23</v>
      </c>
      <c r="I3868" s="2" t="s">
        <v>23</v>
      </c>
      <c r="J3868" s="2">
        <v>2</v>
      </c>
      <c r="K3868" s="2" t="s">
        <v>48</v>
      </c>
      <c r="L3868" s="2">
        <v>25054</v>
      </c>
      <c r="M3868" s="2" t="s">
        <v>351</v>
      </c>
      <c r="N3868" s="2">
        <v>2</v>
      </c>
      <c r="O3868" s="2">
        <v>36733.54</v>
      </c>
      <c r="P3868" s="2">
        <v>18366.77</v>
      </c>
    </row>
    <row r="3869" spans="1:16" outlineLevel="1" x14ac:dyDescent="0.2">
      <c r="A3869" s="5"/>
      <c r="D3869" s="3" t="s">
        <v>709</v>
      </c>
      <c r="N3869" s="2">
        <f>SUBTOTAL(9,N3868:N3868)</f>
        <v>2</v>
      </c>
      <c r="O3869" s="2">
        <f>SUBTOTAL(9,O3868:O3868)</f>
        <v>36733.54</v>
      </c>
      <c r="P3869" s="2">
        <f>+O3869/N3869</f>
        <v>18366.77</v>
      </c>
    </row>
    <row r="3870" spans="1:16" outlineLevel="2" x14ac:dyDescent="0.2">
      <c r="A3870" s="5">
        <v>46220</v>
      </c>
      <c r="B3870" s="2">
        <v>160001</v>
      </c>
      <c r="C3870" s="2">
        <v>1</v>
      </c>
      <c r="D3870" s="2" t="s">
        <v>140</v>
      </c>
      <c r="E3870" s="2" t="s">
        <v>55</v>
      </c>
      <c r="F3870" s="2" t="s">
        <v>23</v>
      </c>
      <c r="G3870" s="2" t="s">
        <v>23</v>
      </c>
      <c r="H3870" s="2" t="s">
        <v>23</v>
      </c>
      <c r="I3870" s="2" t="s">
        <v>23</v>
      </c>
      <c r="J3870" s="2">
        <v>1</v>
      </c>
      <c r="K3870" s="2" t="s">
        <v>24</v>
      </c>
      <c r="L3870" s="2">
        <v>1833</v>
      </c>
      <c r="M3870" s="2" t="s">
        <v>142</v>
      </c>
      <c r="N3870" s="2">
        <v>16</v>
      </c>
      <c r="O3870" s="2">
        <v>88511.81</v>
      </c>
      <c r="P3870" s="2">
        <v>5531.99</v>
      </c>
    </row>
    <row r="3871" spans="1:16" outlineLevel="1" x14ac:dyDescent="0.2">
      <c r="A3871" s="5"/>
      <c r="D3871" s="3" t="s">
        <v>696</v>
      </c>
      <c r="N3871" s="2">
        <f>SUBTOTAL(9,N3870:N3870)</f>
        <v>16</v>
      </c>
      <c r="O3871" s="2">
        <f>SUBTOTAL(9,O3870:O3870)</f>
        <v>88511.81</v>
      </c>
      <c r="P3871" s="2">
        <f>+O3871/N3871</f>
        <v>5531.9881249999999</v>
      </c>
    </row>
    <row r="3872" spans="1:16" outlineLevel="2" x14ac:dyDescent="0.2">
      <c r="A3872" s="5">
        <v>46192</v>
      </c>
      <c r="B3872" s="2">
        <v>160008</v>
      </c>
      <c r="C3872" s="2">
        <v>315</v>
      </c>
      <c r="D3872" s="2" t="s">
        <v>54</v>
      </c>
      <c r="E3872" s="2" t="s">
        <v>20</v>
      </c>
      <c r="F3872" s="2" t="s">
        <v>23</v>
      </c>
      <c r="G3872" s="2" t="s">
        <v>22</v>
      </c>
      <c r="H3872" s="2" t="s">
        <v>23</v>
      </c>
      <c r="I3872" s="2" t="s">
        <v>23</v>
      </c>
      <c r="J3872" s="2">
        <v>2</v>
      </c>
      <c r="K3872" s="2" t="s">
        <v>48</v>
      </c>
      <c r="L3872" s="2">
        <v>29103</v>
      </c>
      <c r="M3872" s="2" t="s">
        <v>583</v>
      </c>
      <c r="N3872" s="2">
        <v>8</v>
      </c>
      <c r="O3872" s="2">
        <v>56390.64</v>
      </c>
      <c r="P3872" s="2">
        <v>7048.83</v>
      </c>
    </row>
    <row r="3873" spans="1:16" outlineLevel="1" x14ac:dyDescent="0.2">
      <c r="A3873" s="5"/>
      <c r="D3873" s="3" t="s">
        <v>719</v>
      </c>
      <c r="N3873" s="2">
        <f>SUBTOTAL(9,N3872:N3872)</f>
        <v>8</v>
      </c>
      <c r="O3873" s="2">
        <f>SUBTOTAL(9,O3872:O3872)</f>
        <v>56390.64</v>
      </c>
      <c r="P3873" s="2">
        <f>+O3873/N3873</f>
        <v>7048.83</v>
      </c>
    </row>
    <row r="3874" spans="1:16" outlineLevel="2" x14ac:dyDescent="0.2">
      <c r="A3874" s="5">
        <v>46181</v>
      </c>
      <c r="B3874" s="2">
        <v>160011</v>
      </c>
      <c r="C3874" s="2">
        <v>2</v>
      </c>
      <c r="D3874" s="2" t="s">
        <v>197</v>
      </c>
      <c r="E3874" s="2" t="s">
        <v>584</v>
      </c>
      <c r="F3874" s="2" t="s">
        <v>40</v>
      </c>
      <c r="G3874" s="2" t="s">
        <v>22</v>
      </c>
      <c r="H3874" s="2" t="s">
        <v>23</v>
      </c>
      <c r="I3874" s="2" t="s">
        <v>23</v>
      </c>
      <c r="J3874" s="2">
        <v>1</v>
      </c>
      <c r="K3874" s="2" t="s">
        <v>24</v>
      </c>
      <c r="L3874" s="2">
        <v>2541</v>
      </c>
      <c r="M3874" s="2" t="s">
        <v>534</v>
      </c>
      <c r="N3874" s="2">
        <v>900</v>
      </c>
      <c r="O3874" s="2">
        <v>76432455.489999995</v>
      </c>
      <c r="P3874" s="2">
        <v>84924.95</v>
      </c>
    </row>
    <row r="3875" spans="1:16" outlineLevel="1" x14ac:dyDescent="0.2">
      <c r="A3875" s="5"/>
      <c r="D3875" s="3" t="s">
        <v>734</v>
      </c>
      <c r="N3875" s="2">
        <f>SUBTOTAL(9,N3874:N3874)</f>
        <v>900</v>
      </c>
      <c r="O3875" s="2">
        <f>SUBTOTAL(9,O3874:O3874)</f>
        <v>76432455.489999995</v>
      </c>
      <c r="P3875" s="2">
        <f>+O3875/N3875</f>
        <v>84924.950544444437</v>
      </c>
    </row>
    <row r="3876" spans="1:16" outlineLevel="2" x14ac:dyDescent="0.2">
      <c r="A3876" s="5">
        <v>46181</v>
      </c>
      <c r="B3876" s="2">
        <v>160046</v>
      </c>
      <c r="C3876" s="2">
        <v>3</v>
      </c>
      <c r="D3876" s="2" t="s">
        <v>45</v>
      </c>
      <c r="E3876" s="2" t="s">
        <v>125</v>
      </c>
      <c r="F3876" s="2" t="s">
        <v>289</v>
      </c>
      <c r="G3876" s="2" t="s">
        <v>22</v>
      </c>
      <c r="H3876" s="2" t="s">
        <v>23</v>
      </c>
      <c r="I3876" s="2" t="s">
        <v>23</v>
      </c>
      <c r="J3876" s="2">
        <v>2</v>
      </c>
      <c r="K3876" s="2" t="s">
        <v>48</v>
      </c>
      <c r="L3876" s="2">
        <v>106</v>
      </c>
      <c r="M3876" s="2" t="s">
        <v>486</v>
      </c>
      <c r="N3876" s="2">
        <v>56</v>
      </c>
      <c r="O3876" s="2">
        <v>2044254.64</v>
      </c>
      <c r="P3876" s="2">
        <v>36504.550000000003</v>
      </c>
    </row>
    <row r="3877" spans="1:16" outlineLevel="2" x14ac:dyDescent="0.2">
      <c r="A3877" s="5">
        <v>46181</v>
      </c>
      <c r="B3877" s="2">
        <v>160046</v>
      </c>
      <c r="C3877" s="2">
        <v>4</v>
      </c>
      <c r="D3877" s="2" t="s">
        <v>45</v>
      </c>
      <c r="E3877" s="2" t="s">
        <v>125</v>
      </c>
      <c r="F3877" s="2" t="s">
        <v>289</v>
      </c>
      <c r="G3877" s="2" t="s">
        <v>22</v>
      </c>
      <c r="H3877" s="2" t="s">
        <v>23</v>
      </c>
      <c r="I3877" s="2" t="s">
        <v>23</v>
      </c>
      <c r="J3877" s="2">
        <v>2</v>
      </c>
      <c r="K3877" s="2" t="s">
        <v>48</v>
      </c>
      <c r="L3877" s="2">
        <v>106</v>
      </c>
      <c r="M3877" s="2" t="s">
        <v>486</v>
      </c>
      <c r="N3877" s="2">
        <v>54</v>
      </c>
      <c r="O3877" s="2">
        <v>1697486.02</v>
      </c>
      <c r="P3877" s="2">
        <v>31434.93</v>
      </c>
    </row>
    <row r="3878" spans="1:16" outlineLevel="1" x14ac:dyDescent="0.2">
      <c r="A3878" s="5"/>
      <c r="D3878" s="3" t="s">
        <v>733</v>
      </c>
      <c r="N3878" s="2">
        <f>SUBTOTAL(9,N3876:N3877)</f>
        <v>110</v>
      </c>
      <c r="O3878" s="2">
        <f>SUBTOTAL(9,O3876:O3877)</f>
        <v>3741740.66</v>
      </c>
      <c r="P3878" s="2">
        <f>+O3878/N3878</f>
        <v>34015.824181818185</v>
      </c>
    </row>
    <row r="3879" spans="1:16" outlineLevel="2" x14ac:dyDescent="0.2">
      <c r="A3879" s="5">
        <v>46181</v>
      </c>
      <c r="B3879" s="2">
        <v>160046</v>
      </c>
      <c r="C3879" s="2">
        <v>5</v>
      </c>
      <c r="D3879" s="2" t="s">
        <v>226</v>
      </c>
      <c r="E3879" s="2" t="s">
        <v>585</v>
      </c>
      <c r="F3879" s="2" t="s">
        <v>289</v>
      </c>
      <c r="G3879" s="2" t="s">
        <v>22</v>
      </c>
      <c r="H3879" s="2" t="s">
        <v>23</v>
      </c>
      <c r="I3879" s="2" t="s">
        <v>23</v>
      </c>
      <c r="J3879" s="2">
        <v>2</v>
      </c>
      <c r="K3879" s="2" t="s">
        <v>48</v>
      </c>
      <c r="L3879" s="2">
        <v>106</v>
      </c>
      <c r="M3879" s="2" t="s">
        <v>486</v>
      </c>
      <c r="N3879" s="2">
        <v>40</v>
      </c>
      <c r="O3879" s="2">
        <v>869388.53</v>
      </c>
      <c r="P3879" s="2">
        <v>21734.71</v>
      </c>
    </row>
    <row r="3880" spans="1:16" outlineLevel="1" x14ac:dyDescent="0.2">
      <c r="A3880" s="5"/>
      <c r="D3880" s="3" t="s">
        <v>736</v>
      </c>
      <c r="N3880" s="2">
        <f>SUBTOTAL(9,N3879:N3879)</f>
        <v>40</v>
      </c>
      <c r="O3880" s="2">
        <f>SUBTOTAL(9,O3879:O3879)</f>
        <v>869388.53</v>
      </c>
      <c r="P3880" s="2">
        <f>+O3880/N3880</f>
        <v>21734.713250000001</v>
      </c>
    </row>
    <row r="3881" spans="1:16" outlineLevel="2" x14ac:dyDescent="0.2">
      <c r="A3881" s="5">
        <v>46181</v>
      </c>
      <c r="B3881" s="2">
        <v>160048</v>
      </c>
      <c r="C3881" s="2">
        <v>12</v>
      </c>
      <c r="D3881" s="2" t="s">
        <v>45</v>
      </c>
      <c r="E3881" s="2" t="s">
        <v>227</v>
      </c>
      <c r="F3881" s="2" t="s">
        <v>289</v>
      </c>
      <c r="G3881" s="2" t="s">
        <v>22</v>
      </c>
      <c r="H3881" s="2" t="s">
        <v>23</v>
      </c>
      <c r="I3881" s="2" t="s">
        <v>23</v>
      </c>
      <c r="J3881" s="2">
        <v>41</v>
      </c>
      <c r="K3881" s="2" t="s">
        <v>129</v>
      </c>
      <c r="L3881" s="2">
        <v>801</v>
      </c>
      <c r="M3881" s="2" t="s">
        <v>56</v>
      </c>
      <c r="N3881" s="2">
        <v>32</v>
      </c>
      <c r="O3881" s="2">
        <v>1065657.6000000001</v>
      </c>
      <c r="P3881" s="2">
        <v>33301.800000000003</v>
      </c>
    </row>
    <row r="3882" spans="1:16" outlineLevel="2" x14ac:dyDescent="0.2">
      <c r="A3882" s="5">
        <v>46181</v>
      </c>
      <c r="B3882" s="2">
        <v>160048</v>
      </c>
      <c r="C3882" s="2">
        <v>13</v>
      </c>
      <c r="D3882" s="2" t="s">
        <v>45</v>
      </c>
      <c r="E3882" s="2" t="s">
        <v>227</v>
      </c>
      <c r="F3882" s="2" t="s">
        <v>289</v>
      </c>
      <c r="G3882" s="2" t="s">
        <v>22</v>
      </c>
      <c r="H3882" s="2" t="s">
        <v>23</v>
      </c>
      <c r="I3882" s="2" t="s">
        <v>23</v>
      </c>
      <c r="J3882" s="2">
        <v>41</v>
      </c>
      <c r="K3882" s="2" t="s">
        <v>129</v>
      </c>
      <c r="L3882" s="2">
        <v>801</v>
      </c>
      <c r="M3882" s="2" t="s">
        <v>56</v>
      </c>
      <c r="N3882" s="2">
        <v>73</v>
      </c>
      <c r="O3882" s="2">
        <v>1686772.75</v>
      </c>
      <c r="P3882" s="2">
        <v>23106.48</v>
      </c>
    </row>
    <row r="3883" spans="1:16" outlineLevel="2" x14ac:dyDescent="0.2">
      <c r="A3883" s="5">
        <v>46181</v>
      </c>
      <c r="B3883" s="2">
        <v>160048</v>
      </c>
      <c r="C3883" s="2">
        <v>15</v>
      </c>
      <c r="D3883" s="2" t="s">
        <v>45</v>
      </c>
      <c r="E3883" s="2" t="s">
        <v>568</v>
      </c>
      <c r="F3883" s="2" t="s">
        <v>289</v>
      </c>
      <c r="G3883" s="2" t="s">
        <v>22</v>
      </c>
      <c r="H3883" s="2" t="s">
        <v>23</v>
      </c>
      <c r="I3883" s="2" t="s">
        <v>23</v>
      </c>
      <c r="J3883" s="2">
        <v>41</v>
      </c>
      <c r="K3883" s="2" t="s">
        <v>129</v>
      </c>
      <c r="L3883" s="2">
        <v>801</v>
      </c>
      <c r="M3883" s="2" t="s">
        <v>56</v>
      </c>
      <c r="N3883" s="2">
        <v>12</v>
      </c>
      <c r="O3883" s="2">
        <v>214565.71</v>
      </c>
      <c r="P3883" s="2">
        <v>17880.48</v>
      </c>
    </row>
    <row r="3884" spans="1:16" outlineLevel="2" x14ac:dyDescent="0.2">
      <c r="A3884" s="5">
        <v>46181</v>
      </c>
      <c r="B3884" s="2">
        <v>160048</v>
      </c>
      <c r="C3884" s="2">
        <v>18</v>
      </c>
      <c r="D3884" s="2" t="s">
        <v>45</v>
      </c>
      <c r="E3884" s="2" t="s">
        <v>558</v>
      </c>
      <c r="F3884" s="2" t="s">
        <v>289</v>
      </c>
      <c r="G3884" s="2" t="s">
        <v>22</v>
      </c>
      <c r="H3884" s="2" t="s">
        <v>23</v>
      </c>
      <c r="I3884" s="2" t="s">
        <v>23</v>
      </c>
      <c r="J3884" s="2">
        <v>41</v>
      </c>
      <c r="K3884" s="2" t="s">
        <v>129</v>
      </c>
      <c r="L3884" s="2">
        <v>801</v>
      </c>
      <c r="M3884" s="2" t="s">
        <v>56</v>
      </c>
      <c r="N3884" s="2">
        <v>53</v>
      </c>
      <c r="O3884" s="2">
        <v>862359.94</v>
      </c>
      <c r="P3884" s="2">
        <v>16270.94</v>
      </c>
    </row>
    <row r="3885" spans="1:16" outlineLevel="2" x14ac:dyDescent="0.2">
      <c r="A3885" s="5">
        <v>46181</v>
      </c>
      <c r="B3885" s="2">
        <v>160048</v>
      </c>
      <c r="C3885" s="2">
        <v>19</v>
      </c>
      <c r="D3885" s="2" t="s">
        <v>45</v>
      </c>
      <c r="E3885" s="2" t="s">
        <v>559</v>
      </c>
      <c r="F3885" s="2" t="s">
        <v>289</v>
      </c>
      <c r="G3885" s="2" t="s">
        <v>22</v>
      </c>
      <c r="H3885" s="2" t="s">
        <v>23</v>
      </c>
      <c r="I3885" s="2" t="s">
        <v>23</v>
      </c>
      <c r="J3885" s="2">
        <v>41</v>
      </c>
      <c r="K3885" s="2" t="s">
        <v>129</v>
      </c>
      <c r="L3885" s="2">
        <v>801</v>
      </c>
      <c r="M3885" s="2" t="s">
        <v>56</v>
      </c>
      <c r="N3885" s="2">
        <v>14</v>
      </c>
      <c r="O3885" s="2">
        <v>216997</v>
      </c>
      <c r="P3885" s="2">
        <v>15499.79</v>
      </c>
    </row>
    <row r="3886" spans="1:16" outlineLevel="1" x14ac:dyDescent="0.2">
      <c r="A3886" s="5"/>
      <c r="D3886" s="3" t="s">
        <v>733</v>
      </c>
      <c r="N3886" s="2">
        <f>SUBTOTAL(9,N3881:N3885)</f>
        <v>184</v>
      </c>
      <c r="O3886" s="2">
        <f>SUBTOTAL(9,O3881:O3885)</f>
        <v>4046353</v>
      </c>
      <c r="P3886" s="2">
        <f>+O3886/N3886</f>
        <v>21991.04891304348</v>
      </c>
    </row>
    <row r="3887" spans="1:16" outlineLevel="2" x14ac:dyDescent="0.2">
      <c r="A3887" s="5">
        <v>46181</v>
      </c>
      <c r="B3887" s="2">
        <v>160048</v>
      </c>
      <c r="C3887" s="2">
        <v>21</v>
      </c>
      <c r="D3887" s="2" t="s">
        <v>226</v>
      </c>
      <c r="E3887" s="2" t="s">
        <v>586</v>
      </c>
      <c r="F3887" s="2" t="s">
        <v>289</v>
      </c>
      <c r="G3887" s="2" t="s">
        <v>22</v>
      </c>
      <c r="H3887" s="2" t="s">
        <v>23</v>
      </c>
      <c r="I3887" s="2" t="s">
        <v>23</v>
      </c>
      <c r="J3887" s="2">
        <v>41</v>
      </c>
      <c r="K3887" s="2" t="s">
        <v>129</v>
      </c>
      <c r="L3887" s="2">
        <v>801</v>
      </c>
      <c r="M3887" s="2" t="s">
        <v>56</v>
      </c>
      <c r="N3887" s="2">
        <v>24</v>
      </c>
      <c r="O3887" s="2">
        <v>586419.19999999995</v>
      </c>
      <c r="P3887" s="2">
        <v>24434.13</v>
      </c>
    </row>
    <row r="3888" spans="1:16" outlineLevel="2" x14ac:dyDescent="0.2">
      <c r="A3888" s="5">
        <v>46181</v>
      </c>
      <c r="B3888" s="2">
        <v>160048</v>
      </c>
      <c r="C3888" s="2">
        <v>24</v>
      </c>
      <c r="D3888" s="2" t="s">
        <v>226</v>
      </c>
      <c r="E3888" s="2" t="s">
        <v>151</v>
      </c>
      <c r="F3888" s="2" t="s">
        <v>289</v>
      </c>
      <c r="G3888" s="2" t="s">
        <v>22</v>
      </c>
      <c r="H3888" s="2" t="s">
        <v>23</v>
      </c>
      <c r="I3888" s="2" t="s">
        <v>23</v>
      </c>
      <c r="J3888" s="2">
        <v>41</v>
      </c>
      <c r="K3888" s="2" t="s">
        <v>129</v>
      </c>
      <c r="L3888" s="2">
        <v>801</v>
      </c>
      <c r="M3888" s="2" t="s">
        <v>56</v>
      </c>
      <c r="N3888" s="2">
        <v>32</v>
      </c>
      <c r="O3888" s="2">
        <v>598004.77</v>
      </c>
      <c r="P3888" s="2">
        <v>18687.650000000001</v>
      </c>
    </row>
    <row r="3889" spans="1:16" outlineLevel="2" x14ac:dyDescent="0.2">
      <c r="A3889" s="5">
        <v>46181</v>
      </c>
      <c r="B3889" s="2">
        <v>160048</v>
      </c>
      <c r="C3889" s="2">
        <v>27</v>
      </c>
      <c r="D3889" s="2" t="s">
        <v>226</v>
      </c>
      <c r="E3889" s="2" t="s">
        <v>581</v>
      </c>
      <c r="F3889" s="2" t="s">
        <v>289</v>
      </c>
      <c r="G3889" s="2" t="s">
        <v>22</v>
      </c>
      <c r="H3889" s="2" t="s">
        <v>23</v>
      </c>
      <c r="I3889" s="2" t="s">
        <v>23</v>
      </c>
      <c r="J3889" s="2">
        <v>41</v>
      </c>
      <c r="K3889" s="2" t="s">
        <v>129</v>
      </c>
      <c r="L3889" s="2">
        <v>801</v>
      </c>
      <c r="M3889" s="2" t="s">
        <v>56</v>
      </c>
      <c r="N3889" s="2">
        <v>65</v>
      </c>
      <c r="O3889" s="2">
        <v>1514312.37</v>
      </c>
      <c r="P3889" s="2">
        <v>23297.11</v>
      </c>
    </row>
    <row r="3890" spans="1:16" outlineLevel="2" x14ac:dyDescent="0.2">
      <c r="A3890" s="5">
        <v>46181</v>
      </c>
      <c r="B3890" s="2">
        <v>160048</v>
      </c>
      <c r="C3890" s="2">
        <v>28</v>
      </c>
      <c r="D3890" s="2" t="s">
        <v>226</v>
      </c>
      <c r="E3890" s="2" t="s">
        <v>581</v>
      </c>
      <c r="F3890" s="2" t="s">
        <v>289</v>
      </c>
      <c r="G3890" s="2" t="s">
        <v>22</v>
      </c>
      <c r="H3890" s="2" t="s">
        <v>23</v>
      </c>
      <c r="I3890" s="2" t="s">
        <v>23</v>
      </c>
      <c r="J3890" s="2">
        <v>41</v>
      </c>
      <c r="K3890" s="2" t="s">
        <v>129</v>
      </c>
      <c r="L3890" s="2">
        <v>801</v>
      </c>
      <c r="M3890" s="2" t="s">
        <v>56</v>
      </c>
      <c r="N3890" s="2">
        <v>48</v>
      </c>
      <c r="O3890" s="2">
        <v>1315654.6200000001</v>
      </c>
      <c r="P3890" s="2">
        <v>27409.47</v>
      </c>
    </row>
    <row r="3891" spans="1:16" outlineLevel="2" x14ac:dyDescent="0.2">
      <c r="A3891" s="5">
        <v>46181</v>
      </c>
      <c r="B3891" s="2">
        <v>160048</v>
      </c>
      <c r="C3891" s="2">
        <v>29</v>
      </c>
      <c r="D3891" s="2" t="s">
        <v>226</v>
      </c>
      <c r="E3891" s="2" t="s">
        <v>568</v>
      </c>
      <c r="F3891" s="2" t="s">
        <v>289</v>
      </c>
      <c r="G3891" s="2" t="s">
        <v>22</v>
      </c>
      <c r="H3891" s="2" t="s">
        <v>23</v>
      </c>
      <c r="I3891" s="2" t="s">
        <v>23</v>
      </c>
      <c r="J3891" s="2">
        <v>41</v>
      </c>
      <c r="K3891" s="2" t="s">
        <v>129</v>
      </c>
      <c r="L3891" s="2">
        <v>801</v>
      </c>
      <c r="M3891" s="2" t="s">
        <v>56</v>
      </c>
      <c r="N3891" s="2">
        <v>19</v>
      </c>
      <c r="O3891" s="2">
        <v>506720.03</v>
      </c>
      <c r="P3891" s="2">
        <v>26669.48</v>
      </c>
    </row>
    <row r="3892" spans="1:16" outlineLevel="1" x14ac:dyDescent="0.2">
      <c r="A3892" s="5"/>
      <c r="D3892" s="3" t="s">
        <v>736</v>
      </c>
      <c r="N3892" s="2">
        <f>SUBTOTAL(9,N3887:N3891)</f>
        <v>188</v>
      </c>
      <c r="O3892" s="2">
        <f>SUBTOTAL(9,O3887:O3891)</f>
        <v>4521110.99</v>
      </c>
      <c r="P3892" s="2">
        <f>+O3892/N3892</f>
        <v>24048.462712765959</v>
      </c>
    </row>
    <row r="3893" spans="1:16" outlineLevel="2" x14ac:dyDescent="0.2">
      <c r="A3893" s="5">
        <v>46185</v>
      </c>
      <c r="B3893" s="2">
        <v>160048</v>
      </c>
      <c r="C3893" s="2">
        <v>308</v>
      </c>
      <c r="D3893" s="2" t="s">
        <v>54</v>
      </c>
      <c r="E3893" s="2" t="s">
        <v>30</v>
      </c>
      <c r="F3893" s="2" t="s">
        <v>23</v>
      </c>
      <c r="G3893" s="2" t="s">
        <v>22</v>
      </c>
      <c r="H3893" s="2" t="s">
        <v>23</v>
      </c>
      <c r="I3893" s="2" t="s">
        <v>23</v>
      </c>
      <c r="J3893" s="2">
        <v>2</v>
      </c>
      <c r="K3893" s="2" t="s">
        <v>48</v>
      </c>
      <c r="L3893" s="2">
        <v>801</v>
      </c>
      <c r="M3893" s="2" t="s">
        <v>56</v>
      </c>
      <c r="N3893" s="2">
        <v>7</v>
      </c>
      <c r="O3893" s="2">
        <v>59492.97</v>
      </c>
      <c r="P3893" s="2">
        <v>8499</v>
      </c>
    </row>
    <row r="3894" spans="1:16" outlineLevel="1" x14ac:dyDescent="0.2">
      <c r="A3894" s="5"/>
      <c r="D3894" s="3" t="s">
        <v>719</v>
      </c>
      <c r="N3894" s="2">
        <f>SUBTOTAL(9,N3893:N3893)</f>
        <v>7</v>
      </c>
      <c r="O3894" s="2">
        <f>SUBTOTAL(9,O3893:O3893)</f>
        <v>59492.97</v>
      </c>
      <c r="P3894" s="2">
        <f>+O3894/N3894</f>
        <v>8498.9957142857147</v>
      </c>
    </row>
    <row r="3895" spans="1:16" outlineLevel="2" x14ac:dyDescent="0.2">
      <c r="A3895" s="5">
        <v>46183</v>
      </c>
      <c r="B3895" s="2">
        <v>160048</v>
      </c>
      <c r="C3895" s="2">
        <v>310</v>
      </c>
      <c r="D3895" s="2" t="s">
        <v>45</v>
      </c>
      <c r="E3895" s="2" t="s">
        <v>228</v>
      </c>
      <c r="F3895" s="2" t="s">
        <v>23</v>
      </c>
      <c r="G3895" s="2" t="s">
        <v>22</v>
      </c>
      <c r="H3895" s="2" t="s">
        <v>23</v>
      </c>
      <c r="I3895" s="2" t="s">
        <v>23</v>
      </c>
      <c r="J3895" s="2">
        <v>2</v>
      </c>
      <c r="K3895" s="2" t="s">
        <v>48</v>
      </c>
      <c r="L3895" s="2">
        <v>801</v>
      </c>
      <c r="M3895" s="2" t="s">
        <v>56</v>
      </c>
      <c r="N3895" s="2">
        <v>8</v>
      </c>
      <c r="O3895" s="2">
        <v>59190.96</v>
      </c>
      <c r="P3895" s="2">
        <v>7398.87</v>
      </c>
    </row>
    <row r="3896" spans="1:16" outlineLevel="1" x14ac:dyDescent="0.2">
      <c r="A3896" s="5"/>
      <c r="D3896" s="3" t="s">
        <v>733</v>
      </c>
      <c r="N3896" s="2">
        <f>SUBTOTAL(9,N3895:N3895)</f>
        <v>8</v>
      </c>
      <c r="O3896" s="2">
        <f>SUBTOTAL(9,O3895:O3895)</f>
        <v>59190.96</v>
      </c>
      <c r="P3896" s="2">
        <f>+O3896/N3896</f>
        <v>7398.87</v>
      </c>
    </row>
    <row r="3897" spans="1:16" outlineLevel="2" x14ac:dyDescent="0.2">
      <c r="A3897" s="5">
        <v>46183</v>
      </c>
      <c r="B3897" s="2">
        <v>160048</v>
      </c>
      <c r="C3897" s="2">
        <v>322</v>
      </c>
      <c r="D3897" s="2" t="s">
        <v>54</v>
      </c>
      <c r="E3897" s="2" t="s">
        <v>30</v>
      </c>
      <c r="F3897" s="2" t="s">
        <v>23</v>
      </c>
      <c r="G3897" s="2" t="s">
        <v>22</v>
      </c>
      <c r="H3897" s="2" t="s">
        <v>23</v>
      </c>
      <c r="I3897" s="2" t="s">
        <v>23</v>
      </c>
      <c r="J3897" s="2">
        <v>2</v>
      </c>
      <c r="K3897" s="2" t="s">
        <v>48</v>
      </c>
      <c r="L3897" s="2">
        <v>801</v>
      </c>
      <c r="M3897" s="2" t="s">
        <v>56</v>
      </c>
      <c r="N3897" s="2">
        <v>11</v>
      </c>
      <c r="O3897" s="2">
        <v>99658.29</v>
      </c>
      <c r="P3897" s="2">
        <v>9059.84</v>
      </c>
    </row>
    <row r="3898" spans="1:16" outlineLevel="1" x14ac:dyDescent="0.2">
      <c r="A3898" s="5"/>
      <c r="D3898" s="3" t="s">
        <v>719</v>
      </c>
      <c r="N3898" s="2">
        <f>SUBTOTAL(9,N3897:N3897)</f>
        <v>11</v>
      </c>
      <c r="O3898" s="2">
        <f>SUBTOTAL(9,O3897:O3897)</f>
        <v>99658.29</v>
      </c>
      <c r="P3898" s="2">
        <f>+O3898/N3898</f>
        <v>9059.8445454545454</v>
      </c>
    </row>
    <row r="3899" spans="1:16" outlineLevel="2" x14ac:dyDescent="0.2">
      <c r="A3899" s="5">
        <v>46182</v>
      </c>
      <c r="B3899" s="2">
        <v>160049</v>
      </c>
      <c r="C3899" s="2">
        <v>1</v>
      </c>
      <c r="D3899" s="2" t="s">
        <v>38</v>
      </c>
      <c r="E3899" s="2" t="s">
        <v>587</v>
      </c>
      <c r="F3899" s="2" t="s">
        <v>63</v>
      </c>
      <c r="G3899" s="2" t="s">
        <v>22</v>
      </c>
      <c r="H3899" s="2" t="s">
        <v>23</v>
      </c>
      <c r="I3899" s="2" t="s">
        <v>116</v>
      </c>
      <c r="J3899" s="2">
        <v>1</v>
      </c>
      <c r="K3899" s="2" t="s">
        <v>24</v>
      </c>
      <c r="L3899" s="2">
        <v>1846</v>
      </c>
      <c r="M3899" s="2" t="s">
        <v>134</v>
      </c>
      <c r="N3899" s="2">
        <v>744</v>
      </c>
      <c r="O3899" s="2">
        <v>72075548.840000004</v>
      </c>
      <c r="P3899" s="2">
        <v>96875.74</v>
      </c>
    </row>
    <row r="3900" spans="1:16" outlineLevel="2" x14ac:dyDescent="0.2">
      <c r="A3900" s="5">
        <v>46182</v>
      </c>
      <c r="B3900" s="2">
        <v>160049</v>
      </c>
      <c r="C3900" s="2">
        <v>2</v>
      </c>
      <c r="D3900" s="2" t="s">
        <v>38</v>
      </c>
      <c r="E3900" s="2" t="s">
        <v>39</v>
      </c>
      <c r="F3900" s="2" t="s">
        <v>63</v>
      </c>
      <c r="G3900" s="2" t="s">
        <v>22</v>
      </c>
      <c r="H3900" s="2" t="s">
        <v>23</v>
      </c>
      <c r="I3900" s="2" t="s">
        <v>135</v>
      </c>
      <c r="J3900" s="2">
        <v>1</v>
      </c>
      <c r="K3900" s="2" t="s">
        <v>24</v>
      </c>
      <c r="L3900" s="2">
        <v>1846</v>
      </c>
      <c r="M3900" s="2" t="s">
        <v>134</v>
      </c>
      <c r="N3900" s="2">
        <v>614</v>
      </c>
      <c r="O3900" s="2">
        <v>61525245.780000001</v>
      </c>
      <c r="P3900" s="2">
        <v>100203.98</v>
      </c>
    </row>
    <row r="3901" spans="1:16" outlineLevel="1" x14ac:dyDescent="0.2">
      <c r="A3901" s="5"/>
      <c r="D3901" s="3" t="s">
        <v>721</v>
      </c>
      <c r="N3901" s="2">
        <f>SUBTOTAL(9,N3899:N3900)</f>
        <v>1358</v>
      </c>
      <c r="O3901" s="2">
        <f>SUBTOTAL(9,O3899:O3900)</f>
        <v>133600794.62</v>
      </c>
      <c r="P3901" s="2">
        <f>+O3901/N3901</f>
        <v>98380.55568483063</v>
      </c>
    </row>
    <row r="3902" spans="1:16" outlineLevel="2" x14ac:dyDescent="0.2">
      <c r="A3902" s="5">
        <v>46197</v>
      </c>
      <c r="B3902" s="2">
        <v>160053</v>
      </c>
      <c r="C3902" s="2">
        <v>315</v>
      </c>
      <c r="D3902" s="2" t="s">
        <v>26</v>
      </c>
      <c r="E3902" s="2" t="s">
        <v>23</v>
      </c>
      <c r="F3902" s="2" t="s">
        <v>23</v>
      </c>
      <c r="G3902" s="2" t="s">
        <v>23</v>
      </c>
      <c r="H3902" s="2" t="s">
        <v>23</v>
      </c>
      <c r="I3902" s="2" t="s">
        <v>23</v>
      </c>
      <c r="J3902" s="2">
        <v>5</v>
      </c>
      <c r="K3902" s="2" t="s">
        <v>27</v>
      </c>
      <c r="L3902" s="2">
        <v>2602</v>
      </c>
      <c r="M3902" s="2" t="s">
        <v>464</v>
      </c>
      <c r="N3902" s="2">
        <v>43</v>
      </c>
      <c r="O3902" s="2">
        <v>183173.64</v>
      </c>
      <c r="P3902" s="2">
        <v>4259.8500000000004</v>
      </c>
    </row>
    <row r="3903" spans="1:16" outlineLevel="1" x14ac:dyDescent="0.2">
      <c r="A3903" s="5"/>
      <c r="D3903" s="3" t="s">
        <v>711</v>
      </c>
      <c r="N3903" s="2">
        <f>SUBTOTAL(9,N3902:N3902)</f>
        <v>43</v>
      </c>
      <c r="O3903" s="2">
        <f>SUBTOTAL(9,O3902:O3902)</f>
        <v>183173.64</v>
      </c>
      <c r="P3903" s="2">
        <f>+O3903/N3903</f>
        <v>4259.8520930232562</v>
      </c>
    </row>
    <row r="3904" spans="1:16" outlineLevel="2" x14ac:dyDescent="0.2">
      <c r="A3904" s="5">
        <v>46190</v>
      </c>
      <c r="B3904" s="2">
        <v>160057</v>
      </c>
      <c r="C3904" s="2">
        <v>1</v>
      </c>
      <c r="D3904" s="2" t="s">
        <v>119</v>
      </c>
      <c r="E3904" s="2" t="s">
        <v>120</v>
      </c>
      <c r="F3904" s="2" t="s">
        <v>588</v>
      </c>
      <c r="G3904" s="2" t="s">
        <v>22</v>
      </c>
      <c r="H3904" s="2" t="s">
        <v>23</v>
      </c>
      <c r="I3904" s="2" t="s">
        <v>23</v>
      </c>
      <c r="J3904" s="2">
        <v>1</v>
      </c>
      <c r="K3904" s="2" t="s">
        <v>24</v>
      </c>
      <c r="L3904" s="2">
        <v>514</v>
      </c>
      <c r="M3904" s="2" t="s">
        <v>267</v>
      </c>
      <c r="N3904" s="2">
        <v>64</v>
      </c>
      <c r="O3904" s="2">
        <v>1880903.67</v>
      </c>
      <c r="P3904" s="2">
        <v>29389.119999999999</v>
      </c>
    </row>
    <row r="3905" spans="1:16" outlineLevel="1" x14ac:dyDescent="0.2">
      <c r="A3905" s="5"/>
      <c r="D3905" s="3" t="s">
        <v>708</v>
      </c>
      <c r="N3905" s="2">
        <f>SUBTOTAL(9,N3904:N3904)</f>
        <v>64</v>
      </c>
      <c r="O3905" s="2">
        <f>SUBTOTAL(9,O3904:O3904)</f>
        <v>1880903.67</v>
      </c>
      <c r="P3905" s="2">
        <f>+O3905/N3905</f>
        <v>29389.119843749999</v>
      </c>
    </row>
    <row r="3906" spans="1:16" outlineLevel="2" x14ac:dyDescent="0.2">
      <c r="A3906" s="5">
        <v>46185</v>
      </c>
      <c r="B3906" s="2">
        <v>160070</v>
      </c>
      <c r="C3906" s="2">
        <v>1</v>
      </c>
      <c r="D3906" s="2" t="s">
        <v>38</v>
      </c>
      <c r="E3906" s="2" t="s">
        <v>39</v>
      </c>
      <c r="F3906" s="2" t="s">
        <v>21</v>
      </c>
      <c r="G3906" s="2" t="s">
        <v>22</v>
      </c>
      <c r="H3906" s="2" t="s">
        <v>23</v>
      </c>
      <c r="I3906" s="2" t="s">
        <v>182</v>
      </c>
      <c r="J3906" s="2">
        <v>40</v>
      </c>
      <c r="K3906" s="2" t="s">
        <v>43</v>
      </c>
      <c r="L3906" s="2">
        <v>25186</v>
      </c>
      <c r="M3906" s="2" t="s">
        <v>418</v>
      </c>
      <c r="N3906" s="2">
        <v>156</v>
      </c>
      <c r="O3906" s="2">
        <v>4944233.8</v>
      </c>
      <c r="P3906" s="2">
        <v>31693.81</v>
      </c>
    </row>
    <row r="3907" spans="1:16" outlineLevel="2" x14ac:dyDescent="0.2">
      <c r="A3907" s="5">
        <v>46185</v>
      </c>
      <c r="B3907" s="2">
        <v>160070</v>
      </c>
      <c r="C3907" s="2">
        <v>2</v>
      </c>
      <c r="D3907" s="2" t="s">
        <v>38</v>
      </c>
      <c r="E3907" s="2" t="s">
        <v>39</v>
      </c>
      <c r="F3907" s="2" t="s">
        <v>21</v>
      </c>
      <c r="G3907" s="2" t="s">
        <v>22</v>
      </c>
      <c r="H3907" s="2" t="s">
        <v>23</v>
      </c>
      <c r="I3907" s="2" t="s">
        <v>184</v>
      </c>
      <c r="J3907" s="2">
        <v>40</v>
      </c>
      <c r="K3907" s="2" t="s">
        <v>43</v>
      </c>
      <c r="L3907" s="2">
        <v>25186</v>
      </c>
      <c r="M3907" s="2" t="s">
        <v>418</v>
      </c>
      <c r="N3907" s="2">
        <v>140</v>
      </c>
      <c r="O3907" s="2">
        <v>4465564.08</v>
      </c>
      <c r="P3907" s="2">
        <v>31896.89</v>
      </c>
    </row>
    <row r="3908" spans="1:16" outlineLevel="2" x14ac:dyDescent="0.2">
      <c r="A3908" s="5">
        <v>46220</v>
      </c>
      <c r="B3908" s="2">
        <v>160070</v>
      </c>
      <c r="C3908" s="2">
        <v>3</v>
      </c>
      <c r="D3908" s="2" t="s">
        <v>38</v>
      </c>
      <c r="E3908" s="2" t="s">
        <v>39</v>
      </c>
      <c r="F3908" s="2" t="s">
        <v>21</v>
      </c>
      <c r="G3908" s="2" t="s">
        <v>556</v>
      </c>
      <c r="H3908" s="2" t="s">
        <v>23</v>
      </c>
      <c r="I3908" s="2" t="s">
        <v>135</v>
      </c>
      <c r="J3908" s="2">
        <v>1</v>
      </c>
      <c r="K3908" s="2" t="s">
        <v>24</v>
      </c>
      <c r="L3908" s="2">
        <v>25186</v>
      </c>
      <c r="M3908" s="2" t="s">
        <v>418</v>
      </c>
      <c r="N3908" s="2">
        <v>19</v>
      </c>
      <c r="O3908" s="2">
        <v>260292.02</v>
      </c>
      <c r="P3908" s="2">
        <v>13699.58</v>
      </c>
    </row>
    <row r="3909" spans="1:16" outlineLevel="1" x14ac:dyDescent="0.2">
      <c r="A3909" s="5"/>
      <c r="D3909" s="3" t="s">
        <v>721</v>
      </c>
      <c r="N3909" s="2">
        <f>SUBTOTAL(9,N3906:N3908)</f>
        <v>315</v>
      </c>
      <c r="O3909" s="2">
        <f>SUBTOTAL(9,O3906:O3908)</f>
        <v>9670089.8999999985</v>
      </c>
      <c r="P3909" s="2">
        <f>+O3909/N3909</f>
        <v>30698.698095238091</v>
      </c>
    </row>
    <row r="3910" spans="1:16" outlineLevel="2" x14ac:dyDescent="0.2">
      <c r="A3910" s="5">
        <v>46190</v>
      </c>
      <c r="B3910" s="2">
        <v>160071</v>
      </c>
      <c r="C3910" s="2">
        <v>304</v>
      </c>
      <c r="D3910" s="2" t="s">
        <v>54</v>
      </c>
      <c r="E3910" s="2" t="s">
        <v>589</v>
      </c>
      <c r="F3910" s="2" t="s">
        <v>23</v>
      </c>
      <c r="G3910" s="2" t="s">
        <v>22</v>
      </c>
      <c r="H3910" s="2" t="s">
        <v>23</v>
      </c>
      <c r="I3910" s="2" t="s">
        <v>23</v>
      </c>
      <c r="J3910" s="2">
        <v>2</v>
      </c>
      <c r="K3910" s="2" t="s">
        <v>48</v>
      </c>
      <c r="L3910" s="2">
        <v>811</v>
      </c>
      <c r="M3910" s="2" t="s">
        <v>575</v>
      </c>
      <c r="N3910" s="2">
        <v>10</v>
      </c>
      <c r="O3910" s="2">
        <v>77255.740000000005</v>
      </c>
      <c r="P3910" s="2">
        <v>7725.57</v>
      </c>
    </row>
    <row r="3911" spans="1:16" outlineLevel="1" x14ac:dyDescent="0.2">
      <c r="A3911" s="5"/>
      <c r="D3911" s="3" t="s">
        <v>719</v>
      </c>
      <c r="N3911" s="2">
        <f>SUBTOTAL(9,N3910:N3910)</f>
        <v>10</v>
      </c>
      <c r="O3911" s="2">
        <f>SUBTOTAL(9,O3910:O3910)</f>
        <v>77255.740000000005</v>
      </c>
      <c r="P3911" s="2">
        <f>+O3911/N3911</f>
        <v>7725.5740000000005</v>
      </c>
    </row>
    <row r="3912" spans="1:16" outlineLevel="2" x14ac:dyDescent="0.2">
      <c r="A3912" s="5">
        <v>46183</v>
      </c>
      <c r="B3912" s="2">
        <v>160073</v>
      </c>
      <c r="C3912" s="2">
        <v>8</v>
      </c>
      <c r="D3912" s="2" t="s">
        <v>45</v>
      </c>
      <c r="E3912" s="2" t="s">
        <v>590</v>
      </c>
      <c r="F3912" s="2" t="s">
        <v>289</v>
      </c>
      <c r="G3912" s="2" t="s">
        <v>22</v>
      </c>
      <c r="H3912" s="2" t="s">
        <v>23</v>
      </c>
      <c r="I3912" s="2" t="s">
        <v>23</v>
      </c>
      <c r="J3912" s="2">
        <v>41</v>
      </c>
      <c r="K3912" s="2" t="s">
        <v>129</v>
      </c>
      <c r="L3912" s="2">
        <v>801</v>
      </c>
      <c r="M3912" s="2" t="s">
        <v>56</v>
      </c>
      <c r="N3912" s="2">
        <v>34</v>
      </c>
      <c r="O3912" s="2">
        <v>715660.43</v>
      </c>
      <c r="P3912" s="2">
        <v>21048.84</v>
      </c>
    </row>
    <row r="3913" spans="1:16" outlineLevel="2" x14ac:dyDescent="0.2">
      <c r="A3913" s="5">
        <v>46183</v>
      </c>
      <c r="B3913" s="2">
        <v>160073</v>
      </c>
      <c r="C3913" s="2">
        <v>9</v>
      </c>
      <c r="D3913" s="2" t="s">
        <v>45</v>
      </c>
      <c r="E3913" s="2" t="s">
        <v>591</v>
      </c>
      <c r="F3913" s="2" t="s">
        <v>289</v>
      </c>
      <c r="G3913" s="2" t="s">
        <v>22</v>
      </c>
      <c r="H3913" s="2" t="s">
        <v>23</v>
      </c>
      <c r="I3913" s="2" t="s">
        <v>23</v>
      </c>
      <c r="J3913" s="2">
        <v>41</v>
      </c>
      <c r="K3913" s="2" t="s">
        <v>129</v>
      </c>
      <c r="L3913" s="2">
        <v>801</v>
      </c>
      <c r="M3913" s="2" t="s">
        <v>56</v>
      </c>
      <c r="N3913" s="2">
        <v>25</v>
      </c>
      <c r="O3913" s="2">
        <v>367060.94</v>
      </c>
      <c r="P3913" s="2">
        <v>14682.44</v>
      </c>
    </row>
    <row r="3914" spans="1:16" outlineLevel="2" x14ac:dyDescent="0.2">
      <c r="A3914" s="5">
        <v>46183</v>
      </c>
      <c r="B3914" s="2">
        <v>160073</v>
      </c>
      <c r="C3914" s="2">
        <v>11</v>
      </c>
      <c r="D3914" s="2" t="s">
        <v>45</v>
      </c>
      <c r="E3914" s="2" t="s">
        <v>559</v>
      </c>
      <c r="F3914" s="2" t="s">
        <v>289</v>
      </c>
      <c r="G3914" s="2" t="s">
        <v>22</v>
      </c>
      <c r="H3914" s="2" t="s">
        <v>23</v>
      </c>
      <c r="I3914" s="2" t="s">
        <v>23</v>
      </c>
      <c r="J3914" s="2">
        <v>41</v>
      </c>
      <c r="K3914" s="2" t="s">
        <v>129</v>
      </c>
      <c r="L3914" s="2">
        <v>801</v>
      </c>
      <c r="M3914" s="2" t="s">
        <v>56</v>
      </c>
      <c r="N3914" s="2">
        <v>16</v>
      </c>
      <c r="O3914" s="2">
        <v>249996.79999999999</v>
      </c>
      <c r="P3914" s="2">
        <v>15624.8</v>
      </c>
    </row>
    <row r="3915" spans="1:16" outlineLevel="2" x14ac:dyDescent="0.2">
      <c r="A3915" s="5">
        <v>46183</v>
      </c>
      <c r="B3915" s="2">
        <v>160073</v>
      </c>
      <c r="C3915" s="2">
        <v>12</v>
      </c>
      <c r="D3915" s="2" t="s">
        <v>45</v>
      </c>
      <c r="E3915" s="2" t="s">
        <v>558</v>
      </c>
      <c r="F3915" s="2" t="s">
        <v>289</v>
      </c>
      <c r="G3915" s="2" t="s">
        <v>22</v>
      </c>
      <c r="H3915" s="2" t="s">
        <v>23</v>
      </c>
      <c r="I3915" s="2" t="s">
        <v>23</v>
      </c>
      <c r="J3915" s="2">
        <v>41</v>
      </c>
      <c r="K3915" s="2" t="s">
        <v>129</v>
      </c>
      <c r="L3915" s="2">
        <v>801</v>
      </c>
      <c r="M3915" s="2" t="s">
        <v>56</v>
      </c>
      <c r="N3915" s="2">
        <v>13</v>
      </c>
      <c r="O3915" s="2">
        <v>241541.02</v>
      </c>
      <c r="P3915" s="2">
        <v>18580.080000000002</v>
      </c>
    </row>
    <row r="3916" spans="1:16" outlineLevel="2" x14ac:dyDescent="0.2">
      <c r="A3916" s="5">
        <v>46183</v>
      </c>
      <c r="B3916" s="2">
        <v>160073</v>
      </c>
      <c r="C3916" s="2">
        <v>14</v>
      </c>
      <c r="D3916" s="2" t="s">
        <v>45</v>
      </c>
      <c r="E3916" s="2" t="s">
        <v>592</v>
      </c>
      <c r="F3916" s="2" t="s">
        <v>289</v>
      </c>
      <c r="G3916" s="2" t="s">
        <v>22</v>
      </c>
      <c r="H3916" s="2" t="s">
        <v>23</v>
      </c>
      <c r="I3916" s="2" t="s">
        <v>23</v>
      </c>
      <c r="J3916" s="2">
        <v>41</v>
      </c>
      <c r="K3916" s="2" t="s">
        <v>129</v>
      </c>
      <c r="L3916" s="2">
        <v>801</v>
      </c>
      <c r="M3916" s="2" t="s">
        <v>56</v>
      </c>
      <c r="N3916" s="2">
        <v>7</v>
      </c>
      <c r="O3916" s="2">
        <v>106164.9</v>
      </c>
      <c r="P3916" s="2">
        <v>15166.41</v>
      </c>
    </row>
    <row r="3917" spans="1:16" outlineLevel="2" x14ac:dyDescent="0.2">
      <c r="A3917" s="5">
        <v>46183</v>
      </c>
      <c r="B3917" s="2">
        <v>160073</v>
      </c>
      <c r="C3917" s="2">
        <v>15</v>
      </c>
      <c r="D3917" s="2" t="s">
        <v>45</v>
      </c>
      <c r="E3917" s="2" t="s">
        <v>46</v>
      </c>
      <c r="F3917" s="2" t="s">
        <v>289</v>
      </c>
      <c r="G3917" s="2" t="s">
        <v>22</v>
      </c>
      <c r="H3917" s="2" t="s">
        <v>23</v>
      </c>
      <c r="I3917" s="2" t="s">
        <v>23</v>
      </c>
      <c r="J3917" s="2">
        <v>41</v>
      </c>
      <c r="K3917" s="2" t="s">
        <v>129</v>
      </c>
      <c r="L3917" s="2">
        <v>801</v>
      </c>
      <c r="M3917" s="2" t="s">
        <v>56</v>
      </c>
      <c r="N3917" s="2">
        <v>1</v>
      </c>
      <c r="O3917" s="2">
        <v>14633.02</v>
      </c>
      <c r="P3917" s="2">
        <v>14633.02</v>
      </c>
    </row>
    <row r="3918" spans="1:16" outlineLevel="1" x14ac:dyDescent="0.2">
      <c r="A3918" s="5"/>
      <c r="D3918" s="3" t="s">
        <v>733</v>
      </c>
      <c r="N3918" s="2">
        <f>SUBTOTAL(9,N3912:N3917)</f>
        <v>96</v>
      </c>
      <c r="O3918" s="2">
        <f>SUBTOTAL(9,O3912:O3917)</f>
        <v>1695057.11</v>
      </c>
      <c r="P3918" s="2">
        <f>+O3918/N3918</f>
        <v>17656.844895833336</v>
      </c>
    </row>
    <row r="3919" spans="1:16" outlineLevel="2" x14ac:dyDescent="0.2">
      <c r="A3919" s="5">
        <v>46183</v>
      </c>
      <c r="B3919" s="2">
        <v>160073</v>
      </c>
      <c r="C3919" s="2">
        <v>18</v>
      </c>
      <c r="D3919" s="2" t="s">
        <v>226</v>
      </c>
      <c r="E3919" s="2" t="s">
        <v>568</v>
      </c>
      <c r="F3919" s="2" t="s">
        <v>289</v>
      </c>
      <c r="G3919" s="2" t="s">
        <v>22</v>
      </c>
      <c r="H3919" s="2" t="s">
        <v>23</v>
      </c>
      <c r="I3919" s="2" t="s">
        <v>23</v>
      </c>
      <c r="J3919" s="2">
        <v>41</v>
      </c>
      <c r="K3919" s="2" t="s">
        <v>129</v>
      </c>
      <c r="L3919" s="2">
        <v>801</v>
      </c>
      <c r="M3919" s="2" t="s">
        <v>56</v>
      </c>
      <c r="N3919" s="2">
        <v>24</v>
      </c>
      <c r="O3919" s="2">
        <v>582987.51</v>
      </c>
      <c r="P3919" s="2">
        <v>24291.15</v>
      </c>
    </row>
    <row r="3920" spans="1:16" outlineLevel="2" x14ac:dyDescent="0.2">
      <c r="A3920" s="5">
        <v>46183</v>
      </c>
      <c r="B3920" s="2">
        <v>160073</v>
      </c>
      <c r="C3920" s="2">
        <v>20</v>
      </c>
      <c r="D3920" s="2" t="s">
        <v>226</v>
      </c>
      <c r="E3920" s="2" t="s">
        <v>586</v>
      </c>
      <c r="F3920" s="2" t="s">
        <v>289</v>
      </c>
      <c r="G3920" s="2" t="s">
        <v>22</v>
      </c>
      <c r="H3920" s="2" t="s">
        <v>23</v>
      </c>
      <c r="I3920" s="2" t="s">
        <v>23</v>
      </c>
      <c r="J3920" s="2">
        <v>41</v>
      </c>
      <c r="K3920" s="2" t="s">
        <v>129</v>
      </c>
      <c r="L3920" s="2">
        <v>801</v>
      </c>
      <c r="M3920" s="2" t="s">
        <v>56</v>
      </c>
      <c r="N3920" s="2">
        <v>24</v>
      </c>
      <c r="O3920" s="2">
        <v>496479.5</v>
      </c>
      <c r="P3920" s="2">
        <v>20686.650000000001</v>
      </c>
    </row>
    <row r="3921" spans="1:16" outlineLevel="2" x14ac:dyDescent="0.2">
      <c r="A3921" s="5">
        <v>46183</v>
      </c>
      <c r="B3921" s="2">
        <v>160073</v>
      </c>
      <c r="C3921" s="2">
        <v>23</v>
      </c>
      <c r="D3921" s="2" t="s">
        <v>226</v>
      </c>
      <c r="E3921" s="2" t="s">
        <v>151</v>
      </c>
      <c r="F3921" s="2" t="s">
        <v>289</v>
      </c>
      <c r="G3921" s="2" t="s">
        <v>22</v>
      </c>
      <c r="H3921" s="2" t="s">
        <v>23</v>
      </c>
      <c r="I3921" s="2" t="s">
        <v>23</v>
      </c>
      <c r="J3921" s="2">
        <v>41</v>
      </c>
      <c r="K3921" s="2" t="s">
        <v>129</v>
      </c>
      <c r="L3921" s="2">
        <v>801</v>
      </c>
      <c r="M3921" s="2" t="s">
        <v>56</v>
      </c>
      <c r="N3921" s="2">
        <v>16</v>
      </c>
      <c r="O3921" s="2">
        <v>328707.71999999997</v>
      </c>
      <c r="P3921" s="2">
        <v>20544.23</v>
      </c>
    </row>
    <row r="3922" spans="1:16" outlineLevel="1" x14ac:dyDescent="0.2">
      <c r="A3922" s="5"/>
      <c r="D3922" s="3" t="s">
        <v>736</v>
      </c>
      <c r="N3922" s="2">
        <f>SUBTOTAL(9,N3919:N3921)</f>
        <v>64</v>
      </c>
      <c r="O3922" s="2">
        <f>SUBTOTAL(9,O3919:O3921)</f>
        <v>1408174.73</v>
      </c>
      <c r="P3922" s="2">
        <f>+O3922/N3922</f>
        <v>22002.73015625</v>
      </c>
    </row>
    <row r="3923" spans="1:16" outlineLevel="2" x14ac:dyDescent="0.2">
      <c r="A3923" s="5">
        <v>46195</v>
      </c>
      <c r="B3923" s="2">
        <v>160074</v>
      </c>
      <c r="C3923" s="2">
        <v>1</v>
      </c>
      <c r="D3923" s="2" t="s">
        <v>75</v>
      </c>
      <c r="E3923" s="2" t="s">
        <v>412</v>
      </c>
      <c r="F3923" s="2" t="s">
        <v>108</v>
      </c>
      <c r="G3923" s="2" t="s">
        <v>22</v>
      </c>
      <c r="H3923" s="2" t="s">
        <v>23</v>
      </c>
      <c r="I3923" s="2" t="s">
        <v>455</v>
      </c>
      <c r="J3923" s="2">
        <v>1</v>
      </c>
      <c r="K3923" s="2" t="s">
        <v>24</v>
      </c>
      <c r="L3923" s="2">
        <v>2024</v>
      </c>
      <c r="M3923" s="2" t="s">
        <v>76</v>
      </c>
      <c r="N3923" s="2">
        <v>288</v>
      </c>
      <c r="O3923" s="2">
        <v>7496173.1200000001</v>
      </c>
      <c r="P3923" s="2">
        <v>26028.38</v>
      </c>
    </row>
    <row r="3924" spans="1:16" outlineLevel="2" x14ac:dyDescent="0.2">
      <c r="A3924" s="5">
        <v>46202</v>
      </c>
      <c r="B3924" s="2">
        <v>160074</v>
      </c>
      <c r="C3924" s="2">
        <v>2</v>
      </c>
      <c r="D3924" s="2" t="s">
        <v>75</v>
      </c>
      <c r="E3924" s="2" t="s">
        <v>412</v>
      </c>
      <c r="F3924" s="2" t="s">
        <v>108</v>
      </c>
      <c r="G3924" s="2" t="s">
        <v>22</v>
      </c>
      <c r="H3924" s="2" t="s">
        <v>23</v>
      </c>
      <c r="I3924" s="2" t="s">
        <v>273</v>
      </c>
      <c r="J3924" s="2">
        <v>1</v>
      </c>
      <c r="K3924" s="2" t="s">
        <v>24</v>
      </c>
      <c r="L3924" s="2">
        <v>2024</v>
      </c>
      <c r="M3924" s="2" t="s">
        <v>76</v>
      </c>
      <c r="N3924" s="2">
        <v>245</v>
      </c>
      <c r="O3924" s="2">
        <v>2302847.36</v>
      </c>
      <c r="P3924" s="2">
        <v>9399.3799999999992</v>
      </c>
    </row>
    <row r="3925" spans="1:16" outlineLevel="1" x14ac:dyDescent="0.2">
      <c r="A3925" s="5"/>
      <c r="D3925" s="3" t="s">
        <v>729</v>
      </c>
      <c r="N3925" s="2">
        <f>SUBTOTAL(9,N3923:N3924)</f>
        <v>533</v>
      </c>
      <c r="O3925" s="2">
        <f>SUBTOTAL(9,O3923:O3924)</f>
        <v>9799020.4800000004</v>
      </c>
      <c r="P3925" s="2">
        <f>+O3925/N3925</f>
        <v>18384.653808630395</v>
      </c>
    </row>
    <row r="3926" spans="1:16" outlineLevel="2" x14ac:dyDescent="0.2">
      <c r="A3926" s="5">
        <v>46182</v>
      </c>
      <c r="B3926" s="2">
        <v>160079</v>
      </c>
      <c r="C3926" s="2">
        <v>1</v>
      </c>
      <c r="D3926" s="2" t="s">
        <v>19</v>
      </c>
      <c r="E3926" s="2" t="s">
        <v>21</v>
      </c>
      <c r="F3926" s="2" t="s">
        <v>23</v>
      </c>
      <c r="G3926" s="2" t="s">
        <v>22</v>
      </c>
      <c r="H3926" s="2" t="s">
        <v>23</v>
      </c>
      <c r="I3926" s="2" t="s">
        <v>23</v>
      </c>
      <c r="J3926" s="2">
        <v>40</v>
      </c>
      <c r="K3926" s="2" t="s">
        <v>43</v>
      </c>
      <c r="L3926" s="2">
        <v>25205</v>
      </c>
      <c r="M3926" s="2" t="s">
        <v>171</v>
      </c>
      <c r="N3926" s="2">
        <v>187</v>
      </c>
      <c r="O3926" s="2">
        <v>13502944.75</v>
      </c>
      <c r="P3926" s="2">
        <v>72208.259999999995</v>
      </c>
    </row>
    <row r="3927" spans="1:16" outlineLevel="1" x14ac:dyDescent="0.2">
      <c r="A3927" s="5"/>
      <c r="D3927" s="3" t="s">
        <v>704</v>
      </c>
      <c r="N3927" s="2">
        <f>SUBTOTAL(9,N3926:N3926)</f>
        <v>187</v>
      </c>
      <c r="O3927" s="2">
        <f>SUBTOTAL(9,O3926:O3926)</f>
        <v>13502944.75</v>
      </c>
      <c r="P3927" s="2">
        <f>+O3927/N3927</f>
        <v>72208.260695187171</v>
      </c>
    </row>
    <row r="3928" spans="1:16" outlineLevel="2" x14ac:dyDescent="0.2">
      <c r="A3928" s="5">
        <v>46185</v>
      </c>
      <c r="B3928" s="2">
        <v>160080</v>
      </c>
      <c r="C3928" s="2">
        <v>1</v>
      </c>
      <c r="D3928" s="2" t="s">
        <v>102</v>
      </c>
      <c r="E3928" s="2" t="s">
        <v>104</v>
      </c>
      <c r="F3928" s="2" t="s">
        <v>40</v>
      </c>
      <c r="G3928" s="2" t="s">
        <v>22</v>
      </c>
      <c r="H3928" s="2" t="s">
        <v>23</v>
      </c>
      <c r="I3928" s="2" t="s">
        <v>23</v>
      </c>
      <c r="J3928" s="2">
        <v>1</v>
      </c>
      <c r="K3928" s="2" t="s">
        <v>24</v>
      </c>
      <c r="L3928" s="2">
        <v>25120</v>
      </c>
      <c r="M3928" s="2" t="s">
        <v>103</v>
      </c>
      <c r="N3928" s="2">
        <v>378</v>
      </c>
      <c r="O3928" s="2">
        <v>13071342.970000001</v>
      </c>
      <c r="P3928" s="2">
        <v>34580.269999999997</v>
      </c>
    </row>
    <row r="3929" spans="1:16" outlineLevel="1" x14ac:dyDescent="0.2">
      <c r="A3929" s="5"/>
      <c r="D3929" s="3" t="s">
        <v>707</v>
      </c>
      <c r="N3929" s="2">
        <f>SUBTOTAL(9,N3928:N3928)</f>
        <v>378</v>
      </c>
      <c r="O3929" s="2">
        <f>SUBTOTAL(9,O3928:O3928)</f>
        <v>13071342.970000001</v>
      </c>
      <c r="P3929" s="2">
        <f>+O3929/N3929</f>
        <v>34580.272407407407</v>
      </c>
    </row>
    <row r="3930" spans="1:16" outlineLevel="2" x14ac:dyDescent="0.2">
      <c r="A3930" s="5">
        <v>46185</v>
      </c>
      <c r="B3930" s="2">
        <v>160081</v>
      </c>
      <c r="C3930" s="2">
        <v>2</v>
      </c>
      <c r="D3930" s="2" t="s">
        <v>229</v>
      </c>
      <c r="E3930" s="2" t="s">
        <v>439</v>
      </c>
      <c r="F3930" s="2" t="s">
        <v>40</v>
      </c>
      <c r="G3930" s="2" t="s">
        <v>22</v>
      </c>
      <c r="H3930" s="2" t="s">
        <v>23</v>
      </c>
      <c r="I3930" s="2" t="s">
        <v>79</v>
      </c>
      <c r="J3930" s="2">
        <v>1</v>
      </c>
      <c r="K3930" s="2" t="s">
        <v>24</v>
      </c>
      <c r="L3930" s="2">
        <v>331</v>
      </c>
      <c r="M3930" s="2" t="s">
        <v>356</v>
      </c>
      <c r="N3930" s="2">
        <v>864</v>
      </c>
      <c r="O3930" s="2">
        <v>8235000.7699999996</v>
      </c>
      <c r="P3930" s="2">
        <v>9531.25</v>
      </c>
    </row>
    <row r="3931" spans="1:16" outlineLevel="1" x14ac:dyDescent="0.2">
      <c r="A3931" s="5"/>
      <c r="D3931" s="3" t="s">
        <v>737</v>
      </c>
      <c r="N3931" s="2">
        <f>SUBTOTAL(9,N3930:N3930)</f>
        <v>864</v>
      </c>
      <c r="O3931" s="2">
        <f>SUBTOTAL(9,O3930:O3930)</f>
        <v>8235000.7699999996</v>
      </c>
      <c r="P3931" s="2">
        <f>+O3931/N3931</f>
        <v>9531.2508912037028</v>
      </c>
    </row>
    <row r="3932" spans="1:16" outlineLevel="2" x14ac:dyDescent="0.2">
      <c r="A3932" s="5">
        <v>46185</v>
      </c>
      <c r="B3932" s="2">
        <v>160088</v>
      </c>
      <c r="C3932" s="2">
        <v>1</v>
      </c>
      <c r="D3932" s="2" t="s">
        <v>404</v>
      </c>
      <c r="E3932" s="2" t="s">
        <v>548</v>
      </c>
      <c r="F3932" s="2" t="s">
        <v>47</v>
      </c>
      <c r="G3932" s="2" t="s">
        <v>22</v>
      </c>
      <c r="H3932" s="2" t="s">
        <v>23</v>
      </c>
      <c r="I3932" s="2" t="s">
        <v>23</v>
      </c>
      <c r="J3932" s="2">
        <v>1</v>
      </c>
      <c r="K3932" s="2" t="s">
        <v>24</v>
      </c>
      <c r="L3932" s="2">
        <v>1795</v>
      </c>
      <c r="M3932" s="2" t="s">
        <v>506</v>
      </c>
      <c r="N3932" s="2">
        <v>5</v>
      </c>
      <c r="O3932" s="2">
        <v>129171.45</v>
      </c>
      <c r="P3932" s="2">
        <v>25834.29</v>
      </c>
    </row>
    <row r="3933" spans="1:16" outlineLevel="1" x14ac:dyDescent="0.2">
      <c r="A3933" s="5"/>
      <c r="D3933" s="3" t="s">
        <v>769</v>
      </c>
      <c r="N3933" s="2">
        <f>SUBTOTAL(9,N3932:N3932)</f>
        <v>5</v>
      </c>
      <c r="O3933" s="2">
        <f>SUBTOTAL(9,O3932:O3932)</f>
        <v>129171.45</v>
      </c>
      <c r="P3933" s="2">
        <f>+O3933/N3933</f>
        <v>25834.29</v>
      </c>
    </row>
    <row r="3934" spans="1:16" outlineLevel="2" x14ac:dyDescent="0.2">
      <c r="A3934" s="5">
        <v>46185</v>
      </c>
      <c r="B3934" s="2">
        <v>160089</v>
      </c>
      <c r="C3934" s="2">
        <v>1</v>
      </c>
      <c r="D3934" s="2" t="s">
        <v>579</v>
      </c>
      <c r="E3934" s="2" t="s">
        <v>23</v>
      </c>
      <c r="F3934" s="2" t="s">
        <v>47</v>
      </c>
      <c r="G3934" s="2" t="s">
        <v>22</v>
      </c>
      <c r="H3934" s="2" t="s">
        <v>23</v>
      </c>
      <c r="I3934" s="2" t="s">
        <v>23</v>
      </c>
      <c r="J3934" s="2">
        <v>41</v>
      </c>
      <c r="K3934" s="2" t="s">
        <v>129</v>
      </c>
      <c r="L3934" s="2">
        <v>2338</v>
      </c>
      <c r="M3934" s="2" t="s">
        <v>417</v>
      </c>
      <c r="N3934" s="2">
        <v>320</v>
      </c>
      <c r="O3934" s="2">
        <v>418377.39</v>
      </c>
      <c r="P3934" s="2">
        <v>1307.43</v>
      </c>
    </row>
    <row r="3935" spans="1:16" outlineLevel="1" x14ac:dyDescent="0.2">
      <c r="A3935" s="5"/>
      <c r="D3935" s="3" t="s">
        <v>800</v>
      </c>
      <c r="N3935" s="2">
        <f>SUBTOTAL(9,N3934:N3934)</f>
        <v>320</v>
      </c>
      <c r="O3935" s="2">
        <f>SUBTOTAL(9,O3934:O3934)</f>
        <v>418377.39</v>
      </c>
      <c r="P3935" s="2">
        <f>+O3935/N3935</f>
        <v>1307.42934375</v>
      </c>
    </row>
    <row r="3936" spans="1:16" outlineLevel="2" x14ac:dyDescent="0.2">
      <c r="A3936" s="5">
        <v>46185</v>
      </c>
      <c r="B3936" s="2">
        <v>160089</v>
      </c>
      <c r="C3936" s="2">
        <v>2</v>
      </c>
      <c r="D3936" s="2" t="s">
        <v>470</v>
      </c>
      <c r="E3936" s="2" t="s">
        <v>23</v>
      </c>
      <c r="F3936" s="2" t="s">
        <v>23</v>
      </c>
      <c r="G3936" s="2" t="s">
        <v>22</v>
      </c>
      <c r="H3936" s="2" t="s">
        <v>23</v>
      </c>
      <c r="I3936" s="2" t="s">
        <v>23</v>
      </c>
      <c r="J3936" s="2">
        <v>86</v>
      </c>
      <c r="K3936" s="2" t="s">
        <v>73</v>
      </c>
      <c r="L3936" s="2">
        <v>2338</v>
      </c>
      <c r="M3936" s="2" t="s">
        <v>417</v>
      </c>
      <c r="N3936" s="2">
        <v>16</v>
      </c>
      <c r="O3936" s="2">
        <v>391879.5</v>
      </c>
      <c r="P3936" s="2">
        <v>24492.47</v>
      </c>
    </row>
    <row r="3937" spans="1:16" outlineLevel="1" x14ac:dyDescent="0.2">
      <c r="A3937" s="5"/>
      <c r="D3937" s="3" t="s">
        <v>779</v>
      </c>
      <c r="N3937" s="2">
        <f>SUBTOTAL(9,N3936:N3936)</f>
        <v>16</v>
      </c>
      <c r="O3937" s="2">
        <f>SUBTOTAL(9,O3936:O3936)</f>
        <v>391879.5</v>
      </c>
      <c r="P3937" s="2">
        <f>+O3937/N3937</f>
        <v>24492.46875</v>
      </c>
    </row>
    <row r="3938" spans="1:16" outlineLevel="2" x14ac:dyDescent="0.2">
      <c r="A3938" s="5">
        <v>46185</v>
      </c>
      <c r="B3938" s="2">
        <v>160090</v>
      </c>
      <c r="C3938" s="2">
        <v>1</v>
      </c>
      <c r="D3938" s="2" t="s">
        <v>207</v>
      </c>
      <c r="E3938" s="2" t="s">
        <v>23</v>
      </c>
      <c r="F3938" s="2" t="s">
        <v>47</v>
      </c>
      <c r="G3938" s="2" t="s">
        <v>22</v>
      </c>
      <c r="H3938" s="2" t="s">
        <v>208</v>
      </c>
      <c r="I3938" s="2" t="s">
        <v>23</v>
      </c>
      <c r="J3938" s="2">
        <v>41</v>
      </c>
      <c r="K3938" s="2" t="s">
        <v>129</v>
      </c>
      <c r="L3938" s="2">
        <v>25213</v>
      </c>
      <c r="M3938" s="2" t="s">
        <v>130</v>
      </c>
      <c r="N3938" s="2">
        <v>50</v>
      </c>
      <c r="O3938" s="2">
        <v>171587.5</v>
      </c>
      <c r="P3938" s="2">
        <v>3431.75</v>
      </c>
    </row>
    <row r="3939" spans="1:16" outlineLevel="2" x14ac:dyDescent="0.2">
      <c r="A3939" s="5">
        <v>46185</v>
      </c>
      <c r="B3939" s="2">
        <v>160090</v>
      </c>
      <c r="C3939" s="2">
        <v>2</v>
      </c>
      <c r="D3939" s="2" t="s">
        <v>207</v>
      </c>
      <c r="E3939" s="2" t="s">
        <v>23</v>
      </c>
      <c r="F3939" s="2" t="s">
        <v>47</v>
      </c>
      <c r="G3939" s="2" t="s">
        <v>22</v>
      </c>
      <c r="H3939" s="2" t="s">
        <v>209</v>
      </c>
      <c r="I3939" s="2" t="s">
        <v>23</v>
      </c>
      <c r="J3939" s="2">
        <v>41</v>
      </c>
      <c r="K3939" s="2" t="s">
        <v>129</v>
      </c>
      <c r="L3939" s="2">
        <v>25213</v>
      </c>
      <c r="M3939" s="2" t="s">
        <v>130</v>
      </c>
      <c r="N3939" s="2">
        <v>25</v>
      </c>
      <c r="O3939" s="2">
        <v>82615.600000000006</v>
      </c>
      <c r="P3939" s="2">
        <v>3304.62</v>
      </c>
    </row>
    <row r="3940" spans="1:16" outlineLevel="1" x14ac:dyDescent="0.2">
      <c r="A3940" s="5"/>
      <c r="D3940" s="3" t="s">
        <v>699</v>
      </c>
      <c r="N3940" s="2">
        <f>SUBTOTAL(9,N3938:N3939)</f>
        <v>75</v>
      </c>
      <c r="O3940" s="2">
        <f>SUBTOTAL(9,O3938:O3939)</f>
        <v>254203.1</v>
      </c>
      <c r="P3940" s="2">
        <f>+O3940/N3940</f>
        <v>3389.3746666666666</v>
      </c>
    </row>
    <row r="3941" spans="1:16" outlineLevel="2" x14ac:dyDescent="0.2">
      <c r="A3941" s="5">
        <v>46185</v>
      </c>
      <c r="B3941" s="2">
        <v>160090</v>
      </c>
      <c r="C3941" s="2">
        <v>3</v>
      </c>
      <c r="D3941" s="2" t="s">
        <v>128</v>
      </c>
      <c r="E3941" s="2" t="s">
        <v>23</v>
      </c>
      <c r="F3941" s="2" t="s">
        <v>47</v>
      </c>
      <c r="G3941" s="2" t="s">
        <v>22</v>
      </c>
      <c r="H3941" s="2" t="s">
        <v>23</v>
      </c>
      <c r="I3941" s="2" t="s">
        <v>23</v>
      </c>
      <c r="J3941" s="2">
        <v>41</v>
      </c>
      <c r="K3941" s="2" t="s">
        <v>129</v>
      </c>
      <c r="L3941" s="2">
        <v>25213</v>
      </c>
      <c r="M3941" s="2" t="s">
        <v>130</v>
      </c>
      <c r="N3941" s="2">
        <v>25</v>
      </c>
      <c r="O3941" s="2">
        <v>95128.25</v>
      </c>
      <c r="P3941" s="2">
        <v>3805.13</v>
      </c>
    </row>
    <row r="3942" spans="1:16" outlineLevel="1" x14ac:dyDescent="0.2">
      <c r="A3942" s="5"/>
      <c r="D3942" s="3" t="s">
        <v>732</v>
      </c>
      <c r="N3942" s="2">
        <f>SUBTOTAL(9,N3941:N3941)</f>
        <v>25</v>
      </c>
      <c r="O3942" s="2">
        <f>SUBTOTAL(9,O3941:O3941)</f>
        <v>95128.25</v>
      </c>
      <c r="P3942" s="2">
        <f>+O3942/N3942</f>
        <v>3805.13</v>
      </c>
    </row>
    <row r="3943" spans="1:16" outlineLevel="2" x14ac:dyDescent="0.2">
      <c r="A3943" s="5">
        <v>46185</v>
      </c>
      <c r="B3943" s="2">
        <v>160090</v>
      </c>
      <c r="C3943" s="2">
        <v>4</v>
      </c>
      <c r="D3943" s="2" t="s">
        <v>207</v>
      </c>
      <c r="E3943" s="2" t="s">
        <v>527</v>
      </c>
      <c r="F3943" s="2" t="s">
        <v>47</v>
      </c>
      <c r="G3943" s="2" t="s">
        <v>23</v>
      </c>
      <c r="H3943" s="2" t="s">
        <v>23</v>
      </c>
      <c r="I3943" s="2" t="s">
        <v>23</v>
      </c>
      <c r="J3943" s="2">
        <v>1</v>
      </c>
      <c r="K3943" s="2" t="s">
        <v>24</v>
      </c>
      <c r="L3943" s="2">
        <v>25213</v>
      </c>
      <c r="M3943" s="2" t="s">
        <v>130</v>
      </c>
      <c r="N3943" s="2">
        <v>2</v>
      </c>
      <c r="O3943" s="2">
        <v>133811.22</v>
      </c>
      <c r="P3943" s="2">
        <v>66905.61</v>
      </c>
    </row>
    <row r="3944" spans="1:16" outlineLevel="2" x14ac:dyDescent="0.2">
      <c r="A3944" s="5">
        <v>46185</v>
      </c>
      <c r="B3944" s="2">
        <v>160090</v>
      </c>
      <c r="C3944" s="2">
        <v>5</v>
      </c>
      <c r="D3944" s="2" t="s">
        <v>207</v>
      </c>
      <c r="E3944" s="2" t="s">
        <v>23</v>
      </c>
      <c r="F3944" s="2" t="s">
        <v>47</v>
      </c>
      <c r="G3944" s="2" t="s">
        <v>22</v>
      </c>
      <c r="H3944" s="2" t="s">
        <v>23</v>
      </c>
      <c r="I3944" s="2" t="s">
        <v>23</v>
      </c>
      <c r="J3944" s="2">
        <v>1</v>
      </c>
      <c r="K3944" s="2" t="s">
        <v>24</v>
      </c>
      <c r="L3944" s="2">
        <v>25213</v>
      </c>
      <c r="M3944" s="2" t="s">
        <v>130</v>
      </c>
      <c r="N3944" s="2">
        <v>3</v>
      </c>
      <c r="O3944" s="2">
        <v>224986.23</v>
      </c>
      <c r="P3944" s="2">
        <v>74995.41</v>
      </c>
    </row>
    <row r="3945" spans="1:16" outlineLevel="1" x14ac:dyDescent="0.2">
      <c r="A3945" s="5"/>
      <c r="D3945" s="3" t="s">
        <v>699</v>
      </c>
      <c r="N3945" s="2">
        <f>SUBTOTAL(9,N3943:N3944)</f>
        <v>5</v>
      </c>
      <c r="O3945" s="2">
        <f>SUBTOTAL(9,O3943:O3944)</f>
        <v>358797.45</v>
      </c>
      <c r="P3945" s="2">
        <f>+O3945/N3945</f>
        <v>71759.490000000005</v>
      </c>
    </row>
    <row r="3946" spans="1:16" outlineLevel="2" x14ac:dyDescent="0.2">
      <c r="A3946" s="5">
        <v>46185</v>
      </c>
      <c r="B3946" s="2">
        <v>160090</v>
      </c>
      <c r="C3946" s="2">
        <v>6</v>
      </c>
      <c r="D3946" s="2" t="s">
        <v>128</v>
      </c>
      <c r="E3946" s="2" t="s">
        <v>23</v>
      </c>
      <c r="F3946" s="2" t="s">
        <v>47</v>
      </c>
      <c r="G3946" s="2" t="s">
        <v>22</v>
      </c>
      <c r="H3946" s="2" t="s">
        <v>23</v>
      </c>
      <c r="I3946" s="2" t="s">
        <v>23</v>
      </c>
      <c r="J3946" s="2">
        <v>1</v>
      </c>
      <c r="K3946" s="2" t="s">
        <v>24</v>
      </c>
      <c r="L3946" s="2">
        <v>25213</v>
      </c>
      <c r="M3946" s="2" t="s">
        <v>130</v>
      </c>
      <c r="N3946" s="2">
        <v>5</v>
      </c>
      <c r="O3946" s="2">
        <v>447474.11</v>
      </c>
      <c r="P3946" s="2">
        <v>89494.82</v>
      </c>
    </row>
    <row r="3947" spans="1:16" outlineLevel="1" x14ac:dyDescent="0.2">
      <c r="A3947" s="5"/>
      <c r="D3947" s="3" t="s">
        <v>732</v>
      </c>
      <c r="N3947" s="2">
        <f>SUBTOTAL(9,N3946:N3946)</f>
        <v>5</v>
      </c>
      <c r="O3947" s="2">
        <f>SUBTOTAL(9,O3946:O3946)</f>
        <v>447474.11</v>
      </c>
      <c r="P3947" s="2">
        <f>+O3947/N3947</f>
        <v>89494.822</v>
      </c>
    </row>
    <row r="3948" spans="1:16" outlineLevel="2" x14ac:dyDescent="0.2">
      <c r="A3948" s="5">
        <v>46188</v>
      </c>
      <c r="B3948" s="2">
        <v>160107</v>
      </c>
      <c r="C3948" s="2">
        <v>1</v>
      </c>
      <c r="D3948" s="2" t="s">
        <v>57</v>
      </c>
      <c r="E3948" s="2" t="s">
        <v>463</v>
      </c>
      <c r="F3948" s="2" t="s">
        <v>31</v>
      </c>
      <c r="G3948" s="2" t="s">
        <v>22</v>
      </c>
      <c r="H3948" s="2" t="s">
        <v>23</v>
      </c>
      <c r="I3948" s="2" t="s">
        <v>345</v>
      </c>
      <c r="J3948" s="2">
        <v>1</v>
      </c>
      <c r="K3948" s="2" t="s">
        <v>24</v>
      </c>
      <c r="L3948" s="2">
        <v>226</v>
      </c>
      <c r="M3948" s="2" t="s">
        <v>59</v>
      </c>
      <c r="N3948" s="2">
        <v>42</v>
      </c>
      <c r="O3948" s="2">
        <v>1812793.11</v>
      </c>
      <c r="P3948" s="2">
        <v>43161.74</v>
      </c>
    </row>
    <row r="3949" spans="1:16" outlineLevel="2" x14ac:dyDescent="0.2">
      <c r="A3949" s="5">
        <v>46188</v>
      </c>
      <c r="B3949" s="2">
        <v>160107</v>
      </c>
      <c r="C3949" s="2">
        <v>2</v>
      </c>
      <c r="D3949" s="2" t="s">
        <v>57</v>
      </c>
      <c r="E3949" s="2" t="s">
        <v>443</v>
      </c>
      <c r="F3949" s="2" t="s">
        <v>31</v>
      </c>
      <c r="G3949" s="2" t="s">
        <v>22</v>
      </c>
      <c r="H3949" s="2" t="s">
        <v>23</v>
      </c>
      <c r="I3949" s="2" t="s">
        <v>309</v>
      </c>
      <c r="J3949" s="2">
        <v>1</v>
      </c>
      <c r="K3949" s="2" t="s">
        <v>24</v>
      </c>
      <c r="L3949" s="2">
        <v>226</v>
      </c>
      <c r="M3949" s="2" t="s">
        <v>59</v>
      </c>
      <c r="N3949" s="2">
        <v>33</v>
      </c>
      <c r="O3949" s="2">
        <v>1309217.72</v>
      </c>
      <c r="P3949" s="2">
        <v>39673.26</v>
      </c>
    </row>
    <row r="3950" spans="1:16" outlineLevel="2" x14ac:dyDescent="0.2">
      <c r="A3950" s="5">
        <v>46188</v>
      </c>
      <c r="B3950" s="2">
        <v>160107</v>
      </c>
      <c r="C3950" s="2">
        <v>3</v>
      </c>
      <c r="D3950" s="2" t="s">
        <v>57</v>
      </c>
      <c r="E3950" s="2" t="s">
        <v>443</v>
      </c>
      <c r="F3950" s="2" t="s">
        <v>31</v>
      </c>
      <c r="G3950" s="2" t="s">
        <v>22</v>
      </c>
      <c r="H3950" s="2" t="s">
        <v>23</v>
      </c>
      <c r="I3950" s="2" t="s">
        <v>345</v>
      </c>
      <c r="J3950" s="2">
        <v>1</v>
      </c>
      <c r="K3950" s="2" t="s">
        <v>24</v>
      </c>
      <c r="L3950" s="2">
        <v>226</v>
      </c>
      <c r="M3950" s="2" t="s">
        <v>59</v>
      </c>
      <c r="N3950" s="2">
        <v>42</v>
      </c>
      <c r="O3950" s="2">
        <v>1537054.65</v>
      </c>
      <c r="P3950" s="2">
        <v>36596.54</v>
      </c>
    </row>
    <row r="3951" spans="1:16" outlineLevel="1" x14ac:dyDescent="0.2">
      <c r="A3951" s="5"/>
      <c r="D3951" s="3" t="s">
        <v>716</v>
      </c>
      <c r="N3951" s="2">
        <f>SUBTOTAL(9,N3948:N3950)</f>
        <v>117</v>
      </c>
      <c r="O3951" s="2">
        <f>SUBTOTAL(9,O3948:O3950)</f>
        <v>4659065.4800000004</v>
      </c>
      <c r="P3951" s="2">
        <f>+O3951/N3951</f>
        <v>39821.072478632479</v>
      </c>
    </row>
    <row r="3952" spans="1:16" outlineLevel="2" x14ac:dyDescent="0.2">
      <c r="A3952" s="5">
        <v>46188</v>
      </c>
      <c r="B3952" s="2">
        <v>160107</v>
      </c>
      <c r="C3952" s="2">
        <v>4</v>
      </c>
      <c r="D3952" s="2" t="s">
        <v>60</v>
      </c>
      <c r="E3952" s="2" t="s">
        <v>179</v>
      </c>
      <c r="F3952" s="2" t="s">
        <v>31</v>
      </c>
      <c r="G3952" s="2" t="s">
        <v>349</v>
      </c>
      <c r="H3952" s="2" t="s">
        <v>433</v>
      </c>
      <c r="I3952" s="2" t="s">
        <v>23</v>
      </c>
      <c r="J3952" s="2">
        <v>1</v>
      </c>
      <c r="K3952" s="2" t="s">
        <v>24</v>
      </c>
      <c r="L3952" s="2">
        <v>226</v>
      </c>
      <c r="M3952" s="2" t="s">
        <v>59</v>
      </c>
      <c r="N3952" s="2">
        <v>56</v>
      </c>
      <c r="O3952" s="2">
        <v>1830565.46</v>
      </c>
      <c r="P3952" s="2">
        <v>32688.67</v>
      </c>
    </row>
    <row r="3953" spans="1:16" outlineLevel="2" x14ac:dyDescent="0.2">
      <c r="A3953" s="5">
        <v>46188</v>
      </c>
      <c r="B3953" s="2">
        <v>160107</v>
      </c>
      <c r="C3953" s="2">
        <v>5</v>
      </c>
      <c r="D3953" s="2" t="s">
        <v>60</v>
      </c>
      <c r="E3953" s="2" t="s">
        <v>346</v>
      </c>
      <c r="F3953" s="2" t="s">
        <v>31</v>
      </c>
      <c r="G3953" s="2" t="s">
        <v>22</v>
      </c>
      <c r="H3953" s="2" t="s">
        <v>23</v>
      </c>
      <c r="I3953" s="2" t="s">
        <v>23</v>
      </c>
      <c r="J3953" s="2">
        <v>78</v>
      </c>
      <c r="K3953" s="2" t="s">
        <v>212</v>
      </c>
      <c r="L3953" s="2">
        <v>226</v>
      </c>
      <c r="M3953" s="2" t="s">
        <v>59</v>
      </c>
      <c r="N3953" s="2">
        <v>91</v>
      </c>
      <c r="O3953" s="2">
        <v>1606035.74</v>
      </c>
      <c r="P3953" s="2">
        <v>17648.740000000002</v>
      </c>
    </row>
    <row r="3954" spans="1:16" outlineLevel="1" x14ac:dyDescent="0.2">
      <c r="A3954" s="5"/>
      <c r="D3954" s="3" t="s">
        <v>728</v>
      </c>
      <c r="N3954" s="2">
        <f>SUBTOTAL(9,N3952:N3953)</f>
        <v>147</v>
      </c>
      <c r="O3954" s="2">
        <f>SUBTOTAL(9,O3952:O3953)</f>
        <v>3436601.2</v>
      </c>
      <c r="P3954" s="2">
        <f>+O3954/N3954</f>
        <v>23378.239455782314</v>
      </c>
    </row>
    <row r="3955" spans="1:16" outlineLevel="2" x14ac:dyDescent="0.2">
      <c r="A3955" s="5">
        <v>46188</v>
      </c>
      <c r="B3955" s="2">
        <v>160108</v>
      </c>
      <c r="C3955" s="2">
        <v>1</v>
      </c>
      <c r="D3955" s="2" t="s">
        <v>474</v>
      </c>
      <c r="E3955" s="2" t="s">
        <v>475</v>
      </c>
      <c r="F3955" s="2" t="s">
        <v>47</v>
      </c>
      <c r="G3955" s="2" t="s">
        <v>22</v>
      </c>
      <c r="H3955" s="2" t="s">
        <v>23</v>
      </c>
      <c r="I3955" s="2" t="s">
        <v>23</v>
      </c>
      <c r="J3955" s="2">
        <v>41</v>
      </c>
      <c r="K3955" s="2" t="s">
        <v>129</v>
      </c>
      <c r="L3955" s="2">
        <v>2338</v>
      </c>
      <c r="M3955" s="2" t="s">
        <v>417</v>
      </c>
      <c r="N3955" s="2">
        <v>224</v>
      </c>
      <c r="O3955" s="2">
        <v>245987.84</v>
      </c>
      <c r="P3955" s="2">
        <v>1098.1600000000001</v>
      </c>
    </row>
    <row r="3956" spans="1:16" outlineLevel="1" x14ac:dyDescent="0.2">
      <c r="A3956" s="5"/>
      <c r="D3956" s="3" t="s">
        <v>780</v>
      </c>
      <c r="N3956" s="2">
        <f>SUBTOTAL(9,N3955:N3955)</f>
        <v>224</v>
      </c>
      <c r="O3956" s="2">
        <f>SUBTOTAL(9,O3955:O3955)</f>
        <v>245987.84</v>
      </c>
      <c r="P3956" s="2">
        <f>+O3956/N3956</f>
        <v>1098.1600000000001</v>
      </c>
    </row>
    <row r="3957" spans="1:16" outlineLevel="2" x14ac:dyDescent="0.2">
      <c r="A3957" s="5">
        <v>46188</v>
      </c>
      <c r="B3957" s="2">
        <v>160108</v>
      </c>
      <c r="C3957" s="2">
        <v>2</v>
      </c>
      <c r="D3957" s="2" t="s">
        <v>470</v>
      </c>
      <c r="E3957" s="2" t="s">
        <v>23</v>
      </c>
      <c r="F3957" s="2" t="s">
        <v>47</v>
      </c>
      <c r="G3957" s="2" t="s">
        <v>22</v>
      </c>
      <c r="H3957" s="2" t="s">
        <v>23</v>
      </c>
      <c r="I3957" s="2" t="s">
        <v>23</v>
      </c>
      <c r="J3957" s="2">
        <v>86</v>
      </c>
      <c r="K3957" s="2" t="s">
        <v>73</v>
      </c>
      <c r="L3957" s="2">
        <v>2338</v>
      </c>
      <c r="M3957" s="2" t="s">
        <v>417</v>
      </c>
      <c r="N3957" s="2">
        <v>12</v>
      </c>
      <c r="O3957" s="2">
        <v>414227.24</v>
      </c>
      <c r="P3957" s="2">
        <v>34518.94</v>
      </c>
    </row>
    <row r="3958" spans="1:16" outlineLevel="1" x14ac:dyDescent="0.2">
      <c r="A3958" s="5"/>
      <c r="D3958" s="3" t="s">
        <v>779</v>
      </c>
      <c r="N3958" s="2">
        <f>SUBTOTAL(9,N3957:N3957)</f>
        <v>12</v>
      </c>
      <c r="O3958" s="2">
        <f>SUBTOTAL(9,O3957:O3957)</f>
        <v>414227.24</v>
      </c>
      <c r="P3958" s="2">
        <f>+O3958/N3958</f>
        <v>34518.936666666668</v>
      </c>
    </row>
    <row r="3959" spans="1:16" outlineLevel="2" x14ac:dyDescent="0.2">
      <c r="A3959" s="5">
        <v>46188</v>
      </c>
      <c r="B3959" s="2">
        <v>160109</v>
      </c>
      <c r="C3959" s="2">
        <v>1</v>
      </c>
      <c r="D3959" s="2" t="s">
        <v>207</v>
      </c>
      <c r="E3959" s="2" t="s">
        <v>23</v>
      </c>
      <c r="F3959" s="2" t="s">
        <v>47</v>
      </c>
      <c r="G3959" s="2" t="s">
        <v>22</v>
      </c>
      <c r="H3959" s="2" t="s">
        <v>208</v>
      </c>
      <c r="I3959" s="2" t="s">
        <v>23</v>
      </c>
      <c r="J3959" s="2">
        <v>41</v>
      </c>
      <c r="K3959" s="2" t="s">
        <v>129</v>
      </c>
      <c r="L3959" s="2">
        <v>25213</v>
      </c>
      <c r="M3959" s="2" t="s">
        <v>130</v>
      </c>
      <c r="N3959" s="2">
        <v>75</v>
      </c>
      <c r="O3959" s="2">
        <v>257381.25</v>
      </c>
      <c r="P3959" s="2">
        <v>3431.75</v>
      </c>
    </row>
    <row r="3960" spans="1:16" outlineLevel="2" x14ac:dyDescent="0.2">
      <c r="A3960" s="5">
        <v>46188</v>
      </c>
      <c r="B3960" s="2">
        <v>160109</v>
      </c>
      <c r="C3960" s="2">
        <v>2</v>
      </c>
      <c r="D3960" s="2" t="s">
        <v>207</v>
      </c>
      <c r="E3960" s="2" t="s">
        <v>23</v>
      </c>
      <c r="F3960" s="2" t="s">
        <v>47</v>
      </c>
      <c r="G3960" s="2" t="s">
        <v>22</v>
      </c>
      <c r="H3960" s="2" t="s">
        <v>209</v>
      </c>
      <c r="I3960" s="2" t="s">
        <v>23</v>
      </c>
      <c r="J3960" s="2">
        <v>41</v>
      </c>
      <c r="K3960" s="2" t="s">
        <v>129</v>
      </c>
      <c r="L3960" s="2">
        <v>25213</v>
      </c>
      <c r="M3960" s="2" t="s">
        <v>130</v>
      </c>
      <c r="N3960" s="2">
        <v>25</v>
      </c>
      <c r="O3960" s="2">
        <v>72176.42</v>
      </c>
      <c r="P3960" s="2">
        <v>2887.06</v>
      </c>
    </row>
    <row r="3961" spans="1:16" outlineLevel="1" x14ac:dyDescent="0.2">
      <c r="A3961" s="5"/>
      <c r="D3961" s="3" t="s">
        <v>699</v>
      </c>
      <c r="N3961" s="2">
        <f>SUBTOTAL(9,N3959:N3960)</f>
        <v>100</v>
      </c>
      <c r="O3961" s="2">
        <f>SUBTOTAL(9,O3959:O3960)</f>
        <v>329557.67</v>
      </c>
      <c r="P3961" s="2">
        <f>+O3961/N3961</f>
        <v>3295.5766999999996</v>
      </c>
    </row>
    <row r="3962" spans="1:16" outlineLevel="2" x14ac:dyDescent="0.2">
      <c r="A3962" s="5">
        <v>46188</v>
      </c>
      <c r="B3962" s="2">
        <v>160109</v>
      </c>
      <c r="C3962" s="2">
        <v>3</v>
      </c>
      <c r="D3962" s="2" t="s">
        <v>128</v>
      </c>
      <c r="E3962" s="2" t="s">
        <v>23</v>
      </c>
      <c r="F3962" s="2" t="s">
        <v>47</v>
      </c>
      <c r="G3962" s="2" t="s">
        <v>22</v>
      </c>
      <c r="H3962" s="2" t="s">
        <v>23</v>
      </c>
      <c r="I3962" s="2" t="s">
        <v>23</v>
      </c>
      <c r="J3962" s="2">
        <v>41</v>
      </c>
      <c r="K3962" s="2" t="s">
        <v>129</v>
      </c>
      <c r="L3962" s="2">
        <v>25213</v>
      </c>
      <c r="M3962" s="2" t="s">
        <v>130</v>
      </c>
      <c r="N3962" s="2">
        <v>75</v>
      </c>
      <c r="O3962" s="2">
        <v>278135.15999999997</v>
      </c>
      <c r="P3962" s="2">
        <v>3708.47</v>
      </c>
    </row>
    <row r="3963" spans="1:16" outlineLevel="1" x14ac:dyDescent="0.2">
      <c r="A3963" s="5"/>
      <c r="D3963" s="3" t="s">
        <v>732</v>
      </c>
      <c r="N3963" s="2">
        <f>SUBTOTAL(9,N3962:N3962)</f>
        <v>75</v>
      </c>
      <c r="O3963" s="2">
        <f>SUBTOTAL(9,O3962:O3962)</f>
        <v>278135.15999999997</v>
      </c>
      <c r="P3963" s="2">
        <f>+O3963/N3963</f>
        <v>3708.4687999999996</v>
      </c>
    </row>
    <row r="3964" spans="1:16" outlineLevel="2" x14ac:dyDescent="0.2">
      <c r="A3964" s="5">
        <v>46188</v>
      </c>
      <c r="B3964" s="2">
        <v>160109</v>
      </c>
      <c r="C3964" s="2">
        <v>4</v>
      </c>
      <c r="D3964" s="2" t="s">
        <v>207</v>
      </c>
      <c r="E3964" s="2" t="s">
        <v>23</v>
      </c>
      <c r="F3964" s="2" t="s">
        <v>47</v>
      </c>
      <c r="G3964" s="2" t="s">
        <v>22</v>
      </c>
      <c r="H3964" s="2" t="s">
        <v>23</v>
      </c>
      <c r="I3964" s="2" t="s">
        <v>23</v>
      </c>
      <c r="J3964" s="2">
        <v>1</v>
      </c>
      <c r="K3964" s="2" t="s">
        <v>24</v>
      </c>
      <c r="L3964" s="2">
        <v>25213</v>
      </c>
      <c r="M3964" s="2" t="s">
        <v>130</v>
      </c>
      <c r="N3964" s="2">
        <v>5</v>
      </c>
      <c r="O3964" s="2">
        <v>398773.81</v>
      </c>
      <c r="P3964" s="2">
        <v>79754.759999999995</v>
      </c>
    </row>
    <row r="3965" spans="1:16" outlineLevel="2" x14ac:dyDescent="0.2">
      <c r="A3965" s="5">
        <v>46188</v>
      </c>
      <c r="B3965" s="2">
        <v>160109</v>
      </c>
      <c r="C3965" s="2">
        <v>5</v>
      </c>
      <c r="D3965" s="2" t="s">
        <v>207</v>
      </c>
      <c r="E3965" s="2" t="s">
        <v>23</v>
      </c>
      <c r="F3965" s="2" t="s">
        <v>47</v>
      </c>
      <c r="G3965" s="2" t="s">
        <v>210</v>
      </c>
      <c r="H3965" s="2" t="s">
        <v>23</v>
      </c>
      <c r="I3965" s="2" t="s">
        <v>23</v>
      </c>
      <c r="J3965" s="2">
        <v>1</v>
      </c>
      <c r="K3965" s="2" t="s">
        <v>24</v>
      </c>
      <c r="L3965" s="2">
        <v>25213</v>
      </c>
      <c r="M3965" s="2" t="s">
        <v>130</v>
      </c>
      <c r="N3965" s="2">
        <v>2</v>
      </c>
      <c r="O3965" s="2">
        <v>130077.46</v>
      </c>
      <c r="P3965" s="2">
        <v>65038.73</v>
      </c>
    </row>
    <row r="3966" spans="1:16" outlineLevel="1" x14ac:dyDescent="0.2">
      <c r="A3966" s="5"/>
      <c r="D3966" s="3" t="s">
        <v>699</v>
      </c>
      <c r="N3966" s="2">
        <f>SUBTOTAL(9,N3964:N3965)</f>
        <v>7</v>
      </c>
      <c r="O3966" s="2">
        <f>SUBTOTAL(9,O3964:O3965)</f>
        <v>528851.27</v>
      </c>
      <c r="P3966" s="2">
        <f>+O3966/N3966</f>
        <v>75550.181428571435</v>
      </c>
    </row>
    <row r="3967" spans="1:16" outlineLevel="2" x14ac:dyDescent="0.2">
      <c r="A3967" s="5">
        <v>46188</v>
      </c>
      <c r="B3967" s="2">
        <v>160109</v>
      </c>
      <c r="C3967" s="2">
        <v>6</v>
      </c>
      <c r="D3967" s="2" t="s">
        <v>128</v>
      </c>
      <c r="E3967" s="2" t="s">
        <v>23</v>
      </c>
      <c r="F3967" s="2" t="s">
        <v>47</v>
      </c>
      <c r="G3967" s="2" t="s">
        <v>22</v>
      </c>
      <c r="H3967" s="2" t="s">
        <v>23</v>
      </c>
      <c r="I3967" s="2" t="s">
        <v>23</v>
      </c>
      <c r="J3967" s="2">
        <v>1</v>
      </c>
      <c r="K3967" s="2" t="s">
        <v>24</v>
      </c>
      <c r="L3967" s="2">
        <v>25213</v>
      </c>
      <c r="M3967" s="2" t="s">
        <v>130</v>
      </c>
      <c r="N3967" s="2">
        <v>4</v>
      </c>
      <c r="O3967" s="2">
        <v>358165.96</v>
      </c>
      <c r="P3967" s="2">
        <v>89541.49</v>
      </c>
    </row>
    <row r="3968" spans="1:16" outlineLevel="1" x14ac:dyDescent="0.2">
      <c r="A3968" s="5"/>
      <c r="D3968" s="3" t="s">
        <v>732</v>
      </c>
      <c r="N3968" s="2">
        <f>SUBTOTAL(9,N3967:N3967)</f>
        <v>4</v>
      </c>
      <c r="O3968" s="2">
        <f>SUBTOTAL(9,O3967:O3967)</f>
        <v>358165.96</v>
      </c>
      <c r="P3968" s="2">
        <f>+O3968/N3968</f>
        <v>89541.49</v>
      </c>
    </row>
    <row r="3969" spans="1:16" outlineLevel="2" x14ac:dyDescent="0.2">
      <c r="A3969" s="5">
        <v>46185</v>
      </c>
      <c r="B3969" s="2">
        <v>160127</v>
      </c>
      <c r="C3969" s="2">
        <v>2</v>
      </c>
      <c r="D3969" s="2" t="s">
        <v>140</v>
      </c>
      <c r="E3969" s="2" t="s">
        <v>23</v>
      </c>
      <c r="F3969" s="2" t="s">
        <v>23</v>
      </c>
      <c r="G3969" s="2" t="s">
        <v>22</v>
      </c>
      <c r="H3969" s="2" t="s">
        <v>23</v>
      </c>
      <c r="I3969" s="2" t="s">
        <v>23</v>
      </c>
      <c r="J3969" s="2">
        <v>1</v>
      </c>
      <c r="K3969" s="2" t="s">
        <v>24</v>
      </c>
      <c r="L3969" s="2">
        <v>1833</v>
      </c>
      <c r="M3969" s="2" t="s">
        <v>142</v>
      </c>
      <c r="N3969" s="2">
        <v>6</v>
      </c>
      <c r="O3969" s="2">
        <v>54194.34</v>
      </c>
      <c r="P3969" s="2">
        <v>9032.39</v>
      </c>
    </row>
    <row r="3970" spans="1:16" outlineLevel="1" x14ac:dyDescent="0.2">
      <c r="A3970" s="5"/>
      <c r="D3970" s="3" t="s">
        <v>696</v>
      </c>
      <c r="N3970" s="2">
        <f>SUBTOTAL(9,N3969:N3969)</f>
        <v>6</v>
      </c>
      <c r="O3970" s="2">
        <f>SUBTOTAL(9,O3969:O3969)</f>
        <v>54194.34</v>
      </c>
      <c r="P3970" s="2">
        <f>+O3970/N3970</f>
        <v>9032.39</v>
      </c>
    </row>
    <row r="3971" spans="1:16" outlineLevel="2" x14ac:dyDescent="0.2">
      <c r="A3971" s="5">
        <v>46188</v>
      </c>
      <c r="B3971" s="2">
        <v>160128</v>
      </c>
      <c r="C3971" s="2">
        <v>1</v>
      </c>
      <c r="D3971" s="2" t="s">
        <v>75</v>
      </c>
      <c r="E3971" s="2" t="s">
        <v>23</v>
      </c>
      <c r="F3971" s="2" t="s">
        <v>108</v>
      </c>
      <c r="G3971" s="2" t="s">
        <v>22</v>
      </c>
      <c r="H3971" s="2" t="s">
        <v>23</v>
      </c>
      <c r="I3971" s="2" t="s">
        <v>455</v>
      </c>
      <c r="J3971" s="2">
        <v>1</v>
      </c>
      <c r="K3971" s="2" t="s">
        <v>24</v>
      </c>
      <c r="L3971" s="2">
        <v>2024</v>
      </c>
      <c r="M3971" s="2" t="s">
        <v>76</v>
      </c>
      <c r="N3971" s="2">
        <v>474</v>
      </c>
      <c r="O3971" s="2">
        <v>9877181.3300000001</v>
      </c>
      <c r="P3971" s="2">
        <v>20837.939999999999</v>
      </c>
    </row>
    <row r="3972" spans="1:16" outlineLevel="2" x14ac:dyDescent="0.2">
      <c r="A3972" s="5">
        <v>46188</v>
      </c>
      <c r="B3972" s="2">
        <v>160128</v>
      </c>
      <c r="C3972" s="2">
        <v>2</v>
      </c>
      <c r="D3972" s="2" t="s">
        <v>75</v>
      </c>
      <c r="E3972" s="2" t="s">
        <v>23</v>
      </c>
      <c r="F3972" s="2" t="s">
        <v>108</v>
      </c>
      <c r="G3972" s="2" t="s">
        <v>22</v>
      </c>
      <c r="H3972" s="2" t="s">
        <v>23</v>
      </c>
      <c r="I3972" s="2" t="s">
        <v>273</v>
      </c>
      <c r="J3972" s="2">
        <v>1</v>
      </c>
      <c r="K3972" s="2" t="s">
        <v>24</v>
      </c>
      <c r="L3972" s="2">
        <v>2024</v>
      </c>
      <c r="M3972" s="2" t="s">
        <v>76</v>
      </c>
      <c r="N3972" s="2">
        <v>378</v>
      </c>
      <c r="O3972" s="2">
        <v>8631379.1199999992</v>
      </c>
      <c r="P3972" s="2">
        <v>22834.34</v>
      </c>
    </row>
    <row r="3973" spans="1:16" outlineLevel="2" x14ac:dyDescent="0.2">
      <c r="A3973" s="5">
        <v>46206</v>
      </c>
      <c r="B3973" s="2">
        <v>160128</v>
      </c>
      <c r="C3973" s="2">
        <v>3</v>
      </c>
      <c r="D3973" s="2" t="s">
        <v>75</v>
      </c>
      <c r="E3973" s="2" t="s">
        <v>412</v>
      </c>
      <c r="F3973" s="2" t="s">
        <v>108</v>
      </c>
      <c r="G3973" s="2" t="s">
        <v>22</v>
      </c>
      <c r="H3973" s="2" t="s">
        <v>23</v>
      </c>
      <c r="I3973" s="2" t="s">
        <v>36</v>
      </c>
      <c r="J3973" s="2">
        <v>1</v>
      </c>
      <c r="K3973" s="2" t="s">
        <v>24</v>
      </c>
      <c r="L3973" s="2">
        <v>2024</v>
      </c>
      <c r="M3973" s="2" t="s">
        <v>76</v>
      </c>
      <c r="N3973" s="2">
        <v>15</v>
      </c>
      <c r="O3973" s="2">
        <v>356710.89</v>
      </c>
      <c r="P3973" s="2">
        <v>23780.73</v>
      </c>
    </row>
    <row r="3974" spans="1:16" outlineLevel="1" x14ac:dyDescent="0.2">
      <c r="A3974" s="5"/>
      <c r="D3974" s="3" t="s">
        <v>729</v>
      </c>
      <c r="N3974" s="2">
        <f>SUBTOTAL(9,N3971:N3973)</f>
        <v>867</v>
      </c>
      <c r="O3974" s="2">
        <f>SUBTOTAL(9,O3971:O3973)</f>
        <v>18865271.34</v>
      </c>
      <c r="P3974" s="2">
        <f>+O3974/N3974</f>
        <v>21759.251833910035</v>
      </c>
    </row>
    <row r="3975" spans="1:16" outlineLevel="2" x14ac:dyDescent="0.2">
      <c r="A3975" s="5">
        <v>46185</v>
      </c>
      <c r="B3975" s="2">
        <v>160131</v>
      </c>
      <c r="C3975" s="2">
        <v>8</v>
      </c>
      <c r="D3975" s="2" t="s">
        <v>45</v>
      </c>
      <c r="E3975" s="2" t="s">
        <v>590</v>
      </c>
      <c r="F3975" s="2" t="s">
        <v>289</v>
      </c>
      <c r="G3975" s="2" t="s">
        <v>22</v>
      </c>
      <c r="H3975" s="2" t="s">
        <v>23</v>
      </c>
      <c r="I3975" s="2" t="s">
        <v>23</v>
      </c>
      <c r="J3975" s="2">
        <v>41</v>
      </c>
      <c r="K3975" s="2" t="s">
        <v>129</v>
      </c>
      <c r="L3975" s="2">
        <v>801</v>
      </c>
      <c r="M3975" s="2" t="s">
        <v>56</v>
      </c>
      <c r="N3975" s="2">
        <v>16</v>
      </c>
      <c r="O3975" s="2">
        <v>326634.61</v>
      </c>
      <c r="P3975" s="2">
        <v>20414.66</v>
      </c>
    </row>
    <row r="3976" spans="1:16" outlineLevel="2" x14ac:dyDescent="0.2">
      <c r="A3976" s="5">
        <v>46185</v>
      </c>
      <c r="B3976" s="2">
        <v>160131</v>
      </c>
      <c r="C3976" s="2">
        <v>12</v>
      </c>
      <c r="D3976" s="2" t="s">
        <v>45</v>
      </c>
      <c r="E3976" s="2" t="s">
        <v>558</v>
      </c>
      <c r="F3976" s="2" t="s">
        <v>289</v>
      </c>
      <c r="G3976" s="2" t="s">
        <v>22</v>
      </c>
      <c r="H3976" s="2" t="s">
        <v>23</v>
      </c>
      <c r="I3976" s="2" t="s">
        <v>23</v>
      </c>
      <c r="J3976" s="2">
        <v>41</v>
      </c>
      <c r="K3976" s="2" t="s">
        <v>129</v>
      </c>
      <c r="L3976" s="2">
        <v>801</v>
      </c>
      <c r="M3976" s="2" t="s">
        <v>56</v>
      </c>
      <c r="N3976" s="2">
        <v>19</v>
      </c>
      <c r="O3976" s="2">
        <v>356408.89</v>
      </c>
      <c r="P3976" s="2">
        <v>18758.36</v>
      </c>
    </row>
    <row r="3977" spans="1:16" outlineLevel="1" x14ac:dyDescent="0.2">
      <c r="A3977" s="5"/>
      <c r="D3977" s="3" t="s">
        <v>733</v>
      </c>
      <c r="N3977" s="2">
        <f>SUBTOTAL(9,N3975:N3976)</f>
        <v>35</v>
      </c>
      <c r="O3977" s="2">
        <f>SUBTOTAL(9,O3975:O3976)</f>
        <v>683043.5</v>
      </c>
      <c r="P3977" s="2">
        <f>+O3977/N3977</f>
        <v>19515.528571428571</v>
      </c>
    </row>
    <row r="3978" spans="1:16" outlineLevel="2" x14ac:dyDescent="0.2">
      <c r="A3978" s="5">
        <v>46185</v>
      </c>
      <c r="B3978" s="2">
        <v>160131</v>
      </c>
      <c r="C3978" s="2">
        <v>17</v>
      </c>
      <c r="D3978" s="2" t="s">
        <v>226</v>
      </c>
      <c r="E3978" s="2" t="s">
        <v>586</v>
      </c>
      <c r="F3978" s="2" t="s">
        <v>289</v>
      </c>
      <c r="G3978" s="2" t="s">
        <v>22</v>
      </c>
      <c r="H3978" s="2" t="s">
        <v>23</v>
      </c>
      <c r="I3978" s="2" t="s">
        <v>23</v>
      </c>
      <c r="J3978" s="2">
        <v>41</v>
      </c>
      <c r="K3978" s="2" t="s">
        <v>129</v>
      </c>
      <c r="L3978" s="2">
        <v>801</v>
      </c>
      <c r="M3978" s="2" t="s">
        <v>56</v>
      </c>
      <c r="N3978" s="2">
        <v>16</v>
      </c>
      <c r="O3978" s="2">
        <v>385345.5</v>
      </c>
      <c r="P3978" s="2">
        <v>24084.09</v>
      </c>
    </row>
    <row r="3979" spans="1:16" outlineLevel="1" x14ac:dyDescent="0.2">
      <c r="A3979" s="5"/>
      <c r="D3979" s="3" t="s">
        <v>736</v>
      </c>
      <c r="N3979" s="2">
        <f>SUBTOTAL(9,N3978:N3978)</f>
        <v>16</v>
      </c>
      <c r="O3979" s="2">
        <f>SUBTOTAL(9,O3978:O3978)</f>
        <v>385345.5</v>
      </c>
      <c r="P3979" s="2">
        <f>+O3979/N3979</f>
        <v>24084.09375</v>
      </c>
    </row>
    <row r="3980" spans="1:16" outlineLevel="2" x14ac:dyDescent="0.2">
      <c r="A3980" s="5">
        <v>46204</v>
      </c>
      <c r="B3980" s="2">
        <v>160131</v>
      </c>
      <c r="C3980" s="2">
        <v>322</v>
      </c>
      <c r="D3980" s="2" t="s">
        <v>54</v>
      </c>
      <c r="E3980" s="2" t="s">
        <v>30</v>
      </c>
      <c r="F3980" s="2" t="s">
        <v>23</v>
      </c>
      <c r="G3980" s="2" t="s">
        <v>22</v>
      </c>
      <c r="H3980" s="2" t="s">
        <v>23</v>
      </c>
      <c r="I3980" s="2" t="s">
        <v>23</v>
      </c>
      <c r="J3980" s="2">
        <v>2</v>
      </c>
      <c r="K3980" s="2" t="s">
        <v>48</v>
      </c>
      <c r="L3980" s="2">
        <v>801</v>
      </c>
      <c r="M3980" s="2" t="s">
        <v>56</v>
      </c>
      <c r="N3980" s="2">
        <v>1</v>
      </c>
      <c r="O3980" s="2">
        <v>5298.63</v>
      </c>
      <c r="P3980" s="2">
        <v>5298.63</v>
      </c>
    </row>
    <row r="3981" spans="1:16" outlineLevel="1" x14ac:dyDescent="0.2">
      <c r="A3981" s="5"/>
      <c r="D3981" s="3" t="s">
        <v>719</v>
      </c>
      <c r="N3981" s="2">
        <f>SUBTOTAL(9,N3980:N3980)</f>
        <v>1</v>
      </c>
      <c r="O3981" s="2">
        <f>SUBTOTAL(9,O3980:O3980)</f>
        <v>5298.63</v>
      </c>
      <c r="P3981" s="2">
        <f>+O3981/N3981</f>
        <v>5298.63</v>
      </c>
    </row>
    <row r="3982" spans="1:16" outlineLevel="2" x14ac:dyDescent="0.2">
      <c r="A3982" s="5">
        <v>46188</v>
      </c>
      <c r="B3982" s="2">
        <v>160132</v>
      </c>
      <c r="C3982" s="2">
        <v>1</v>
      </c>
      <c r="D3982" s="2" t="s">
        <v>19</v>
      </c>
      <c r="E3982" s="2" t="s">
        <v>20</v>
      </c>
      <c r="F3982" s="2" t="s">
        <v>21</v>
      </c>
      <c r="G3982" s="2" t="s">
        <v>22</v>
      </c>
      <c r="H3982" s="2" t="s">
        <v>23</v>
      </c>
      <c r="I3982" s="2" t="s">
        <v>23</v>
      </c>
      <c r="J3982" s="2">
        <v>40</v>
      </c>
      <c r="K3982" s="2" t="s">
        <v>43</v>
      </c>
      <c r="L3982" s="2">
        <v>25205</v>
      </c>
      <c r="M3982" s="2" t="s">
        <v>171</v>
      </c>
      <c r="N3982" s="2">
        <v>87</v>
      </c>
      <c r="O3982" s="2">
        <v>6389057.0899999999</v>
      </c>
      <c r="P3982" s="2">
        <v>73437.440000000002</v>
      </c>
    </row>
    <row r="3983" spans="1:16" outlineLevel="2" x14ac:dyDescent="0.2">
      <c r="A3983" s="5">
        <v>46188</v>
      </c>
      <c r="B3983" s="2">
        <v>160132</v>
      </c>
      <c r="C3983" s="2">
        <v>2</v>
      </c>
      <c r="D3983" s="2" t="s">
        <v>19</v>
      </c>
      <c r="E3983" s="2" t="s">
        <v>20</v>
      </c>
      <c r="F3983" s="2" t="s">
        <v>21</v>
      </c>
      <c r="G3983" s="2" t="s">
        <v>23</v>
      </c>
      <c r="H3983" s="2" t="s">
        <v>23</v>
      </c>
      <c r="I3983" s="2" t="s">
        <v>593</v>
      </c>
      <c r="J3983" s="2">
        <v>40</v>
      </c>
      <c r="K3983" s="2" t="s">
        <v>43</v>
      </c>
      <c r="L3983" s="2">
        <v>25205</v>
      </c>
      <c r="M3983" s="2" t="s">
        <v>171</v>
      </c>
      <c r="N3983" s="2">
        <v>95</v>
      </c>
      <c r="O3983" s="2">
        <v>7181712.2699999996</v>
      </c>
      <c r="P3983" s="2">
        <v>75596.97</v>
      </c>
    </row>
    <row r="3984" spans="1:16" outlineLevel="1" x14ac:dyDescent="0.2">
      <c r="A3984" s="5"/>
      <c r="D3984" s="3" t="s">
        <v>704</v>
      </c>
      <c r="N3984" s="2">
        <f>SUBTOTAL(9,N3982:N3983)</f>
        <v>182</v>
      </c>
      <c r="O3984" s="2">
        <f>SUBTOTAL(9,O3982:O3983)</f>
        <v>13570769.359999999</v>
      </c>
      <c r="P3984" s="2">
        <f>+O3984/N3984</f>
        <v>74564.666813186806</v>
      </c>
    </row>
    <row r="3985" spans="1:16" outlineLevel="2" x14ac:dyDescent="0.2">
      <c r="A3985" s="5">
        <v>46188</v>
      </c>
      <c r="B3985" s="2">
        <v>160133</v>
      </c>
      <c r="C3985" s="2">
        <v>1</v>
      </c>
      <c r="D3985" s="2" t="s">
        <v>160</v>
      </c>
      <c r="E3985" s="2" t="s">
        <v>222</v>
      </c>
      <c r="F3985" s="2" t="s">
        <v>40</v>
      </c>
      <c r="G3985" s="2" t="s">
        <v>22</v>
      </c>
      <c r="H3985" s="2" t="s">
        <v>23</v>
      </c>
      <c r="I3985" s="2" t="s">
        <v>23</v>
      </c>
      <c r="J3985" s="2">
        <v>1</v>
      </c>
      <c r="K3985" s="2" t="s">
        <v>24</v>
      </c>
      <c r="L3985" s="2">
        <v>2521</v>
      </c>
      <c r="M3985" s="2" t="s">
        <v>82</v>
      </c>
      <c r="N3985" s="2">
        <v>60</v>
      </c>
      <c r="O3985" s="2">
        <v>1101387.3</v>
      </c>
      <c r="P3985" s="2">
        <v>18356.46</v>
      </c>
    </row>
    <row r="3986" spans="1:16" outlineLevel="1" x14ac:dyDescent="0.2">
      <c r="A3986" s="5"/>
      <c r="D3986" s="3" t="s">
        <v>709</v>
      </c>
      <c r="N3986" s="2">
        <f>SUBTOTAL(9,N3985:N3985)</f>
        <v>60</v>
      </c>
      <c r="O3986" s="2">
        <f>SUBTOTAL(9,O3985:O3985)</f>
        <v>1101387.3</v>
      </c>
      <c r="P3986" s="2">
        <f>+O3986/N3986</f>
        <v>18356.455000000002</v>
      </c>
    </row>
    <row r="3987" spans="1:16" outlineLevel="2" x14ac:dyDescent="0.2">
      <c r="A3987" s="5">
        <v>46188</v>
      </c>
      <c r="B3987" s="2">
        <v>160133</v>
      </c>
      <c r="C3987" s="2">
        <v>2</v>
      </c>
      <c r="D3987" s="2" t="s">
        <v>131</v>
      </c>
      <c r="E3987" s="2" t="s">
        <v>132</v>
      </c>
      <c r="F3987" s="2" t="s">
        <v>40</v>
      </c>
      <c r="G3987" s="2" t="s">
        <v>22</v>
      </c>
      <c r="H3987" s="2" t="s">
        <v>23</v>
      </c>
      <c r="I3987" s="2" t="s">
        <v>23</v>
      </c>
      <c r="J3987" s="2">
        <v>1</v>
      </c>
      <c r="K3987" s="2" t="s">
        <v>24</v>
      </c>
      <c r="L3987" s="2">
        <v>2521</v>
      </c>
      <c r="M3987" s="2" t="s">
        <v>82</v>
      </c>
      <c r="N3987" s="2">
        <v>129</v>
      </c>
      <c r="O3987" s="2">
        <v>4863879.29</v>
      </c>
      <c r="P3987" s="2">
        <v>37704.49</v>
      </c>
    </row>
    <row r="3988" spans="1:16" outlineLevel="1" x14ac:dyDescent="0.2">
      <c r="A3988" s="5"/>
      <c r="D3988" s="3" t="s">
        <v>713</v>
      </c>
      <c r="N3988" s="2">
        <f>SUBTOTAL(9,N3987:N3987)</f>
        <v>129</v>
      </c>
      <c r="O3988" s="2">
        <f>SUBTOTAL(9,O3987:O3987)</f>
        <v>4863879.29</v>
      </c>
      <c r="P3988" s="2">
        <f>+O3988/N3988</f>
        <v>37704.49062015504</v>
      </c>
    </row>
    <row r="3989" spans="1:16" outlineLevel="2" x14ac:dyDescent="0.2">
      <c r="A3989" s="5">
        <v>46190</v>
      </c>
      <c r="B3989" s="2">
        <v>160133</v>
      </c>
      <c r="C3989" s="2">
        <v>3</v>
      </c>
      <c r="D3989" s="2" t="s">
        <v>451</v>
      </c>
      <c r="E3989" s="2" t="s">
        <v>523</v>
      </c>
      <c r="F3989" s="2" t="s">
        <v>40</v>
      </c>
      <c r="G3989" s="2" t="s">
        <v>22</v>
      </c>
      <c r="H3989" s="2" t="s">
        <v>23</v>
      </c>
      <c r="I3989" s="2" t="s">
        <v>23</v>
      </c>
      <c r="J3989" s="2">
        <v>1</v>
      </c>
      <c r="K3989" s="2" t="s">
        <v>24</v>
      </c>
      <c r="L3989" s="2">
        <v>2521</v>
      </c>
      <c r="M3989" s="2" t="s">
        <v>82</v>
      </c>
      <c r="N3989" s="2">
        <v>95</v>
      </c>
      <c r="O3989" s="2">
        <v>2381301.23</v>
      </c>
      <c r="P3989" s="2">
        <v>25066.33</v>
      </c>
    </row>
    <row r="3990" spans="1:16" outlineLevel="2" x14ac:dyDescent="0.2">
      <c r="A3990" s="5">
        <v>46188</v>
      </c>
      <c r="B3990" s="2">
        <v>160133</v>
      </c>
      <c r="C3990" s="2">
        <v>4</v>
      </c>
      <c r="D3990" s="2" t="s">
        <v>451</v>
      </c>
      <c r="E3990" s="2" t="s">
        <v>523</v>
      </c>
      <c r="F3990" s="2" t="s">
        <v>40</v>
      </c>
      <c r="G3990" s="2" t="s">
        <v>22</v>
      </c>
      <c r="H3990" s="2" t="s">
        <v>23</v>
      </c>
      <c r="I3990" s="2" t="s">
        <v>23</v>
      </c>
      <c r="J3990" s="2">
        <v>1</v>
      </c>
      <c r="K3990" s="2" t="s">
        <v>24</v>
      </c>
      <c r="L3990" s="2">
        <v>2521</v>
      </c>
      <c r="M3990" s="2" t="s">
        <v>82</v>
      </c>
      <c r="N3990" s="2">
        <v>127</v>
      </c>
      <c r="O3990" s="2">
        <v>2986814.08</v>
      </c>
      <c r="P3990" s="2">
        <v>23518.22</v>
      </c>
    </row>
    <row r="3991" spans="1:16" outlineLevel="1" x14ac:dyDescent="0.2">
      <c r="A3991" s="5"/>
      <c r="D3991" s="3" t="s">
        <v>775</v>
      </c>
      <c r="N3991" s="2">
        <f>SUBTOTAL(9,N3989:N3990)</f>
        <v>222</v>
      </c>
      <c r="O3991" s="2">
        <f>SUBTOTAL(9,O3989:O3990)</f>
        <v>5368115.3100000005</v>
      </c>
      <c r="P3991" s="2">
        <f>+O3991/N3991</f>
        <v>24180.699594594596</v>
      </c>
    </row>
    <row r="3992" spans="1:16" outlineLevel="2" x14ac:dyDescent="0.2">
      <c r="A3992" s="5">
        <v>46199</v>
      </c>
      <c r="B3992" s="2">
        <v>160134</v>
      </c>
      <c r="C3992" s="2">
        <v>301</v>
      </c>
      <c r="D3992" s="2" t="s">
        <v>26</v>
      </c>
      <c r="E3992" s="2" t="s">
        <v>51</v>
      </c>
      <c r="F3992" s="2" t="s">
        <v>23</v>
      </c>
      <c r="G3992" s="2" t="s">
        <v>22</v>
      </c>
      <c r="H3992" s="2" t="s">
        <v>23</v>
      </c>
      <c r="I3992" s="2" t="s">
        <v>23</v>
      </c>
      <c r="J3992" s="2">
        <v>5</v>
      </c>
      <c r="K3992" s="2" t="s">
        <v>27</v>
      </c>
      <c r="L3992" s="2">
        <v>786</v>
      </c>
      <c r="M3992" s="2" t="s">
        <v>546</v>
      </c>
      <c r="N3992" s="2">
        <v>10</v>
      </c>
      <c r="O3992" s="2">
        <v>34317.5</v>
      </c>
      <c r="P3992" s="2">
        <v>3431.75</v>
      </c>
    </row>
    <row r="3993" spans="1:16" outlineLevel="2" x14ac:dyDescent="0.2">
      <c r="A3993" s="5">
        <v>46206</v>
      </c>
      <c r="B3993" s="2">
        <v>160134</v>
      </c>
      <c r="C3993" s="2">
        <v>315</v>
      </c>
      <c r="D3993" s="2" t="s">
        <v>26</v>
      </c>
      <c r="E3993" s="2" t="s">
        <v>51</v>
      </c>
      <c r="F3993" s="2" t="s">
        <v>23</v>
      </c>
      <c r="G3993" s="2" t="s">
        <v>22</v>
      </c>
      <c r="H3993" s="2" t="s">
        <v>23</v>
      </c>
      <c r="I3993" s="2" t="s">
        <v>23</v>
      </c>
      <c r="J3993" s="2">
        <v>5</v>
      </c>
      <c r="K3993" s="2" t="s">
        <v>27</v>
      </c>
      <c r="L3993" s="2">
        <v>3048</v>
      </c>
      <c r="M3993" s="2" t="s">
        <v>53</v>
      </c>
      <c r="N3993" s="2">
        <v>64</v>
      </c>
      <c r="O3993" s="2">
        <v>279344.81</v>
      </c>
      <c r="P3993" s="2">
        <v>4364.76</v>
      </c>
    </row>
    <row r="3994" spans="1:16" outlineLevel="1" x14ac:dyDescent="0.2">
      <c r="A3994" s="5"/>
      <c r="D3994" s="3" t="s">
        <v>711</v>
      </c>
      <c r="N3994" s="2">
        <f>SUBTOTAL(9,N3992:N3993)</f>
        <v>74</v>
      </c>
      <c r="O3994" s="2">
        <f>SUBTOTAL(9,O3992:O3993)</f>
        <v>313662.31</v>
      </c>
      <c r="P3994" s="2">
        <f>+O3994/N3994</f>
        <v>4238.6798648648646</v>
      </c>
    </row>
    <row r="3995" spans="1:16" outlineLevel="2" x14ac:dyDescent="0.2">
      <c r="A3995" s="5">
        <v>46196</v>
      </c>
      <c r="B3995" s="2">
        <v>160138</v>
      </c>
      <c r="C3995" s="2">
        <v>1</v>
      </c>
      <c r="D3995" s="2" t="s">
        <v>57</v>
      </c>
      <c r="E3995" s="2" t="s">
        <v>259</v>
      </c>
      <c r="F3995" s="2" t="s">
        <v>23</v>
      </c>
      <c r="G3995" s="2" t="s">
        <v>22</v>
      </c>
      <c r="H3995" s="2" t="s">
        <v>23</v>
      </c>
      <c r="I3995" s="2" t="s">
        <v>23</v>
      </c>
      <c r="J3995" s="2">
        <v>1</v>
      </c>
      <c r="K3995" s="2" t="s">
        <v>24</v>
      </c>
      <c r="L3995" s="2">
        <v>2143</v>
      </c>
      <c r="M3995" s="2" t="s">
        <v>411</v>
      </c>
      <c r="N3995" s="2">
        <v>21</v>
      </c>
      <c r="O3995" s="2">
        <v>360499.45</v>
      </c>
      <c r="P3995" s="2">
        <v>17166.64</v>
      </c>
    </row>
    <row r="3996" spans="1:16" outlineLevel="1" x14ac:dyDescent="0.2">
      <c r="A3996" s="5"/>
      <c r="D3996" s="3" t="s">
        <v>716</v>
      </c>
      <c r="N3996" s="2">
        <f>SUBTOTAL(9,N3995:N3995)</f>
        <v>21</v>
      </c>
      <c r="O3996" s="2">
        <f>SUBTOTAL(9,O3995:O3995)</f>
        <v>360499.45</v>
      </c>
      <c r="P3996" s="2">
        <f>+O3996/N3996</f>
        <v>17166.640476190478</v>
      </c>
    </row>
    <row r="3997" spans="1:16" outlineLevel="2" x14ac:dyDescent="0.2">
      <c r="A3997" s="5">
        <v>46197</v>
      </c>
      <c r="B3997" s="2">
        <v>160144</v>
      </c>
      <c r="C3997" s="2">
        <v>302</v>
      </c>
      <c r="D3997" s="2" t="s">
        <v>54</v>
      </c>
      <c r="E3997" s="2" t="s">
        <v>30</v>
      </c>
      <c r="F3997" s="2" t="s">
        <v>23</v>
      </c>
      <c r="G3997" s="2" t="s">
        <v>22</v>
      </c>
      <c r="H3997" s="2" t="s">
        <v>23</v>
      </c>
      <c r="I3997" s="2" t="s">
        <v>23</v>
      </c>
      <c r="J3997" s="2">
        <v>2</v>
      </c>
      <c r="K3997" s="2" t="s">
        <v>48</v>
      </c>
      <c r="L3997" s="2">
        <v>626</v>
      </c>
      <c r="M3997" s="2" t="s">
        <v>49</v>
      </c>
      <c r="N3997" s="2">
        <v>5</v>
      </c>
      <c r="O3997" s="2">
        <v>40494.75</v>
      </c>
      <c r="P3997" s="2">
        <v>8098.95</v>
      </c>
    </row>
    <row r="3998" spans="1:16" outlineLevel="1" x14ac:dyDescent="0.2">
      <c r="A3998" s="5"/>
      <c r="D3998" s="3" t="s">
        <v>719</v>
      </c>
      <c r="N3998" s="2">
        <f>SUBTOTAL(9,N3997:N3997)</f>
        <v>5</v>
      </c>
      <c r="O3998" s="2">
        <f>SUBTOTAL(9,O3997:O3997)</f>
        <v>40494.75</v>
      </c>
      <c r="P3998" s="2">
        <f>+O3998/N3998</f>
        <v>8098.95</v>
      </c>
    </row>
    <row r="3999" spans="1:16" outlineLevel="2" x14ac:dyDescent="0.2">
      <c r="A3999" s="5">
        <v>46190</v>
      </c>
      <c r="B3999" s="2">
        <v>160146</v>
      </c>
      <c r="C3999" s="2">
        <v>1</v>
      </c>
      <c r="D3999" s="2" t="s">
        <v>475</v>
      </c>
      <c r="E3999" s="2" t="s">
        <v>475</v>
      </c>
      <c r="F3999" s="2" t="s">
        <v>23</v>
      </c>
      <c r="G3999" s="2" t="s">
        <v>22</v>
      </c>
      <c r="H3999" s="2" t="s">
        <v>23</v>
      </c>
      <c r="I3999" s="2" t="s">
        <v>23</v>
      </c>
      <c r="J3999" s="2">
        <v>86</v>
      </c>
      <c r="K3999" s="2" t="s">
        <v>73</v>
      </c>
      <c r="L3999" s="2">
        <v>2338</v>
      </c>
      <c r="M3999" s="2" t="s">
        <v>417</v>
      </c>
      <c r="N3999" s="2">
        <v>383</v>
      </c>
      <c r="O3999" s="2">
        <v>388054.02</v>
      </c>
      <c r="P3999" s="2">
        <v>1013.2</v>
      </c>
    </row>
    <row r="4000" spans="1:16" outlineLevel="1" x14ac:dyDescent="0.2">
      <c r="A4000" s="5"/>
      <c r="D4000" s="3" t="s">
        <v>801</v>
      </c>
      <c r="N4000" s="2">
        <f>SUBTOTAL(9,N3999:N3999)</f>
        <v>383</v>
      </c>
      <c r="O4000" s="2">
        <f>SUBTOTAL(9,O3999:O3999)</f>
        <v>388054.02</v>
      </c>
      <c r="P4000" s="2">
        <f>+O4000/N4000</f>
        <v>1013.1958746736293</v>
      </c>
    </row>
    <row r="4001" spans="1:16" outlineLevel="2" x14ac:dyDescent="0.2">
      <c r="A4001" s="5">
        <v>46190</v>
      </c>
      <c r="B4001" s="2">
        <v>160147</v>
      </c>
      <c r="C4001" s="2">
        <v>1</v>
      </c>
      <c r="D4001" s="2" t="s">
        <v>207</v>
      </c>
      <c r="E4001" s="2" t="s">
        <v>23</v>
      </c>
      <c r="F4001" s="2" t="s">
        <v>47</v>
      </c>
      <c r="G4001" s="2" t="s">
        <v>22</v>
      </c>
      <c r="H4001" s="2" t="s">
        <v>208</v>
      </c>
      <c r="I4001" s="2" t="s">
        <v>23</v>
      </c>
      <c r="J4001" s="2">
        <v>41</v>
      </c>
      <c r="K4001" s="2" t="s">
        <v>129</v>
      </c>
      <c r="L4001" s="2">
        <v>25213</v>
      </c>
      <c r="M4001" s="2" t="s">
        <v>130</v>
      </c>
      <c r="N4001" s="2">
        <v>49</v>
      </c>
      <c r="O4001" s="2">
        <v>163459.47</v>
      </c>
      <c r="P4001" s="2">
        <v>3335.91</v>
      </c>
    </row>
    <row r="4002" spans="1:16" outlineLevel="2" x14ac:dyDescent="0.2">
      <c r="A4002" s="5">
        <v>46190</v>
      </c>
      <c r="B4002" s="2">
        <v>160147</v>
      </c>
      <c r="C4002" s="2">
        <v>2</v>
      </c>
      <c r="D4002" s="2" t="s">
        <v>207</v>
      </c>
      <c r="E4002" s="2" t="s">
        <v>23</v>
      </c>
      <c r="F4002" s="2" t="s">
        <v>47</v>
      </c>
      <c r="G4002" s="2" t="s">
        <v>22</v>
      </c>
      <c r="H4002" s="2" t="s">
        <v>209</v>
      </c>
      <c r="I4002" s="2" t="s">
        <v>23</v>
      </c>
      <c r="J4002" s="2">
        <v>41</v>
      </c>
      <c r="K4002" s="2" t="s">
        <v>129</v>
      </c>
      <c r="L4002" s="2">
        <v>25213</v>
      </c>
      <c r="M4002" s="2" t="s">
        <v>130</v>
      </c>
      <c r="N4002" s="2">
        <v>25</v>
      </c>
      <c r="O4002" s="2">
        <v>66068.539999999994</v>
      </c>
      <c r="P4002" s="2">
        <v>2642.74</v>
      </c>
    </row>
    <row r="4003" spans="1:16" outlineLevel="1" x14ac:dyDescent="0.2">
      <c r="A4003" s="5"/>
      <c r="D4003" s="3" t="s">
        <v>699</v>
      </c>
      <c r="N4003" s="2">
        <f>SUBTOTAL(9,N4001:N4002)</f>
        <v>74</v>
      </c>
      <c r="O4003" s="2">
        <f>SUBTOTAL(9,O4001:O4002)</f>
        <v>229528.01</v>
      </c>
      <c r="P4003" s="2">
        <f>+O4003/N4003</f>
        <v>3101.7298648648648</v>
      </c>
    </row>
    <row r="4004" spans="1:16" outlineLevel="2" x14ac:dyDescent="0.2">
      <c r="A4004" s="5">
        <v>46190</v>
      </c>
      <c r="B4004" s="2">
        <v>160147</v>
      </c>
      <c r="C4004" s="2">
        <v>3</v>
      </c>
      <c r="D4004" s="2" t="s">
        <v>128</v>
      </c>
      <c r="E4004" s="2" t="s">
        <v>23</v>
      </c>
      <c r="F4004" s="2" t="s">
        <v>47</v>
      </c>
      <c r="G4004" s="2" t="s">
        <v>22</v>
      </c>
      <c r="H4004" s="2" t="s">
        <v>23</v>
      </c>
      <c r="I4004" s="2" t="s">
        <v>23</v>
      </c>
      <c r="J4004" s="2">
        <v>41</v>
      </c>
      <c r="K4004" s="2" t="s">
        <v>129</v>
      </c>
      <c r="L4004" s="2">
        <v>25213</v>
      </c>
      <c r="M4004" s="2" t="s">
        <v>130</v>
      </c>
      <c r="N4004" s="2">
        <v>50</v>
      </c>
      <c r="O4004" s="2">
        <v>173510.59</v>
      </c>
      <c r="P4004" s="2">
        <v>3470.21</v>
      </c>
    </row>
    <row r="4005" spans="1:16" outlineLevel="1" x14ac:dyDescent="0.2">
      <c r="A4005" s="5"/>
      <c r="D4005" s="3" t="s">
        <v>732</v>
      </c>
      <c r="N4005" s="2">
        <f>SUBTOTAL(9,N4004:N4004)</f>
        <v>50</v>
      </c>
      <c r="O4005" s="2">
        <f>SUBTOTAL(9,O4004:O4004)</f>
        <v>173510.59</v>
      </c>
      <c r="P4005" s="2">
        <f>+O4005/N4005</f>
        <v>3470.2118</v>
      </c>
    </row>
    <row r="4006" spans="1:16" outlineLevel="2" x14ac:dyDescent="0.2">
      <c r="A4006" s="5">
        <v>46190</v>
      </c>
      <c r="B4006" s="2">
        <v>160147</v>
      </c>
      <c r="C4006" s="2">
        <v>4</v>
      </c>
      <c r="D4006" s="2" t="s">
        <v>207</v>
      </c>
      <c r="E4006" s="2" t="s">
        <v>23</v>
      </c>
      <c r="F4006" s="2" t="s">
        <v>47</v>
      </c>
      <c r="G4006" s="2" t="s">
        <v>594</v>
      </c>
      <c r="H4006" s="2" t="s">
        <v>23</v>
      </c>
      <c r="I4006" s="2" t="s">
        <v>23</v>
      </c>
      <c r="J4006" s="2">
        <v>41</v>
      </c>
      <c r="K4006" s="2" t="s">
        <v>129</v>
      </c>
      <c r="L4006" s="2">
        <v>25213</v>
      </c>
      <c r="M4006" s="2" t="s">
        <v>130</v>
      </c>
      <c r="N4006" s="2">
        <v>2</v>
      </c>
      <c r="O4006" s="2">
        <v>143493.1</v>
      </c>
      <c r="P4006" s="2">
        <v>71746.55</v>
      </c>
    </row>
    <row r="4007" spans="1:16" outlineLevel="2" x14ac:dyDescent="0.2">
      <c r="A4007" s="5">
        <v>46190</v>
      </c>
      <c r="B4007" s="2">
        <v>160147</v>
      </c>
      <c r="C4007" s="2">
        <v>5</v>
      </c>
      <c r="D4007" s="2" t="s">
        <v>207</v>
      </c>
      <c r="E4007" s="2" t="s">
        <v>23</v>
      </c>
      <c r="F4007" s="2" t="s">
        <v>47</v>
      </c>
      <c r="G4007" s="2" t="s">
        <v>527</v>
      </c>
      <c r="H4007" s="2" t="s">
        <v>23</v>
      </c>
      <c r="I4007" s="2" t="s">
        <v>23</v>
      </c>
      <c r="J4007" s="2">
        <v>1</v>
      </c>
      <c r="K4007" s="2" t="s">
        <v>24</v>
      </c>
      <c r="L4007" s="2">
        <v>25213</v>
      </c>
      <c r="M4007" s="2" t="s">
        <v>130</v>
      </c>
      <c r="N4007" s="2">
        <v>2</v>
      </c>
      <c r="O4007" s="2">
        <v>130077.46</v>
      </c>
      <c r="P4007" s="2">
        <v>65038.73</v>
      </c>
    </row>
    <row r="4008" spans="1:16" outlineLevel="1" x14ac:dyDescent="0.2">
      <c r="A4008" s="5"/>
      <c r="D4008" s="3" t="s">
        <v>699</v>
      </c>
      <c r="N4008" s="2">
        <f>SUBTOTAL(9,N4006:N4007)</f>
        <v>4</v>
      </c>
      <c r="O4008" s="2">
        <f>SUBTOTAL(9,O4006:O4007)</f>
        <v>273570.56</v>
      </c>
      <c r="P4008" s="2">
        <f>+O4008/N4008</f>
        <v>68392.639999999999</v>
      </c>
    </row>
    <row r="4009" spans="1:16" outlineLevel="2" x14ac:dyDescent="0.2">
      <c r="A4009" s="5">
        <v>46190</v>
      </c>
      <c r="B4009" s="2">
        <v>160147</v>
      </c>
      <c r="C4009" s="2">
        <v>6</v>
      </c>
      <c r="D4009" s="2" t="s">
        <v>128</v>
      </c>
      <c r="E4009" s="2" t="s">
        <v>23</v>
      </c>
      <c r="F4009" s="2" t="s">
        <v>47</v>
      </c>
      <c r="G4009" s="2" t="s">
        <v>22</v>
      </c>
      <c r="H4009" s="2" t="s">
        <v>23</v>
      </c>
      <c r="I4009" s="2" t="s">
        <v>23</v>
      </c>
      <c r="J4009" s="2">
        <v>1</v>
      </c>
      <c r="K4009" s="2" t="s">
        <v>24</v>
      </c>
      <c r="L4009" s="2">
        <v>25213</v>
      </c>
      <c r="M4009" s="2" t="s">
        <v>130</v>
      </c>
      <c r="N4009" s="2">
        <v>4</v>
      </c>
      <c r="O4009" s="2">
        <v>351634.25</v>
      </c>
      <c r="P4009" s="2">
        <v>87908.56</v>
      </c>
    </row>
    <row r="4010" spans="1:16" outlineLevel="1" x14ac:dyDescent="0.2">
      <c r="A4010" s="5"/>
      <c r="D4010" s="3" t="s">
        <v>732</v>
      </c>
      <c r="N4010" s="2">
        <f>SUBTOTAL(9,N4009:N4009)</f>
        <v>4</v>
      </c>
      <c r="O4010" s="2">
        <f>SUBTOTAL(9,O4009:O4009)</f>
        <v>351634.25</v>
      </c>
      <c r="P4010" s="2">
        <f>+O4010/N4010</f>
        <v>87908.5625</v>
      </c>
    </row>
    <row r="4011" spans="1:16" outlineLevel="2" x14ac:dyDescent="0.2">
      <c r="A4011" s="5">
        <v>46204</v>
      </c>
      <c r="B4011" s="2">
        <v>160150</v>
      </c>
      <c r="C4011" s="2">
        <v>315</v>
      </c>
      <c r="D4011" s="2" t="s">
        <v>110</v>
      </c>
      <c r="E4011" s="2" t="s">
        <v>111</v>
      </c>
      <c r="F4011" s="2" t="s">
        <v>23</v>
      </c>
      <c r="G4011" s="2" t="s">
        <v>22</v>
      </c>
      <c r="H4011" s="2" t="s">
        <v>23</v>
      </c>
      <c r="I4011" s="2" t="s">
        <v>23</v>
      </c>
      <c r="J4011" s="2">
        <v>2</v>
      </c>
      <c r="K4011" s="2" t="s">
        <v>48</v>
      </c>
      <c r="L4011" s="2">
        <v>1974</v>
      </c>
      <c r="M4011" s="2" t="s">
        <v>95</v>
      </c>
      <c r="N4011" s="2">
        <v>7</v>
      </c>
      <c r="O4011" s="2">
        <v>37090.410000000003</v>
      </c>
      <c r="P4011" s="2">
        <v>5298.63</v>
      </c>
    </row>
    <row r="4012" spans="1:16" outlineLevel="1" x14ac:dyDescent="0.2">
      <c r="A4012" s="5"/>
      <c r="D4012" s="3" t="s">
        <v>697</v>
      </c>
      <c r="N4012" s="2">
        <f>SUBTOTAL(9,N4011:N4011)</f>
        <v>7</v>
      </c>
      <c r="O4012" s="2">
        <f>SUBTOTAL(9,O4011:O4011)</f>
        <v>37090.410000000003</v>
      </c>
      <c r="P4012" s="2">
        <f>+O4012/N4012</f>
        <v>5298.63</v>
      </c>
    </row>
    <row r="4013" spans="1:16" outlineLevel="2" x14ac:dyDescent="0.2">
      <c r="A4013" s="5">
        <v>46192</v>
      </c>
      <c r="B4013" s="2">
        <v>160152</v>
      </c>
      <c r="C4013" s="2">
        <v>2</v>
      </c>
      <c r="D4013" s="2" t="s">
        <v>140</v>
      </c>
      <c r="E4013" s="2" t="s">
        <v>55</v>
      </c>
      <c r="F4013" s="2" t="s">
        <v>23</v>
      </c>
      <c r="G4013" s="2" t="s">
        <v>22</v>
      </c>
      <c r="H4013" s="2" t="s">
        <v>23</v>
      </c>
      <c r="I4013" s="2" t="s">
        <v>23</v>
      </c>
      <c r="J4013" s="2">
        <v>1</v>
      </c>
      <c r="K4013" s="2" t="s">
        <v>24</v>
      </c>
      <c r="L4013" s="2">
        <v>1833</v>
      </c>
      <c r="M4013" s="2" t="s">
        <v>142</v>
      </c>
      <c r="N4013" s="2">
        <v>18</v>
      </c>
      <c r="O4013" s="2">
        <v>224189.95</v>
      </c>
      <c r="P4013" s="2">
        <v>12455</v>
      </c>
    </row>
    <row r="4014" spans="1:16" outlineLevel="1" x14ac:dyDescent="0.2">
      <c r="A4014" s="5"/>
      <c r="D4014" s="3" t="s">
        <v>696</v>
      </c>
      <c r="N4014" s="2">
        <f>SUBTOTAL(9,N4013:N4013)</f>
        <v>18</v>
      </c>
      <c r="O4014" s="2">
        <f>SUBTOTAL(9,O4013:O4013)</f>
        <v>224189.95</v>
      </c>
      <c r="P4014" s="2">
        <f>+O4014/N4014</f>
        <v>12454.997222222222</v>
      </c>
    </row>
    <row r="4015" spans="1:16" outlineLevel="2" x14ac:dyDescent="0.2">
      <c r="A4015" s="5">
        <v>46204</v>
      </c>
      <c r="B4015" s="2">
        <v>160163</v>
      </c>
      <c r="C4015" s="2">
        <v>315</v>
      </c>
      <c r="D4015" s="2" t="s">
        <v>110</v>
      </c>
      <c r="E4015" s="2" t="s">
        <v>111</v>
      </c>
      <c r="F4015" s="2" t="s">
        <v>23</v>
      </c>
      <c r="G4015" s="2" t="s">
        <v>22</v>
      </c>
      <c r="H4015" s="2" t="s">
        <v>23</v>
      </c>
      <c r="I4015" s="2" t="s">
        <v>23</v>
      </c>
      <c r="J4015" s="2">
        <v>2</v>
      </c>
      <c r="K4015" s="2" t="s">
        <v>48</v>
      </c>
      <c r="L4015" s="2">
        <v>1557</v>
      </c>
      <c r="M4015" s="2" t="s">
        <v>98</v>
      </c>
      <c r="N4015" s="2">
        <v>2</v>
      </c>
      <c r="O4015" s="2">
        <v>10597.26</v>
      </c>
      <c r="P4015" s="2">
        <v>5298.63</v>
      </c>
    </row>
    <row r="4016" spans="1:16" outlineLevel="1" x14ac:dyDescent="0.2">
      <c r="A4016" s="5"/>
      <c r="D4016" s="3" t="s">
        <v>697</v>
      </c>
      <c r="N4016" s="2">
        <f>SUBTOTAL(9,N4015:N4015)</f>
        <v>2</v>
      </c>
      <c r="O4016" s="2">
        <f>SUBTOTAL(9,O4015:O4015)</f>
        <v>10597.26</v>
      </c>
      <c r="P4016" s="2">
        <f>+O4016/N4016</f>
        <v>5298.63</v>
      </c>
    </row>
    <row r="4017" spans="1:16" outlineLevel="2" x14ac:dyDescent="0.2">
      <c r="A4017" s="5">
        <v>46195</v>
      </c>
      <c r="B4017" s="2">
        <v>160165</v>
      </c>
      <c r="C4017" s="2">
        <v>1</v>
      </c>
      <c r="D4017" s="2" t="s">
        <v>54</v>
      </c>
      <c r="E4017" s="2" t="s">
        <v>20</v>
      </c>
      <c r="F4017" s="2" t="s">
        <v>23</v>
      </c>
      <c r="G4017" s="2" t="s">
        <v>22</v>
      </c>
      <c r="H4017" s="2" t="s">
        <v>23</v>
      </c>
      <c r="I4017" s="2" t="s">
        <v>23</v>
      </c>
      <c r="J4017" s="2">
        <v>2</v>
      </c>
      <c r="K4017" s="2" t="s">
        <v>48</v>
      </c>
      <c r="L4017" s="2">
        <v>801</v>
      </c>
      <c r="M4017" s="2" t="s">
        <v>56</v>
      </c>
      <c r="N4017" s="2">
        <v>3</v>
      </c>
      <c r="O4017" s="2">
        <v>20563.09</v>
      </c>
      <c r="P4017" s="2">
        <v>6854.36</v>
      </c>
    </row>
    <row r="4018" spans="1:16" outlineLevel="1" x14ac:dyDescent="0.2">
      <c r="A4018" s="5"/>
      <c r="D4018" s="3" t="s">
        <v>719</v>
      </c>
      <c r="N4018" s="2">
        <f>SUBTOTAL(9,N4017:N4017)</f>
        <v>3</v>
      </c>
      <c r="O4018" s="2">
        <f>SUBTOTAL(9,O4017:O4017)</f>
        <v>20563.09</v>
      </c>
      <c r="P4018" s="2">
        <f>+O4018/N4018</f>
        <v>6854.3633333333337</v>
      </c>
    </row>
    <row r="4019" spans="1:16" outlineLevel="2" x14ac:dyDescent="0.2">
      <c r="A4019" s="5">
        <v>46197</v>
      </c>
      <c r="B4019" s="2">
        <v>160168</v>
      </c>
      <c r="C4019" s="2">
        <v>301</v>
      </c>
      <c r="D4019" s="2" t="s">
        <v>203</v>
      </c>
      <c r="E4019" s="2" t="s">
        <v>238</v>
      </c>
      <c r="F4019" s="2" t="s">
        <v>23</v>
      </c>
      <c r="G4019" s="2" t="s">
        <v>22</v>
      </c>
      <c r="H4019" s="2" t="s">
        <v>23</v>
      </c>
      <c r="I4019" s="2" t="s">
        <v>23</v>
      </c>
      <c r="J4019" s="2">
        <v>2</v>
      </c>
      <c r="K4019" s="2" t="s">
        <v>48</v>
      </c>
      <c r="L4019" s="2">
        <v>1974</v>
      </c>
      <c r="M4019" s="2" t="s">
        <v>95</v>
      </c>
      <c r="N4019" s="2">
        <v>7</v>
      </c>
      <c r="O4019" s="2">
        <v>48538.81</v>
      </c>
      <c r="P4019" s="2">
        <v>6934.12</v>
      </c>
    </row>
    <row r="4020" spans="1:16" outlineLevel="1" x14ac:dyDescent="0.2">
      <c r="A4020" s="5"/>
      <c r="D4020" s="3" t="s">
        <v>735</v>
      </c>
      <c r="N4020" s="2">
        <f>SUBTOTAL(9,N4019:N4019)</f>
        <v>7</v>
      </c>
      <c r="O4020" s="2">
        <f>SUBTOTAL(9,O4019:O4019)</f>
        <v>48538.81</v>
      </c>
      <c r="P4020" s="2">
        <f>+O4020/N4020</f>
        <v>6934.1157142857137</v>
      </c>
    </row>
    <row r="4021" spans="1:16" outlineLevel="2" x14ac:dyDescent="0.2">
      <c r="A4021" s="5">
        <v>46197</v>
      </c>
      <c r="B4021" s="2">
        <v>160168</v>
      </c>
      <c r="C4021" s="2">
        <v>316</v>
      </c>
      <c r="D4021" s="2" t="s">
        <v>215</v>
      </c>
      <c r="E4021" s="2" t="s">
        <v>23</v>
      </c>
      <c r="F4021" s="2" t="s">
        <v>23</v>
      </c>
      <c r="G4021" s="2" t="s">
        <v>22</v>
      </c>
      <c r="H4021" s="2" t="s">
        <v>23</v>
      </c>
      <c r="I4021" s="2" t="s">
        <v>23</v>
      </c>
      <c r="J4021" s="2">
        <v>2</v>
      </c>
      <c r="K4021" s="2" t="s">
        <v>48</v>
      </c>
      <c r="L4021" s="2">
        <v>1974</v>
      </c>
      <c r="M4021" s="2" t="s">
        <v>95</v>
      </c>
      <c r="N4021" s="2">
        <v>4</v>
      </c>
      <c r="O4021" s="2">
        <v>26136.28</v>
      </c>
      <c r="P4021" s="2">
        <v>6534.07</v>
      </c>
    </row>
    <row r="4022" spans="1:16" outlineLevel="1" x14ac:dyDescent="0.2">
      <c r="A4022" s="5"/>
      <c r="D4022" s="3" t="s">
        <v>727</v>
      </c>
      <c r="N4022" s="2">
        <f>SUBTOTAL(9,N4021:N4021)</f>
        <v>4</v>
      </c>
      <c r="O4022" s="2">
        <f>SUBTOTAL(9,O4021:O4021)</f>
        <v>26136.28</v>
      </c>
      <c r="P4022" s="2">
        <f>+O4022/N4022</f>
        <v>6534.07</v>
      </c>
    </row>
    <row r="4023" spans="1:16" outlineLevel="2" x14ac:dyDescent="0.2">
      <c r="A4023" s="5">
        <v>46192</v>
      </c>
      <c r="B4023" s="2">
        <v>160176</v>
      </c>
      <c r="C4023" s="2">
        <v>1</v>
      </c>
      <c r="D4023" s="2" t="s">
        <v>207</v>
      </c>
      <c r="E4023" s="2" t="s">
        <v>23</v>
      </c>
      <c r="F4023" s="2" t="s">
        <v>47</v>
      </c>
      <c r="G4023" s="2" t="s">
        <v>22</v>
      </c>
      <c r="H4023" s="2" t="s">
        <v>208</v>
      </c>
      <c r="I4023" s="2" t="s">
        <v>23</v>
      </c>
      <c r="J4023" s="2">
        <v>41</v>
      </c>
      <c r="K4023" s="2" t="s">
        <v>129</v>
      </c>
      <c r="L4023" s="2">
        <v>25213</v>
      </c>
      <c r="M4023" s="2" t="s">
        <v>130</v>
      </c>
      <c r="N4023" s="2">
        <v>50</v>
      </c>
      <c r="O4023" s="2">
        <v>171587.5</v>
      </c>
      <c r="P4023" s="2">
        <v>3431.75</v>
      </c>
    </row>
    <row r="4024" spans="1:16" outlineLevel="1" x14ac:dyDescent="0.2">
      <c r="A4024" s="5"/>
      <c r="D4024" s="3" t="s">
        <v>699</v>
      </c>
      <c r="N4024" s="2">
        <f>SUBTOTAL(9,N4023:N4023)</f>
        <v>50</v>
      </c>
      <c r="O4024" s="2">
        <f>SUBTOTAL(9,O4023:O4023)</f>
        <v>171587.5</v>
      </c>
      <c r="P4024" s="2">
        <f>+O4024/N4024</f>
        <v>3431.75</v>
      </c>
    </row>
    <row r="4025" spans="1:16" outlineLevel="2" x14ac:dyDescent="0.2">
      <c r="A4025" s="5">
        <v>46192</v>
      </c>
      <c r="B4025" s="2">
        <v>160176</v>
      </c>
      <c r="C4025" s="2">
        <v>2</v>
      </c>
      <c r="D4025" s="2" t="s">
        <v>128</v>
      </c>
      <c r="E4025" s="2" t="s">
        <v>23</v>
      </c>
      <c r="F4025" s="2" t="s">
        <v>47</v>
      </c>
      <c r="G4025" s="2" t="s">
        <v>22</v>
      </c>
      <c r="H4025" s="2" t="s">
        <v>23</v>
      </c>
      <c r="I4025" s="2" t="s">
        <v>23</v>
      </c>
      <c r="J4025" s="2">
        <v>41</v>
      </c>
      <c r="K4025" s="2" t="s">
        <v>129</v>
      </c>
      <c r="L4025" s="2">
        <v>25213</v>
      </c>
      <c r="M4025" s="2" t="s">
        <v>130</v>
      </c>
      <c r="N4025" s="2">
        <v>50</v>
      </c>
      <c r="O4025" s="2">
        <v>185703.44</v>
      </c>
      <c r="P4025" s="2">
        <v>3714.07</v>
      </c>
    </row>
    <row r="4026" spans="1:16" outlineLevel="1" x14ac:dyDescent="0.2">
      <c r="A4026" s="5"/>
      <c r="D4026" s="3" t="s">
        <v>732</v>
      </c>
      <c r="N4026" s="2">
        <f>SUBTOTAL(9,N4025:N4025)</f>
        <v>50</v>
      </c>
      <c r="O4026" s="2">
        <f>SUBTOTAL(9,O4025:O4025)</f>
        <v>185703.44</v>
      </c>
      <c r="P4026" s="2">
        <f>+O4026/N4026</f>
        <v>3714.0688</v>
      </c>
    </row>
    <row r="4027" spans="1:16" outlineLevel="2" x14ac:dyDescent="0.2">
      <c r="A4027" s="5">
        <v>46192</v>
      </c>
      <c r="B4027" s="2">
        <v>160176</v>
      </c>
      <c r="C4027" s="2">
        <v>3</v>
      </c>
      <c r="D4027" s="2" t="s">
        <v>207</v>
      </c>
      <c r="E4027" s="2" t="s">
        <v>23</v>
      </c>
      <c r="F4027" s="2" t="s">
        <v>23</v>
      </c>
      <c r="G4027" s="2" t="s">
        <v>210</v>
      </c>
      <c r="H4027" s="2" t="s">
        <v>23</v>
      </c>
      <c r="I4027" s="2" t="s">
        <v>23</v>
      </c>
      <c r="J4027" s="2">
        <v>1</v>
      </c>
      <c r="K4027" s="2" t="s">
        <v>24</v>
      </c>
      <c r="L4027" s="2">
        <v>25213</v>
      </c>
      <c r="M4027" s="2" t="s">
        <v>130</v>
      </c>
      <c r="N4027" s="2">
        <v>2</v>
      </c>
      <c r="O4027" s="2">
        <v>143145.60000000001</v>
      </c>
      <c r="P4027" s="2">
        <v>71572.800000000003</v>
      </c>
    </row>
    <row r="4028" spans="1:16" outlineLevel="1" x14ac:dyDescent="0.2">
      <c r="A4028" s="5"/>
      <c r="D4028" s="3" t="s">
        <v>699</v>
      </c>
      <c r="N4028" s="2">
        <f>SUBTOTAL(9,N4027:N4027)</f>
        <v>2</v>
      </c>
      <c r="O4028" s="2">
        <f>SUBTOTAL(9,O4027:O4027)</f>
        <v>143145.60000000001</v>
      </c>
      <c r="P4028" s="2">
        <f>+O4028/N4028</f>
        <v>71572.800000000003</v>
      </c>
    </row>
    <row r="4029" spans="1:16" outlineLevel="2" x14ac:dyDescent="0.2">
      <c r="A4029" s="5">
        <v>46192</v>
      </c>
      <c r="B4029" s="2">
        <v>160176</v>
      </c>
      <c r="C4029" s="2">
        <v>4</v>
      </c>
      <c r="D4029" s="2" t="s">
        <v>128</v>
      </c>
      <c r="E4029" s="2" t="s">
        <v>23</v>
      </c>
      <c r="F4029" s="2" t="s">
        <v>23</v>
      </c>
      <c r="G4029" s="2" t="s">
        <v>22</v>
      </c>
      <c r="H4029" s="2" t="s">
        <v>23</v>
      </c>
      <c r="I4029" s="2" t="s">
        <v>23</v>
      </c>
      <c r="J4029" s="2">
        <v>1</v>
      </c>
      <c r="K4029" s="2" t="s">
        <v>24</v>
      </c>
      <c r="L4029" s="2">
        <v>25213</v>
      </c>
      <c r="M4029" s="2" t="s">
        <v>130</v>
      </c>
      <c r="N4029" s="2">
        <v>3</v>
      </c>
      <c r="O4029" s="2">
        <v>270724.71000000002</v>
      </c>
      <c r="P4029" s="2">
        <v>90241.57</v>
      </c>
    </row>
    <row r="4030" spans="1:16" outlineLevel="1" x14ac:dyDescent="0.2">
      <c r="A4030" s="5"/>
      <c r="D4030" s="3" t="s">
        <v>732</v>
      </c>
      <c r="N4030" s="2">
        <f>SUBTOTAL(9,N4029:N4029)</f>
        <v>3</v>
      </c>
      <c r="O4030" s="2">
        <f>SUBTOTAL(9,O4029:O4029)</f>
        <v>270724.71000000002</v>
      </c>
      <c r="P4030" s="2">
        <f>+O4030/N4030</f>
        <v>90241.57</v>
      </c>
    </row>
    <row r="4031" spans="1:16" outlineLevel="2" x14ac:dyDescent="0.2">
      <c r="A4031" s="5">
        <v>46192</v>
      </c>
      <c r="B4031" s="2">
        <v>160176</v>
      </c>
      <c r="C4031" s="2">
        <v>5</v>
      </c>
      <c r="D4031" s="2" t="s">
        <v>207</v>
      </c>
      <c r="E4031" s="2" t="s">
        <v>23</v>
      </c>
      <c r="F4031" s="2" t="s">
        <v>47</v>
      </c>
      <c r="G4031" s="2" t="s">
        <v>22</v>
      </c>
      <c r="H4031" s="2" t="s">
        <v>23</v>
      </c>
      <c r="I4031" s="2" t="s">
        <v>23</v>
      </c>
      <c r="J4031" s="2">
        <v>1</v>
      </c>
      <c r="K4031" s="2" t="s">
        <v>24</v>
      </c>
      <c r="L4031" s="2">
        <v>25213</v>
      </c>
      <c r="M4031" s="2" t="s">
        <v>130</v>
      </c>
      <c r="N4031" s="2">
        <v>3</v>
      </c>
      <c r="O4031" s="2">
        <v>249255.62</v>
      </c>
      <c r="P4031" s="2">
        <v>83085.210000000006</v>
      </c>
    </row>
    <row r="4032" spans="1:16" outlineLevel="1" x14ac:dyDescent="0.2">
      <c r="A4032" s="5"/>
      <c r="D4032" s="3" t="s">
        <v>699</v>
      </c>
      <c r="N4032" s="2">
        <f>SUBTOTAL(9,N4031:N4031)</f>
        <v>3</v>
      </c>
      <c r="O4032" s="2">
        <f>SUBTOTAL(9,O4031:O4031)</f>
        <v>249255.62</v>
      </c>
      <c r="P4032" s="2">
        <f>+O4032/N4032</f>
        <v>83085.206666666665</v>
      </c>
    </row>
    <row r="4033" spans="1:16" outlineLevel="2" x14ac:dyDescent="0.2">
      <c r="A4033" s="5">
        <v>46192</v>
      </c>
      <c r="B4033" s="2">
        <v>160179</v>
      </c>
      <c r="C4033" s="2">
        <v>1</v>
      </c>
      <c r="D4033" s="2" t="s">
        <v>579</v>
      </c>
      <c r="E4033" s="2" t="s">
        <v>23</v>
      </c>
      <c r="F4033" s="2" t="s">
        <v>23</v>
      </c>
      <c r="G4033" s="2" t="s">
        <v>22</v>
      </c>
      <c r="H4033" s="2" t="s">
        <v>23</v>
      </c>
      <c r="I4033" s="2" t="s">
        <v>23</v>
      </c>
      <c r="J4033" s="2">
        <v>41</v>
      </c>
      <c r="K4033" s="2" t="s">
        <v>129</v>
      </c>
      <c r="L4033" s="2">
        <v>2338</v>
      </c>
      <c r="M4033" s="2" t="s">
        <v>417</v>
      </c>
      <c r="N4033" s="2">
        <v>303</v>
      </c>
      <c r="O4033" s="2">
        <v>275841.49</v>
      </c>
      <c r="P4033" s="2">
        <v>910.37</v>
      </c>
    </row>
    <row r="4034" spans="1:16" outlineLevel="1" x14ac:dyDescent="0.2">
      <c r="A4034" s="5"/>
      <c r="D4034" s="3" t="s">
        <v>800</v>
      </c>
      <c r="N4034" s="2">
        <f>SUBTOTAL(9,N4033:N4033)</f>
        <v>303</v>
      </c>
      <c r="O4034" s="2">
        <f>SUBTOTAL(9,O4033:O4033)</f>
        <v>275841.49</v>
      </c>
      <c r="P4034" s="2">
        <f>+O4034/N4034</f>
        <v>910.36795379537955</v>
      </c>
    </row>
    <row r="4035" spans="1:16" outlineLevel="2" x14ac:dyDescent="0.2">
      <c r="A4035" s="5">
        <v>46192</v>
      </c>
      <c r="B4035" s="2">
        <v>160179</v>
      </c>
      <c r="C4035" s="2">
        <v>2</v>
      </c>
      <c r="D4035" s="2" t="s">
        <v>470</v>
      </c>
      <c r="E4035" s="2" t="s">
        <v>23</v>
      </c>
      <c r="F4035" s="2" t="s">
        <v>23</v>
      </c>
      <c r="G4035" s="2" t="s">
        <v>23</v>
      </c>
      <c r="H4035" s="2" t="s">
        <v>23</v>
      </c>
      <c r="I4035" s="2" t="s">
        <v>23</v>
      </c>
      <c r="J4035" s="2">
        <v>86</v>
      </c>
      <c r="K4035" s="2" t="s">
        <v>73</v>
      </c>
      <c r="L4035" s="2">
        <v>2338</v>
      </c>
      <c r="M4035" s="2" t="s">
        <v>417</v>
      </c>
      <c r="N4035" s="2">
        <v>9</v>
      </c>
      <c r="O4035" s="2">
        <v>371591.01</v>
      </c>
      <c r="P4035" s="2">
        <v>41287.89</v>
      </c>
    </row>
    <row r="4036" spans="1:16" outlineLevel="1" x14ac:dyDescent="0.2">
      <c r="A4036" s="5"/>
      <c r="D4036" s="3" t="s">
        <v>779</v>
      </c>
      <c r="N4036" s="2">
        <f>SUBTOTAL(9,N4035:N4035)</f>
        <v>9</v>
      </c>
      <c r="O4036" s="2">
        <f>SUBTOTAL(9,O4035:O4035)</f>
        <v>371591.01</v>
      </c>
      <c r="P4036" s="2">
        <f>+O4036/N4036</f>
        <v>41287.89</v>
      </c>
    </row>
    <row r="4037" spans="1:16" outlineLevel="2" x14ac:dyDescent="0.2">
      <c r="A4037" s="5">
        <v>46185</v>
      </c>
      <c r="B4037" s="2">
        <v>160185</v>
      </c>
      <c r="C4037" s="2">
        <v>2</v>
      </c>
      <c r="D4037" s="2" t="s">
        <v>226</v>
      </c>
      <c r="E4037" s="2" t="s">
        <v>585</v>
      </c>
      <c r="F4037" s="2" t="s">
        <v>289</v>
      </c>
      <c r="G4037" s="2" t="s">
        <v>22</v>
      </c>
      <c r="H4037" s="2" t="s">
        <v>23</v>
      </c>
      <c r="I4037" s="2" t="s">
        <v>23</v>
      </c>
      <c r="J4037" s="2">
        <v>1</v>
      </c>
      <c r="K4037" s="2" t="s">
        <v>24</v>
      </c>
      <c r="L4037" s="2">
        <v>801</v>
      </c>
      <c r="M4037" s="2" t="s">
        <v>56</v>
      </c>
      <c r="N4037" s="2">
        <v>24</v>
      </c>
      <c r="O4037" s="2">
        <v>350317.33</v>
      </c>
      <c r="P4037" s="2">
        <v>14596.56</v>
      </c>
    </row>
    <row r="4038" spans="1:16" outlineLevel="1" x14ac:dyDescent="0.2">
      <c r="A4038" s="5"/>
      <c r="D4038" s="3" t="s">
        <v>736</v>
      </c>
      <c r="N4038" s="2">
        <f>SUBTOTAL(9,N4037:N4037)</f>
        <v>24</v>
      </c>
      <c r="O4038" s="2">
        <f>SUBTOTAL(9,O4037:O4037)</f>
        <v>350317.33</v>
      </c>
      <c r="P4038" s="2">
        <f>+O4038/N4038</f>
        <v>14596.555416666668</v>
      </c>
    </row>
    <row r="4039" spans="1:16" outlineLevel="2" x14ac:dyDescent="0.2">
      <c r="A4039" s="5">
        <v>46188</v>
      </c>
      <c r="B4039" s="2">
        <v>160209</v>
      </c>
      <c r="C4039" s="2">
        <v>1</v>
      </c>
      <c r="D4039" s="2" t="s">
        <v>45</v>
      </c>
      <c r="E4039" s="2" t="s">
        <v>125</v>
      </c>
      <c r="F4039" s="2" t="s">
        <v>63</v>
      </c>
      <c r="G4039" s="2" t="s">
        <v>22</v>
      </c>
      <c r="H4039" s="2" t="s">
        <v>23</v>
      </c>
      <c r="I4039" s="2" t="s">
        <v>23</v>
      </c>
      <c r="J4039" s="2">
        <v>40</v>
      </c>
      <c r="K4039" s="2" t="s">
        <v>43</v>
      </c>
      <c r="L4039" s="2">
        <v>21</v>
      </c>
      <c r="M4039" s="2" t="s">
        <v>118</v>
      </c>
      <c r="N4039" s="2">
        <v>295</v>
      </c>
      <c r="O4039" s="2">
        <v>13042882.59</v>
      </c>
      <c r="P4039" s="2">
        <v>44213.16</v>
      </c>
    </row>
    <row r="4040" spans="1:16" outlineLevel="1" x14ac:dyDescent="0.2">
      <c r="A4040" s="5"/>
      <c r="D4040" s="3" t="s">
        <v>733</v>
      </c>
      <c r="N4040" s="2">
        <f>SUBTOTAL(9,N4039:N4039)</f>
        <v>295</v>
      </c>
      <c r="O4040" s="2">
        <f>SUBTOTAL(9,O4039:O4039)</f>
        <v>13042882.59</v>
      </c>
      <c r="P4040" s="2">
        <f>+O4040/N4040</f>
        <v>44213.161322033899</v>
      </c>
    </row>
    <row r="4041" spans="1:16" outlineLevel="2" x14ac:dyDescent="0.2">
      <c r="A4041" s="5">
        <v>46195</v>
      </c>
      <c r="B4041" s="2">
        <v>160210</v>
      </c>
      <c r="C4041" s="2">
        <v>1</v>
      </c>
      <c r="D4041" s="2" t="s">
        <v>119</v>
      </c>
      <c r="E4041" s="2" t="s">
        <v>120</v>
      </c>
      <c r="F4041" s="2" t="s">
        <v>63</v>
      </c>
      <c r="G4041" s="2" t="s">
        <v>23</v>
      </c>
      <c r="H4041" s="2" t="s">
        <v>23</v>
      </c>
      <c r="I4041" s="2" t="s">
        <v>595</v>
      </c>
      <c r="J4041" s="2">
        <v>40</v>
      </c>
      <c r="K4041" s="2" t="s">
        <v>43</v>
      </c>
      <c r="L4041" s="2">
        <v>1779</v>
      </c>
      <c r="M4041" s="2" t="s">
        <v>502</v>
      </c>
      <c r="N4041" s="2">
        <v>74</v>
      </c>
      <c r="O4041" s="2">
        <v>3247488.6</v>
      </c>
      <c r="P4041" s="2">
        <v>43884.98</v>
      </c>
    </row>
    <row r="4042" spans="1:16" outlineLevel="2" x14ac:dyDescent="0.2">
      <c r="A4042" s="5">
        <v>46204</v>
      </c>
      <c r="B4042" s="2">
        <v>160210</v>
      </c>
      <c r="C4042" s="2">
        <v>2</v>
      </c>
      <c r="D4042" s="2" t="s">
        <v>119</v>
      </c>
      <c r="E4042" s="2" t="s">
        <v>120</v>
      </c>
      <c r="F4042" s="2" t="s">
        <v>63</v>
      </c>
      <c r="G4042" s="2" t="s">
        <v>22</v>
      </c>
      <c r="H4042" s="2" t="s">
        <v>23</v>
      </c>
      <c r="I4042" s="2" t="s">
        <v>501</v>
      </c>
      <c r="J4042" s="2">
        <v>40</v>
      </c>
      <c r="K4042" s="2" t="s">
        <v>43</v>
      </c>
      <c r="L4042" s="2">
        <v>1779</v>
      </c>
      <c r="M4042" s="2" t="s">
        <v>502</v>
      </c>
      <c r="N4042" s="2">
        <v>13</v>
      </c>
      <c r="O4042" s="2">
        <v>571978.37</v>
      </c>
      <c r="P4042" s="2">
        <v>43998.34</v>
      </c>
    </row>
    <row r="4043" spans="1:16" outlineLevel="2" x14ac:dyDescent="0.2">
      <c r="A4043" s="5">
        <v>46211</v>
      </c>
      <c r="B4043" s="2">
        <v>160210</v>
      </c>
      <c r="C4043" s="2">
        <v>3</v>
      </c>
      <c r="D4043" s="2" t="s">
        <v>119</v>
      </c>
      <c r="E4043" s="2" t="s">
        <v>120</v>
      </c>
      <c r="F4043" s="2" t="s">
        <v>63</v>
      </c>
      <c r="G4043" s="2" t="s">
        <v>22</v>
      </c>
      <c r="H4043" s="2" t="s">
        <v>23</v>
      </c>
      <c r="I4043" s="2" t="s">
        <v>122</v>
      </c>
      <c r="J4043" s="2">
        <v>40</v>
      </c>
      <c r="K4043" s="2" t="s">
        <v>43</v>
      </c>
      <c r="L4043" s="2">
        <v>1779</v>
      </c>
      <c r="M4043" s="2" t="s">
        <v>502</v>
      </c>
      <c r="N4043" s="2">
        <v>209</v>
      </c>
      <c r="O4043" s="2">
        <v>8986549.7699999996</v>
      </c>
      <c r="P4043" s="2">
        <v>42997.85</v>
      </c>
    </row>
    <row r="4044" spans="1:16" outlineLevel="2" x14ac:dyDescent="0.2">
      <c r="A4044" s="5">
        <v>46188</v>
      </c>
      <c r="B4044" s="2">
        <v>160210</v>
      </c>
      <c r="C4044" s="2">
        <v>5</v>
      </c>
      <c r="D4044" s="2" t="s">
        <v>119</v>
      </c>
      <c r="E4044" s="2" t="s">
        <v>120</v>
      </c>
      <c r="F4044" s="2" t="s">
        <v>63</v>
      </c>
      <c r="G4044" s="2" t="s">
        <v>527</v>
      </c>
      <c r="H4044" s="2" t="s">
        <v>23</v>
      </c>
      <c r="I4044" s="2" t="s">
        <v>501</v>
      </c>
      <c r="J4044" s="2">
        <v>40</v>
      </c>
      <c r="K4044" s="2" t="s">
        <v>43</v>
      </c>
      <c r="L4044" s="2">
        <v>1779</v>
      </c>
      <c r="M4044" s="2" t="s">
        <v>502</v>
      </c>
      <c r="N4044" s="2">
        <v>188</v>
      </c>
      <c r="O4044" s="2">
        <v>8131485.3899999997</v>
      </c>
      <c r="P4044" s="2">
        <v>43252.58</v>
      </c>
    </row>
    <row r="4045" spans="1:16" outlineLevel="2" x14ac:dyDescent="0.2">
      <c r="A4045" s="5">
        <v>46188</v>
      </c>
      <c r="B4045" s="2">
        <v>160210</v>
      </c>
      <c r="C4045" s="2">
        <v>6</v>
      </c>
      <c r="D4045" s="2" t="s">
        <v>119</v>
      </c>
      <c r="E4045" s="2" t="s">
        <v>120</v>
      </c>
      <c r="F4045" s="2" t="s">
        <v>63</v>
      </c>
      <c r="G4045" s="2" t="s">
        <v>527</v>
      </c>
      <c r="H4045" s="2" t="s">
        <v>23</v>
      </c>
      <c r="I4045" s="2" t="s">
        <v>122</v>
      </c>
      <c r="J4045" s="2">
        <v>40</v>
      </c>
      <c r="K4045" s="2" t="s">
        <v>43</v>
      </c>
      <c r="L4045" s="2">
        <v>1779</v>
      </c>
      <c r="M4045" s="2" t="s">
        <v>502</v>
      </c>
      <c r="N4045" s="2">
        <v>208</v>
      </c>
      <c r="O4045" s="2">
        <v>8375284.8099999996</v>
      </c>
      <c r="P4045" s="2">
        <v>40265.79</v>
      </c>
    </row>
    <row r="4046" spans="1:16" outlineLevel="1" x14ac:dyDescent="0.2">
      <c r="A4046" s="5"/>
      <c r="D4046" s="3" t="s">
        <v>708</v>
      </c>
      <c r="N4046" s="2">
        <f>SUBTOTAL(9,N4041:N4045)</f>
        <v>692</v>
      </c>
      <c r="O4046" s="2">
        <f>SUBTOTAL(9,O4041:O4045)</f>
        <v>29312786.939999998</v>
      </c>
      <c r="P4046" s="2">
        <f>+O4046/N4046</f>
        <v>42359.518699421962</v>
      </c>
    </row>
    <row r="4047" spans="1:16" outlineLevel="2" x14ac:dyDescent="0.2">
      <c r="A4047" s="5">
        <v>46188</v>
      </c>
      <c r="B4047" s="2">
        <v>160211</v>
      </c>
      <c r="C4047" s="2">
        <v>1</v>
      </c>
      <c r="D4047" s="2" t="s">
        <v>197</v>
      </c>
      <c r="E4047" s="2" t="s">
        <v>533</v>
      </c>
      <c r="F4047" s="2" t="s">
        <v>40</v>
      </c>
      <c r="G4047" s="2" t="s">
        <v>22</v>
      </c>
      <c r="H4047" s="2" t="s">
        <v>23</v>
      </c>
      <c r="I4047" s="2" t="s">
        <v>23</v>
      </c>
      <c r="J4047" s="2">
        <v>1</v>
      </c>
      <c r="K4047" s="2" t="s">
        <v>24</v>
      </c>
      <c r="L4047" s="2">
        <v>2541</v>
      </c>
      <c r="M4047" s="2" t="s">
        <v>534</v>
      </c>
      <c r="N4047" s="2">
        <v>373</v>
      </c>
      <c r="O4047" s="2">
        <v>23711543.960000001</v>
      </c>
      <c r="P4047" s="2">
        <v>63569.82</v>
      </c>
    </row>
    <row r="4048" spans="1:16" outlineLevel="2" x14ac:dyDescent="0.2">
      <c r="A4048" s="5">
        <v>46190</v>
      </c>
      <c r="B4048" s="2">
        <v>160212</v>
      </c>
      <c r="C4048" s="2">
        <v>1</v>
      </c>
      <c r="D4048" s="2" t="s">
        <v>197</v>
      </c>
      <c r="E4048" s="2" t="s">
        <v>533</v>
      </c>
      <c r="F4048" s="2" t="s">
        <v>40</v>
      </c>
      <c r="G4048" s="2" t="s">
        <v>22</v>
      </c>
      <c r="H4048" s="2" t="s">
        <v>23</v>
      </c>
      <c r="I4048" s="2" t="s">
        <v>23</v>
      </c>
      <c r="J4048" s="2">
        <v>1</v>
      </c>
      <c r="K4048" s="2" t="s">
        <v>24</v>
      </c>
      <c r="L4048" s="2">
        <v>2541</v>
      </c>
      <c r="M4048" s="2" t="s">
        <v>534</v>
      </c>
      <c r="N4048" s="2">
        <v>211</v>
      </c>
      <c r="O4048" s="2">
        <v>13312735.550000001</v>
      </c>
      <c r="P4048" s="2">
        <v>63093.53</v>
      </c>
    </row>
    <row r="4049" spans="1:16" outlineLevel="2" x14ac:dyDescent="0.2">
      <c r="A4049" s="5">
        <v>46190</v>
      </c>
      <c r="B4049" s="2">
        <v>160212</v>
      </c>
      <c r="C4049" s="2">
        <v>3</v>
      </c>
      <c r="D4049" s="2" t="s">
        <v>197</v>
      </c>
      <c r="E4049" s="2" t="s">
        <v>584</v>
      </c>
      <c r="F4049" s="2" t="s">
        <v>40</v>
      </c>
      <c r="G4049" s="2" t="s">
        <v>22</v>
      </c>
      <c r="H4049" s="2" t="s">
        <v>23</v>
      </c>
      <c r="I4049" s="2" t="s">
        <v>23</v>
      </c>
      <c r="J4049" s="2">
        <v>1</v>
      </c>
      <c r="K4049" s="2" t="s">
        <v>24</v>
      </c>
      <c r="L4049" s="2">
        <v>2541</v>
      </c>
      <c r="M4049" s="2" t="s">
        <v>534</v>
      </c>
      <c r="N4049" s="2">
        <v>59</v>
      </c>
      <c r="O4049" s="2">
        <v>4818175.04</v>
      </c>
      <c r="P4049" s="2">
        <v>81663.98</v>
      </c>
    </row>
    <row r="4050" spans="1:16" outlineLevel="2" x14ac:dyDescent="0.2">
      <c r="A4050" s="5">
        <v>46204</v>
      </c>
      <c r="B4050" s="2">
        <v>160212</v>
      </c>
      <c r="C4050" s="2">
        <v>4</v>
      </c>
      <c r="D4050" s="2" t="s">
        <v>197</v>
      </c>
      <c r="E4050" s="2" t="s">
        <v>538</v>
      </c>
      <c r="F4050" s="2" t="s">
        <v>40</v>
      </c>
      <c r="G4050" s="2" t="s">
        <v>22</v>
      </c>
      <c r="H4050" s="2" t="s">
        <v>23</v>
      </c>
      <c r="I4050" s="2" t="s">
        <v>23</v>
      </c>
      <c r="J4050" s="2">
        <v>1</v>
      </c>
      <c r="K4050" s="2" t="s">
        <v>24</v>
      </c>
      <c r="L4050" s="2">
        <v>2541</v>
      </c>
      <c r="M4050" s="2" t="s">
        <v>534</v>
      </c>
      <c r="N4050" s="2">
        <v>6</v>
      </c>
      <c r="O4050" s="2">
        <v>415737.2</v>
      </c>
      <c r="P4050" s="2">
        <v>69289.53</v>
      </c>
    </row>
    <row r="4051" spans="1:16" outlineLevel="1" x14ac:dyDescent="0.2">
      <c r="A4051" s="5"/>
      <c r="D4051" s="3" t="s">
        <v>734</v>
      </c>
      <c r="N4051" s="2">
        <f>SUBTOTAL(9,N4047:N4050)</f>
        <v>649</v>
      </c>
      <c r="O4051" s="2">
        <f>SUBTOTAL(9,O4047:O4050)</f>
        <v>42258191.750000007</v>
      </c>
      <c r="P4051" s="2">
        <f>+O4051/N4051</f>
        <v>65112.776194144848</v>
      </c>
    </row>
    <row r="4052" spans="1:16" outlineLevel="2" x14ac:dyDescent="0.2">
      <c r="A4052" s="5">
        <v>46202</v>
      </c>
      <c r="B4052" s="2">
        <v>160214</v>
      </c>
      <c r="C4052" s="2">
        <v>1</v>
      </c>
      <c r="D4052" s="2" t="s">
        <v>33</v>
      </c>
      <c r="E4052" s="2" t="s">
        <v>34</v>
      </c>
      <c r="F4052" s="2" t="s">
        <v>23</v>
      </c>
      <c r="G4052" s="2" t="s">
        <v>22</v>
      </c>
      <c r="H4052" s="2" t="s">
        <v>23</v>
      </c>
      <c r="I4052" s="2" t="s">
        <v>180</v>
      </c>
      <c r="J4052" s="2">
        <v>1</v>
      </c>
      <c r="K4052" s="2" t="s">
        <v>24</v>
      </c>
      <c r="L4052" s="2">
        <v>2520</v>
      </c>
      <c r="M4052" s="2" t="s">
        <v>37</v>
      </c>
      <c r="N4052" s="2">
        <v>600</v>
      </c>
      <c r="O4052" s="2">
        <v>14478596.470000001</v>
      </c>
      <c r="P4052" s="2">
        <v>24130.99</v>
      </c>
    </row>
    <row r="4053" spans="1:16" outlineLevel="2" x14ac:dyDescent="0.2">
      <c r="A4053" s="5">
        <v>46192</v>
      </c>
      <c r="B4053" s="2">
        <v>160214</v>
      </c>
      <c r="C4053" s="2">
        <v>2</v>
      </c>
      <c r="D4053" s="2" t="s">
        <v>33</v>
      </c>
      <c r="E4053" s="2" t="s">
        <v>34</v>
      </c>
      <c r="F4053" s="2" t="s">
        <v>23</v>
      </c>
      <c r="G4053" s="2" t="s">
        <v>22</v>
      </c>
      <c r="H4053" s="2" t="s">
        <v>23</v>
      </c>
      <c r="I4053" s="2" t="s">
        <v>23</v>
      </c>
      <c r="J4053" s="2">
        <v>1</v>
      </c>
      <c r="K4053" s="2" t="s">
        <v>24</v>
      </c>
      <c r="L4053" s="2">
        <v>2520</v>
      </c>
      <c r="M4053" s="2" t="s">
        <v>37</v>
      </c>
      <c r="N4053" s="2">
        <v>1353</v>
      </c>
      <c r="O4053" s="2">
        <v>29936659.129999999</v>
      </c>
      <c r="P4053" s="2">
        <v>22126.13</v>
      </c>
    </row>
    <row r="4054" spans="1:16" outlineLevel="1" x14ac:dyDescent="0.2">
      <c r="A4054" s="5"/>
      <c r="D4054" s="3" t="s">
        <v>705</v>
      </c>
      <c r="N4054" s="2">
        <f>SUBTOTAL(9,N4052:N4053)</f>
        <v>1953</v>
      </c>
      <c r="O4054" s="2">
        <f>SUBTOTAL(9,O4052:O4053)</f>
        <v>44415255.600000001</v>
      </c>
      <c r="P4054" s="2">
        <f>+O4054/N4054</f>
        <v>22742.066359447006</v>
      </c>
    </row>
    <row r="4055" spans="1:16" outlineLevel="2" x14ac:dyDescent="0.2">
      <c r="A4055" s="5">
        <v>46188</v>
      </c>
      <c r="B4055" s="2">
        <v>160215</v>
      </c>
      <c r="C4055" s="2">
        <v>2</v>
      </c>
      <c r="D4055" s="2" t="s">
        <v>226</v>
      </c>
      <c r="E4055" s="2" t="s">
        <v>585</v>
      </c>
      <c r="F4055" s="2" t="s">
        <v>289</v>
      </c>
      <c r="G4055" s="2" t="s">
        <v>22</v>
      </c>
      <c r="H4055" s="2" t="s">
        <v>23</v>
      </c>
      <c r="I4055" s="2" t="s">
        <v>23</v>
      </c>
      <c r="J4055" s="2">
        <v>2</v>
      </c>
      <c r="K4055" s="2" t="s">
        <v>48</v>
      </c>
      <c r="L4055" s="2">
        <v>106</v>
      </c>
      <c r="M4055" s="2" t="s">
        <v>486</v>
      </c>
      <c r="N4055" s="2">
        <v>8</v>
      </c>
      <c r="O4055" s="2">
        <v>188278.25</v>
      </c>
      <c r="P4055" s="2">
        <v>23534.78</v>
      </c>
    </row>
    <row r="4056" spans="1:16" outlineLevel="1" x14ac:dyDescent="0.2">
      <c r="A4056" s="5"/>
      <c r="D4056" s="3" t="s">
        <v>736</v>
      </c>
      <c r="N4056" s="2">
        <f>SUBTOTAL(9,N4055:N4055)</f>
        <v>8</v>
      </c>
      <c r="O4056" s="2">
        <f>SUBTOTAL(9,O4055:O4055)</f>
        <v>188278.25</v>
      </c>
      <c r="P4056" s="2">
        <f>+O4056/N4056</f>
        <v>23534.78125</v>
      </c>
    </row>
    <row r="4057" spans="1:16" outlineLevel="2" x14ac:dyDescent="0.2">
      <c r="A4057" s="5">
        <v>46188</v>
      </c>
      <c r="B4057" s="2">
        <v>160216</v>
      </c>
      <c r="C4057" s="2">
        <v>10</v>
      </c>
      <c r="D4057" s="2" t="s">
        <v>45</v>
      </c>
      <c r="E4057" s="2" t="s">
        <v>590</v>
      </c>
      <c r="F4057" s="2" t="s">
        <v>289</v>
      </c>
      <c r="G4057" s="2" t="s">
        <v>22</v>
      </c>
      <c r="H4057" s="2" t="s">
        <v>23</v>
      </c>
      <c r="I4057" s="2" t="s">
        <v>23</v>
      </c>
      <c r="J4057" s="2">
        <v>2</v>
      </c>
      <c r="K4057" s="2" t="s">
        <v>48</v>
      </c>
      <c r="L4057" s="2">
        <v>801</v>
      </c>
      <c r="M4057" s="2" t="s">
        <v>56</v>
      </c>
      <c r="N4057" s="2">
        <v>32</v>
      </c>
      <c r="O4057" s="2">
        <v>1075321.6000000001</v>
      </c>
      <c r="P4057" s="2">
        <v>33603.800000000003</v>
      </c>
    </row>
    <row r="4058" spans="1:16" outlineLevel="2" x14ac:dyDescent="0.2">
      <c r="A4058" s="5">
        <v>46188</v>
      </c>
      <c r="B4058" s="2">
        <v>160216</v>
      </c>
      <c r="C4058" s="2">
        <v>11</v>
      </c>
      <c r="D4058" s="2" t="s">
        <v>45</v>
      </c>
      <c r="E4058" s="2" t="s">
        <v>590</v>
      </c>
      <c r="F4058" s="2" t="s">
        <v>289</v>
      </c>
      <c r="G4058" s="2" t="s">
        <v>22</v>
      </c>
      <c r="H4058" s="2" t="s">
        <v>23</v>
      </c>
      <c r="I4058" s="2" t="s">
        <v>23</v>
      </c>
      <c r="J4058" s="2">
        <v>2</v>
      </c>
      <c r="K4058" s="2" t="s">
        <v>48</v>
      </c>
      <c r="L4058" s="2">
        <v>801</v>
      </c>
      <c r="M4058" s="2" t="s">
        <v>56</v>
      </c>
      <c r="N4058" s="2">
        <v>61</v>
      </c>
      <c r="O4058" s="2">
        <v>1170328.8500000001</v>
      </c>
      <c r="P4058" s="2">
        <v>19185.72</v>
      </c>
    </row>
    <row r="4059" spans="1:16" outlineLevel="2" x14ac:dyDescent="0.2">
      <c r="A4059" s="5">
        <v>46188</v>
      </c>
      <c r="B4059" s="2">
        <v>160216</v>
      </c>
      <c r="C4059" s="2">
        <v>14</v>
      </c>
      <c r="D4059" s="2" t="s">
        <v>45</v>
      </c>
      <c r="E4059" s="2" t="s">
        <v>558</v>
      </c>
      <c r="F4059" s="2" t="s">
        <v>289</v>
      </c>
      <c r="G4059" s="2" t="s">
        <v>22</v>
      </c>
      <c r="H4059" s="2" t="s">
        <v>23</v>
      </c>
      <c r="I4059" s="2" t="s">
        <v>23</v>
      </c>
      <c r="J4059" s="2">
        <v>2</v>
      </c>
      <c r="K4059" s="2" t="s">
        <v>48</v>
      </c>
      <c r="L4059" s="2">
        <v>801</v>
      </c>
      <c r="M4059" s="2" t="s">
        <v>56</v>
      </c>
      <c r="N4059" s="2">
        <v>30</v>
      </c>
      <c r="O4059" s="2">
        <v>635958.64</v>
      </c>
      <c r="P4059" s="2">
        <v>21198.62</v>
      </c>
    </row>
    <row r="4060" spans="1:16" outlineLevel="2" x14ac:dyDescent="0.2">
      <c r="A4060" s="5">
        <v>46188</v>
      </c>
      <c r="B4060" s="2">
        <v>160216</v>
      </c>
      <c r="C4060" s="2">
        <v>15</v>
      </c>
      <c r="D4060" s="2" t="s">
        <v>45</v>
      </c>
      <c r="E4060" s="2" t="s">
        <v>559</v>
      </c>
      <c r="F4060" s="2" t="s">
        <v>289</v>
      </c>
      <c r="G4060" s="2" t="s">
        <v>22</v>
      </c>
      <c r="H4060" s="2" t="s">
        <v>23</v>
      </c>
      <c r="I4060" s="2" t="s">
        <v>23</v>
      </c>
      <c r="J4060" s="2">
        <v>2</v>
      </c>
      <c r="K4060" s="2" t="s">
        <v>48</v>
      </c>
      <c r="L4060" s="2">
        <v>801</v>
      </c>
      <c r="M4060" s="2" t="s">
        <v>56</v>
      </c>
      <c r="N4060" s="2">
        <v>12</v>
      </c>
      <c r="O4060" s="2">
        <v>205449.37</v>
      </c>
      <c r="P4060" s="2">
        <v>17120.78</v>
      </c>
    </row>
    <row r="4061" spans="1:16" outlineLevel="1" x14ac:dyDescent="0.2">
      <c r="A4061" s="5"/>
      <c r="D4061" s="3" t="s">
        <v>733</v>
      </c>
      <c r="N4061" s="2">
        <f>SUBTOTAL(9,N4057:N4060)</f>
        <v>135</v>
      </c>
      <c r="O4061" s="2">
        <f>SUBTOTAL(9,O4057:O4060)</f>
        <v>3087058.4600000004</v>
      </c>
      <c r="P4061" s="2">
        <f>+O4061/N4061</f>
        <v>22867.099703703709</v>
      </c>
    </row>
    <row r="4062" spans="1:16" outlineLevel="2" x14ac:dyDescent="0.2">
      <c r="A4062" s="5">
        <v>46188</v>
      </c>
      <c r="B4062" s="2">
        <v>160216</v>
      </c>
      <c r="C4062" s="2">
        <v>17</v>
      </c>
      <c r="D4062" s="2" t="s">
        <v>226</v>
      </c>
      <c r="E4062" s="2" t="s">
        <v>586</v>
      </c>
      <c r="F4062" s="2" t="s">
        <v>289</v>
      </c>
      <c r="G4062" s="2" t="s">
        <v>22</v>
      </c>
      <c r="H4062" s="2" t="s">
        <v>23</v>
      </c>
      <c r="I4062" s="2" t="s">
        <v>23</v>
      </c>
      <c r="J4062" s="2">
        <v>2</v>
      </c>
      <c r="K4062" s="2" t="s">
        <v>48</v>
      </c>
      <c r="L4062" s="2">
        <v>801</v>
      </c>
      <c r="M4062" s="2" t="s">
        <v>56</v>
      </c>
      <c r="N4062" s="2">
        <v>16</v>
      </c>
      <c r="O4062" s="2">
        <v>320003</v>
      </c>
      <c r="P4062" s="2">
        <v>20000.189999999999</v>
      </c>
    </row>
    <row r="4063" spans="1:16" outlineLevel="2" x14ac:dyDescent="0.2">
      <c r="A4063" s="5">
        <v>46188</v>
      </c>
      <c r="B4063" s="2">
        <v>160216</v>
      </c>
      <c r="C4063" s="2">
        <v>20</v>
      </c>
      <c r="D4063" s="2" t="s">
        <v>226</v>
      </c>
      <c r="E4063" s="2" t="s">
        <v>151</v>
      </c>
      <c r="F4063" s="2" t="s">
        <v>289</v>
      </c>
      <c r="G4063" s="2" t="s">
        <v>22</v>
      </c>
      <c r="H4063" s="2" t="s">
        <v>23</v>
      </c>
      <c r="I4063" s="2" t="s">
        <v>23</v>
      </c>
      <c r="J4063" s="2">
        <v>2</v>
      </c>
      <c r="K4063" s="2" t="s">
        <v>48</v>
      </c>
      <c r="L4063" s="2">
        <v>801</v>
      </c>
      <c r="M4063" s="2" t="s">
        <v>56</v>
      </c>
      <c r="N4063" s="2">
        <v>24</v>
      </c>
      <c r="O4063" s="2">
        <v>442364.04</v>
      </c>
      <c r="P4063" s="2">
        <v>18431.84</v>
      </c>
    </row>
    <row r="4064" spans="1:16" outlineLevel="2" x14ac:dyDescent="0.2">
      <c r="A4064" s="5">
        <v>46188</v>
      </c>
      <c r="B4064" s="2">
        <v>160216</v>
      </c>
      <c r="C4064" s="2">
        <v>23</v>
      </c>
      <c r="D4064" s="2" t="s">
        <v>226</v>
      </c>
      <c r="E4064" s="2" t="s">
        <v>581</v>
      </c>
      <c r="F4064" s="2" t="s">
        <v>289</v>
      </c>
      <c r="G4064" s="2" t="s">
        <v>22</v>
      </c>
      <c r="H4064" s="2" t="s">
        <v>23</v>
      </c>
      <c r="I4064" s="2" t="s">
        <v>23</v>
      </c>
      <c r="J4064" s="2">
        <v>2</v>
      </c>
      <c r="K4064" s="2" t="s">
        <v>48</v>
      </c>
      <c r="L4064" s="2">
        <v>801</v>
      </c>
      <c r="M4064" s="2" t="s">
        <v>56</v>
      </c>
      <c r="N4064" s="2">
        <v>84</v>
      </c>
      <c r="O4064" s="2">
        <v>1925436.16</v>
      </c>
      <c r="P4064" s="2">
        <v>22921.86</v>
      </c>
    </row>
    <row r="4065" spans="1:16" outlineLevel="2" x14ac:dyDescent="0.2">
      <c r="A4065" s="5">
        <v>46188</v>
      </c>
      <c r="B4065" s="2">
        <v>160216</v>
      </c>
      <c r="C4065" s="2">
        <v>24</v>
      </c>
      <c r="D4065" s="2" t="s">
        <v>226</v>
      </c>
      <c r="E4065" s="2" t="s">
        <v>568</v>
      </c>
      <c r="F4065" s="2" t="s">
        <v>289</v>
      </c>
      <c r="G4065" s="2" t="s">
        <v>22</v>
      </c>
      <c r="H4065" s="2" t="s">
        <v>23</v>
      </c>
      <c r="I4065" s="2" t="s">
        <v>23</v>
      </c>
      <c r="J4065" s="2">
        <v>2</v>
      </c>
      <c r="K4065" s="2" t="s">
        <v>48</v>
      </c>
      <c r="L4065" s="2">
        <v>801</v>
      </c>
      <c r="M4065" s="2" t="s">
        <v>56</v>
      </c>
      <c r="N4065" s="2">
        <v>21</v>
      </c>
      <c r="O4065" s="2">
        <v>466189.74</v>
      </c>
      <c r="P4065" s="2">
        <v>22199.51</v>
      </c>
    </row>
    <row r="4066" spans="1:16" outlineLevel="1" x14ac:dyDescent="0.2">
      <c r="A4066" s="5"/>
      <c r="D4066" s="3" t="s">
        <v>736</v>
      </c>
      <c r="N4066" s="2">
        <f>SUBTOTAL(9,N4062:N4065)</f>
        <v>145</v>
      </c>
      <c r="O4066" s="2">
        <f>SUBTOTAL(9,O4062:O4065)</f>
        <v>3153992.9400000004</v>
      </c>
      <c r="P4066" s="2">
        <f>+O4066/N4066</f>
        <v>21751.675448275866</v>
      </c>
    </row>
    <row r="4067" spans="1:16" outlineLevel="2" x14ac:dyDescent="0.2">
      <c r="A4067" s="5">
        <v>46190</v>
      </c>
      <c r="B4067" s="2">
        <v>160216</v>
      </c>
      <c r="C4067" s="2">
        <v>306</v>
      </c>
      <c r="D4067" s="2" t="s">
        <v>54</v>
      </c>
      <c r="E4067" s="2" t="s">
        <v>30</v>
      </c>
      <c r="F4067" s="2" t="s">
        <v>289</v>
      </c>
      <c r="G4067" s="2" t="s">
        <v>22</v>
      </c>
      <c r="H4067" s="2" t="s">
        <v>23</v>
      </c>
      <c r="I4067" s="2" t="s">
        <v>23</v>
      </c>
      <c r="J4067" s="2">
        <v>2</v>
      </c>
      <c r="K4067" s="2" t="s">
        <v>48</v>
      </c>
      <c r="L4067" s="2">
        <v>801</v>
      </c>
      <c r="M4067" s="2" t="s">
        <v>56</v>
      </c>
      <c r="N4067" s="2">
        <v>10</v>
      </c>
      <c r="O4067" s="2">
        <v>74485.17</v>
      </c>
      <c r="P4067" s="2">
        <v>7448.52</v>
      </c>
    </row>
    <row r="4068" spans="1:16" outlineLevel="2" x14ac:dyDescent="0.2">
      <c r="A4068" s="5">
        <v>46190</v>
      </c>
      <c r="B4068" s="2">
        <v>160216</v>
      </c>
      <c r="C4068" s="2">
        <v>315</v>
      </c>
      <c r="D4068" s="2" t="s">
        <v>54</v>
      </c>
      <c r="E4068" s="2" t="s">
        <v>30</v>
      </c>
      <c r="F4068" s="2" t="s">
        <v>289</v>
      </c>
      <c r="G4068" s="2" t="s">
        <v>22</v>
      </c>
      <c r="H4068" s="2" t="s">
        <v>23</v>
      </c>
      <c r="I4068" s="2" t="s">
        <v>23</v>
      </c>
      <c r="J4068" s="2">
        <v>2</v>
      </c>
      <c r="K4068" s="2" t="s">
        <v>48</v>
      </c>
      <c r="L4068" s="2">
        <v>801</v>
      </c>
      <c r="M4068" s="2" t="s">
        <v>56</v>
      </c>
      <c r="N4068" s="2">
        <v>4</v>
      </c>
      <c r="O4068" s="2">
        <v>28354.2</v>
      </c>
      <c r="P4068" s="2">
        <v>7088.55</v>
      </c>
    </row>
    <row r="4069" spans="1:16" outlineLevel="1" x14ac:dyDescent="0.2">
      <c r="A4069" s="5"/>
      <c r="D4069" s="3" t="s">
        <v>719</v>
      </c>
      <c r="N4069" s="2">
        <f>SUBTOTAL(9,N4067:N4068)</f>
        <v>14</v>
      </c>
      <c r="O4069" s="2">
        <f>SUBTOTAL(9,O4067:O4068)</f>
        <v>102839.37</v>
      </c>
      <c r="P4069" s="2">
        <f>+O4069/N4069</f>
        <v>7345.6692857142853</v>
      </c>
    </row>
    <row r="4070" spans="1:16" outlineLevel="2" x14ac:dyDescent="0.2">
      <c r="A4070" s="5">
        <v>46199</v>
      </c>
      <c r="B4070" s="2">
        <v>160218</v>
      </c>
      <c r="C4070" s="2">
        <v>1</v>
      </c>
      <c r="D4070" s="2" t="s">
        <v>197</v>
      </c>
      <c r="E4070" s="2" t="s">
        <v>596</v>
      </c>
      <c r="F4070" s="2" t="s">
        <v>23</v>
      </c>
      <c r="G4070" s="2" t="s">
        <v>22</v>
      </c>
      <c r="H4070" s="2" t="s">
        <v>23</v>
      </c>
      <c r="I4070" s="2" t="s">
        <v>23</v>
      </c>
      <c r="J4070" s="2">
        <v>1</v>
      </c>
      <c r="K4070" s="2" t="s">
        <v>24</v>
      </c>
      <c r="L4070" s="2">
        <v>3003</v>
      </c>
      <c r="M4070" s="2" t="s">
        <v>414</v>
      </c>
      <c r="N4070" s="2">
        <v>65</v>
      </c>
      <c r="O4070" s="2">
        <v>1187553.6599999999</v>
      </c>
      <c r="P4070" s="2">
        <v>18270.060000000001</v>
      </c>
    </row>
    <row r="4071" spans="1:16" outlineLevel="1" x14ac:dyDescent="0.2">
      <c r="A4071" s="5"/>
      <c r="D4071" s="3" t="s">
        <v>734</v>
      </c>
      <c r="N4071" s="2">
        <f>SUBTOTAL(9,N4070:N4070)</f>
        <v>65</v>
      </c>
      <c r="O4071" s="2">
        <f>SUBTOTAL(9,O4070:O4070)</f>
        <v>1187553.6599999999</v>
      </c>
      <c r="P4071" s="2">
        <f>+O4071/N4071</f>
        <v>18270.056307692306</v>
      </c>
    </row>
    <row r="4072" spans="1:16" outlineLevel="2" x14ac:dyDescent="0.2">
      <c r="A4072" s="5">
        <v>46195</v>
      </c>
      <c r="B4072" s="2">
        <v>160227</v>
      </c>
      <c r="C4072" s="2">
        <v>1</v>
      </c>
      <c r="D4072" s="2" t="s">
        <v>38</v>
      </c>
      <c r="E4072" s="2" t="s">
        <v>39</v>
      </c>
      <c r="F4072" s="2" t="s">
        <v>21</v>
      </c>
      <c r="G4072" s="2" t="s">
        <v>22</v>
      </c>
      <c r="H4072" s="2" t="s">
        <v>23</v>
      </c>
      <c r="I4072" s="2" t="s">
        <v>135</v>
      </c>
      <c r="J4072" s="2">
        <v>1</v>
      </c>
      <c r="K4072" s="2" t="s">
        <v>24</v>
      </c>
      <c r="L4072" s="2">
        <v>25067</v>
      </c>
      <c r="M4072" s="2" t="s">
        <v>597</v>
      </c>
      <c r="N4072" s="2">
        <v>449</v>
      </c>
      <c r="O4072" s="2">
        <v>15685423.810000001</v>
      </c>
      <c r="P4072" s="2">
        <v>34934.129999999997</v>
      </c>
    </row>
    <row r="4073" spans="1:16" outlineLevel="2" x14ac:dyDescent="0.2">
      <c r="A4073" s="5">
        <v>46192</v>
      </c>
      <c r="B4073" s="2">
        <v>160227</v>
      </c>
      <c r="C4073" s="2">
        <v>2</v>
      </c>
      <c r="D4073" s="2" t="s">
        <v>38</v>
      </c>
      <c r="E4073" s="2" t="s">
        <v>39</v>
      </c>
      <c r="F4073" s="2" t="s">
        <v>21</v>
      </c>
      <c r="G4073" s="2" t="s">
        <v>22</v>
      </c>
      <c r="H4073" s="2" t="s">
        <v>23</v>
      </c>
      <c r="I4073" s="2" t="s">
        <v>23</v>
      </c>
      <c r="J4073" s="2">
        <v>1</v>
      </c>
      <c r="K4073" s="2" t="s">
        <v>24</v>
      </c>
      <c r="L4073" s="2">
        <v>25067</v>
      </c>
      <c r="M4073" s="2" t="s">
        <v>597</v>
      </c>
      <c r="N4073" s="2">
        <v>130</v>
      </c>
      <c r="O4073" s="2">
        <v>3063161.11</v>
      </c>
      <c r="P4073" s="2">
        <v>23562.78</v>
      </c>
    </row>
    <row r="4074" spans="1:16" outlineLevel="1" x14ac:dyDescent="0.2">
      <c r="A4074" s="5"/>
      <c r="D4074" s="3" t="s">
        <v>721</v>
      </c>
      <c r="N4074" s="2">
        <f>SUBTOTAL(9,N4072:N4073)</f>
        <v>579</v>
      </c>
      <c r="O4074" s="2">
        <f>SUBTOTAL(9,O4072:O4073)</f>
        <v>18748584.920000002</v>
      </c>
      <c r="P4074" s="2">
        <f>+O4074/N4074</f>
        <v>32380.975682210712</v>
      </c>
    </row>
    <row r="4075" spans="1:16" outlineLevel="2" x14ac:dyDescent="0.2">
      <c r="A4075" s="5">
        <v>46199</v>
      </c>
      <c r="B4075" s="2">
        <v>160228</v>
      </c>
      <c r="C4075" s="2">
        <v>301</v>
      </c>
      <c r="D4075" s="2" t="s">
        <v>26</v>
      </c>
      <c r="E4075" s="2" t="s">
        <v>51</v>
      </c>
      <c r="F4075" s="2" t="s">
        <v>23</v>
      </c>
      <c r="G4075" s="2" t="s">
        <v>22</v>
      </c>
      <c r="H4075" s="2" t="s">
        <v>23</v>
      </c>
      <c r="I4075" s="2" t="s">
        <v>23</v>
      </c>
      <c r="J4075" s="2">
        <v>5</v>
      </c>
      <c r="K4075" s="2" t="s">
        <v>27</v>
      </c>
      <c r="L4075" s="2">
        <v>3048</v>
      </c>
      <c r="M4075" s="2" t="s">
        <v>53</v>
      </c>
      <c r="N4075" s="2">
        <v>6</v>
      </c>
      <c r="O4075" s="2">
        <v>23994.82</v>
      </c>
      <c r="P4075" s="2">
        <v>3999.14</v>
      </c>
    </row>
    <row r="4076" spans="1:16" outlineLevel="1" x14ac:dyDescent="0.2">
      <c r="A4076" s="5"/>
      <c r="D4076" s="3" t="s">
        <v>711</v>
      </c>
      <c r="N4076" s="2">
        <f>SUBTOTAL(9,N4075:N4075)</f>
        <v>6</v>
      </c>
      <c r="O4076" s="2">
        <f>SUBTOTAL(9,O4075:O4075)</f>
        <v>23994.82</v>
      </c>
      <c r="P4076" s="2">
        <f>+O4076/N4076</f>
        <v>3999.1366666666668</v>
      </c>
    </row>
    <row r="4077" spans="1:16" outlineLevel="2" x14ac:dyDescent="0.2">
      <c r="A4077" s="5">
        <v>46190</v>
      </c>
      <c r="B4077" s="2">
        <v>160232</v>
      </c>
      <c r="C4077" s="2">
        <v>2</v>
      </c>
      <c r="D4077" s="2" t="s">
        <v>45</v>
      </c>
      <c r="E4077" s="2" t="s">
        <v>581</v>
      </c>
      <c r="F4077" s="2" t="s">
        <v>289</v>
      </c>
      <c r="G4077" s="2" t="s">
        <v>22</v>
      </c>
      <c r="H4077" s="2" t="s">
        <v>23</v>
      </c>
      <c r="I4077" s="2" t="s">
        <v>23</v>
      </c>
      <c r="J4077" s="2">
        <v>2</v>
      </c>
      <c r="K4077" s="2" t="s">
        <v>48</v>
      </c>
      <c r="L4077" s="2">
        <v>801</v>
      </c>
      <c r="M4077" s="2" t="s">
        <v>56</v>
      </c>
      <c r="N4077" s="2">
        <v>2</v>
      </c>
      <c r="O4077" s="2">
        <v>42354.02</v>
      </c>
      <c r="P4077" s="2">
        <v>21177.01</v>
      </c>
    </row>
    <row r="4078" spans="1:16" outlineLevel="2" x14ac:dyDescent="0.2">
      <c r="A4078" s="5">
        <v>46190</v>
      </c>
      <c r="B4078" s="2">
        <v>160232</v>
      </c>
      <c r="C4078" s="2">
        <v>4</v>
      </c>
      <c r="D4078" s="2" t="s">
        <v>45</v>
      </c>
      <c r="E4078" s="2" t="s">
        <v>568</v>
      </c>
      <c r="F4078" s="2" t="s">
        <v>289</v>
      </c>
      <c r="G4078" s="2" t="s">
        <v>22</v>
      </c>
      <c r="H4078" s="2" t="s">
        <v>23</v>
      </c>
      <c r="I4078" s="2" t="s">
        <v>23</v>
      </c>
      <c r="J4078" s="2">
        <v>2</v>
      </c>
      <c r="K4078" s="2" t="s">
        <v>48</v>
      </c>
      <c r="L4078" s="2">
        <v>801</v>
      </c>
      <c r="M4078" s="2" t="s">
        <v>56</v>
      </c>
      <c r="N4078" s="2">
        <v>18</v>
      </c>
      <c r="O4078" s="2">
        <v>313963.92</v>
      </c>
      <c r="P4078" s="2">
        <v>17442.439999999999</v>
      </c>
    </row>
    <row r="4079" spans="1:16" outlineLevel="2" x14ac:dyDescent="0.2">
      <c r="A4079" s="5">
        <v>46190</v>
      </c>
      <c r="B4079" s="2">
        <v>160232</v>
      </c>
      <c r="C4079" s="2">
        <v>5</v>
      </c>
      <c r="D4079" s="2" t="s">
        <v>45</v>
      </c>
      <c r="E4079" s="2" t="s">
        <v>46</v>
      </c>
      <c r="F4079" s="2" t="s">
        <v>289</v>
      </c>
      <c r="G4079" s="2" t="s">
        <v>22</v>
      </c>
      <c r="H4079" s="2" t="s">
        <v>23</v>
      </c>
      <c r="I4079" s="2" t="s">
        <v>23</v>
      </c>
      <c r="J4079" s="2">
        <v>2</v>
      </c>
      <c r="K4079" s="2" t="s">
        <v>48</v>
      </c>
      <c r="L4079" s="2">
        <v>801</v>
      </c>
      <c r="M4079" s="2" t="s">
        <v>56</v>
      </c>
      <c r="N4079" s="2">
        <v>1</v>
      </c>
      <c r="O4079" s="2">
        <v>14633.02</v>
      </c>
      <c r="P4079" s="2">
        <v>14633.02</v>
      </c>
    </row>
    <row r="4080" spans="1:16" outlineLevel="2" x14ac:dyDescent="0.2">
      <c r="A4080" s="5">
        <v>46190</v>
      </c>
      <c r="B4080" s="2">
        <v>160232</v>
      </c>
      <c r="C4080" s="2">
        <v>6</v>
      </c>
      <c r="D4080" s="2" t="s">
        <v>45</v>
      </c>
      <c r="E4080" s="2" t="s">
        <v>598</v>
      </c>
      <c r="F4080" s="2" t="s">
        <v>289</v>
      </c>
      <c r="G4080" s="2" t="s">
        <v>22</v>
      </c>
      <c r="H4080" s="2" t="s">
        <v>23</v>
      </c>
      <c r="I4080" s="2" t="s">
        <v>23</v>
      </c>
      <c r="J4080" s="2">
        <v>2</v>
      </c>
      <c r="K4080" s="2" t="s">
        <v>48</v>
      </c>
      <c r="L4080" s="2">
        <v>801</v>
      </c>
      <c r="M4080" s="2" t="s">
        <v>56</v>
      </c>
      <c r="N4080" s="2">
        <v>24</v>
      </c>
      <c r="O4080" s="2">
        <v>388977.21</v>
      </c>
      <c r="P4080" s="2">
        <v>16207.38</v>
      </c>
    </row>
    <row r="4081" spans="1:16" outlineLevel="2" x14ac:dyDescent="0.2">
      <c r="A4081" s="5">
        <v>46190</v>
      </c>
      <c r="B4081" s="2">
        <v>160232</v>
      </c>
      <c r="C4081" s="2">
        <v>9</v>
      </c>
      <c r="D4081" s="2" t="s">
        <v>45</v>
      </c>
      <c r="E4081" s="2" t="s">
        <v>558</v>
      </c>
      <c r="F4081" s="2" t="s">
        <v>289</v>
      </c>
      <c r="G4081" s="2" t="s">
        <v>22</v>
      </c>
      <c r="H4081" s="2" t="s">
        <v>23</v>
      </c>
      <c r="I4081" s="2" t="s">
        <v>23</v>
      </c>
      <c r="J4081" s="2">
        <v>2</v>
      </c>
      <c r="K4081" s="2" t="s">
        <v>48</v>
      </c>
      <c r="L4081" s="2">
        <v>801</v>
      </c>
      <c r="M4081" s="2" t="s">
        <v>56</v>
      </c>
      <c r="N4081" s="2">
        <v>32</v>
      </c>
      <c r="O4081" s="2">
        <v>684930.7</v>
      </c>
      <c r="P4081" s="2">
        <v>21404.080000000002</v>
      </c>
    </row>
    <row r="4082" spans="1:16" outlineLevel="1" x14ac:dyDescent="0.2">
      <c r="A4082" s="5"/>
      <c r="D4082" s="3" t="s">
        <v>733</v>
      </c>
      <c r="N4082" s="2">
        <f>SUBTOTAL(9,N4077:N4081)</f>
        <v>77</v>
      </c>
      <c r="O4082" s="2">
        <f>SUBTOTAL(9,O4077:O4081)</f>
        <v>1444858.87</v>
      </c>
      <c r="P4082" s="2">
        <f>+O4082/N4082</f>
        <v>18764.400909090909</v>
      </c>
    </row>
    <row r="4083" spans="1:16" outlineLevel="2" x14ac:dyDescent="0.2">
      <c r="A4083" s="5">
        <v>46190</v>
      </c>
      <c r="B4083" s="2">
        <v>160232</v>
      </c>
      <c r="C4083" s="2">
        <v>13</v>
      </c>
      <c r="D4083" s="2" t="s">
        <v>226</v>
      </c>
      <c r="E4083" s="2" t="s">
        <v>581</v>
      </c>
      <c r="F4083" s="2" t="s">
        <v>289</v>
      </c>
      <c r="G4083" s="2" t="s">
        <v>22</v>
      </c>
      <c r="H4083" s="2" t="s">
        <v>23</v>
      </c>
      <c r="I4083" s="2" t="s">
        <v>23</v>
      </c>
      <c r="J4083" s="2">
        <v>2</v>
      </c>
      <c r="K4083" s="2" t="s">
        <v>48</v>
      </c>
      <c r="L4083" s="2">
        <v>801</v>
      </c>
      <c r="M4083" s="2" t="s">
        <v>56</v>
      </c>
      <c r="N4083" s="2">
        <v>4</v>
      </c>
      <c r="O4083" s="2">
        <v>98669.97</v>
      </c>
      <c r="P4083" s="2">
        <v>24667.49</v>
      </c>
    </row>
    <row r="4084" spans="1:16" outlineLevel="2" x14ac:dyDescent="0.2">
      <c r="A4084" s="5">
        <v>46190</v>
      </c>
      <c r="B4084" s="2">
        <v>160232</v>
      </c>
      <c r="C4084" s="2">
        <v>14</v>
      </c>
      <c r="D4084" s="2" t="s">
        <v>226</v>
      </c>
      <c r="E4084" s="2" t="s">
        <v>568</v>
      </c>
      <c r="F4084" s="2" t="s">
        <v>289</v>
      </c>
      <c r="G4084" s="2" t="s">
        <v>22</v>
      </c>
      <c r="H4084" s="2" t="s">
        <v>23</v>
      </c>
      <c r="I4084" s="2" t="s">
        <v>23</v>
      </c>
      <c r="J4084" s="2">
        <v>2</v>
      </c>
      <c r="K4084" s="2" t="s">
        <v>48</v>
      </c>
      <c r="L4084" s="2">
        <v>801</v>
      </c>
      <c r="M4084" s="2" t="s">
        <v>56</v>
      </c>
      <c r="N4084" s="2">
        <v>16</v>
      </c>
      <c r="O4084" s="2">
        <v>362943.04</v>
      </c>
      <c r="P4084" s="2">
        <v>22683.94</v>
      </c>
    </row>
    <row r="4085" spans="1:16" outlineLevel="2" x14ac:dyDescent="0.2">
      <c r="A4085" s="5">
        <v>46190</v>
      </c>
      <c r="B4085" s="2">
        <v>160232</v>
      </c>
      <c r="C4085" s="2">
        <v>16</v>
      </c>
      <c r="D4085" s="2" t="s">
        <v>226</v>
      </c>
      <c r="E4085" s="2" t="s">
        <v>586</v>
      </c>
      <c r="F4085" s="2" t="s">
        <v>289</v>
      </c>
      <c r="G4085" s="2" t="s">
        <v>22</v>
      </c>
      <c r="H4085" s="2" t="s">
        <v>23</v>
      </c>
      <c r="I4085" s="2" t="s">
        <v>23</v>
      </c>
      <c r="J4085" s="2">
        <v>2</v>
      </c>
      <c r="K4085" s="2" t="s">
        <v>48</v>
      </c>
      <c r="L4085" s="2">
        <v>801</v>
      </c>
      <c r="M4085" s="2" t="s">
        <v>56</v>
      </c>
      <c r="N4085" s="2">
        <v>24</v>
      </c>
      <c r="O4085" s="2">
        <v>443672.37</v>
      </c>
      <c r="P4085" s="2">
        <v>18486.349999999999</v>
      </c>
    </row>
    <row r="4086" spans="1:16" outlineLevel="2" x14ac:dyDescent="0.2">
      <c r="A4086" s="5">
        <v>46190</v>
      </c>
      <c r="B4086" s="2">
        <v>160232</v>
      </c>
      <c r="C4086" s="2">
        <v>19</v>
      </c>
      <c r="D4086" s="2" t="s">
        <v>226</v>
      </c>
      <c r="E4086" s="2" t="s">
        <v>151</v>
      </c>
      <c r="F4086" s="2" t="s">
        <v>289</v>
      </c>
      <c r="G4086" s="2" t="s">
        <v>22</v>
      </c>
      <c r="H4086" s="2" t="s">
        <v>23</v>
      </c>
      <c r="I4086" s="2" t="s">
        <v>23</v>
      </c>
      <c r="J4086" s="2">
        <v>2</v>
      </c>
      <c r="K4086" s="2" t="s">
        <v>48</v>
      </c>
      <c r="L4086" s="2">
        <v>801</v>
      </c>
      <c r="M4086" s="2" t="s">
        <v>56</v>
      </c>
      <c r="N4086" s="2">
        <v>24</v>
      </c>
      <c r="O4086" s="2">
        <v>457604.56</v>
      </c>
      <c r="P4086" s="2">
        <v>19066.86</v>
      </c>
    </row>
    <row r="4087" spans="1:16" outlineLevel="1" x14ac:dyDescent="0.2">
      <c r="A4087" s="5"/>
      <c r="D4087" s="3" t="s">
        <v>736</v>
      </c>
      <c r="N4087" s="2">
        <f>SUBTOTAL(9,N4083:N4086)</f>
        <v>68</v>
      </c>
      <c r="O4087" s="2">
        <f>SUBTOTAL(9,O4083:O4086)</f>
        <v>1362889.94</v>
      </c>
      <c r="P4087" s="2">
        <f>+O4087/N4087</f>
        <v>20042.499117647058</v>
      </c>
    </row>
    <row r="4088" spans="1:16" outlineLevel="2" x14ac:dyDescent="0.2">
      <c r="A4088" s="5">
        <v>46190</v>
      </c>
      <c r="B4088" s="2">
        <v>160233</v>
      </c>
      <c r="C4088" s="2">
        <v>1</v>
      </c>
      <c r="D4088" s="2" t="s">
        <v>19</v>
      </c>
      <c r="E4088" s="2" t="s">
        <v>599</v>
      </c>
      <c r="F4088" s="2" t="s">
        <v>21</v>
      </c>
      <c r="G4088" s="2" t="s">
        <v>22</v>
      </c>
      <c r="H4088" s="2" t="s">
        <v>23</v>
      </c>
      <c r="I4088" s="2" t="s">
        <v>23</v>
      </c>
      <c r="J4088" s="2">
        <v>40</v>
      </c>
      <c r="K4088" s="2" t="s">
        <v>43</v>
      </c>
      <c r="L4088" s="2">
        <v>25205</v>
      </c>
      <c r="M4088" s="2" t="s">
        <v>171</v>
      </c>
      <c r="N4088" s="2">
        <v>189</v>
      </c>
      <c r="O4088" s="2">
        <v>14165500.939999999</v>
      </c>
      <c r="P4088" s="2">
        <v>74949.740000000005</v>
      </c>
    </row>
    <row r="4089" spans="1:16" outlineLevel="1" x14ac:dyDescent="0.2">
      <c r="A4089" s="5"/>
      <c r="D4089" s="3" t="s">
        <v>704</v>
      </c>
      <c r="N4089" s="2">
        <f>SUBTOTAL(9,N4088:N4088)</f>
        <v>189</v>
      </c>
      <c r="O4089" s="2">
        <f>SUBTOTAL(9,O4088:O4088)</f>
        <v>14165500.939999999</v>
      </c>
      <c r="P4089" s="2">
        <f>+O4089/N4089</f>
        <v>74949.740423280426</v>
      </c>
    </row>
    <row r="4090" spans="1:16" outlineLevel="2" x14ac:dyDescent="0.2">
      <c r="A4090" s="5">
        <v>46202</v>
      </c>
      <c r="B4090" s="2">
        <v>160239</v>
      </c>
      <c r="C4090" s="2">
        <v>1</v>
      </c>
      <c r="D4090" s="2" t="s">
        <v>38</v>
      </c>
      <c r="E4090" s="2" t="s">
        <v>39</v>
      </c>
      <c r="F4090" s="2" t="s">
        <v>21</v>
      </c>
      <c r="G4090" s="2" t="s">
        <v>22</v>
      </c>
      <c r="H4090" s="2" t="s">
        <v>23</v>
      </c>
      <c r="I4090" s="2" t="s">
        <v>355</v>
      </c>
      <c r="J4090" s="2">
        <v>40</v>
      </c>
      <c r="K4090" s="2" t="s">
        <v>43</v>
      </c>
      <c r="L4090" s="2">
        <v>25186</v>
      </c>
      <c r="M4090" s="2" t="s">
        <v>418</v>
      </c>
      <c r="N4090" s="2">
        <v>240</v>
      </c>
      <c r="O4090" s="2">
        <v>7388745.3300000001</v>
      </c>
      <c r="P4090" s="2">
        <v>30786.44</v>
      </c>
    </row>
    <row r="4091" spans="1:16" outlineLevel="2" x14ac:dyDescent="0.2">
      <c r="A4091" s="5">
        <v>46202</v>
      </c>
      <c r="B4091" s="2">
        <v>160239</v>
      </c>
      <c r="C4091" s="2">
        <v>2</v>
      </c>
      <c r="D4091" s="2" t="s">
        <v>38</v>
      </c>
      <c r="E4091" s="2" t="s">
        <v>39</v>
      </c>
      <c r="F4091" s="2" t="s">
        <v>21</v>
      </c>
      <c r="G4091" s="2" t="s">
        <v>22</v>
      </c>
      <c r="H4091" s="2" t="s">
        <v>23</v>
      </c>
      <c r="I4091" s="2" t="s">
        <v>182</v>
      </c>
      <c r="J4091" s="2">
        <v>40</v>
      </c>
      <c r="K4091" s="2" t="s">
        <v>43</v>
      </c>
      <c r="L4091" s="2">
        <v>25186</v>
      </c>
      <c r="M4091" s="2" t="s">
        <v>418</v>
      </c>
      <c r="N4091" s="2">
        <v>100</v>
      </c>
      <c r="O4091" s="2">
        <v>3111371.62</v>
      </c>
      <c r="P4091" s="2">
        <v>31113.72</v>
      </c>
    </row>
    <row r="4092" spans="1:16" outlineLevel="1" x14ac:dyDescent="0.2">
      <c r="A4092" s="5"/>
      <c r="D4092" s="3" t="s">
        <v>721</v>
      </c>
      <c r="N4092" s="2">
        <f>SUBTOTAL(9,N4090:N4091)</f>
        <v>340</v>
      </c>
      <c r="O4092" s="2">
        <f>SUBTOTAL(9,O4090:O4091)</f>
        <v>10500116.949999999</v>
      </c>
      <c r="P4092" s="2">
        <f>+O4092/N4092</f>
        <v>30882.696911764702</v>
      </c>
    </row>
    <row r="4093" spans="1:16" outlineLevel="2" x14ac:dyDescent="0.2">
      <c r="A4093" s="5">
        <v>46192</v>
      </c>
      <c r="B4093" s="2">
        <v>160240</v>
      </c>
      <c r="C4093" s="2">
        <v>1</v>
      </c>
      <c r="D4093" s="2" t="s">
        <v>45</v>
      </c>
      <c r="E4093" s="2" t="s">
        <v>125</v>
      </c>
      <c r="F4093" s="2" t="s">
        <v>23</v>
      </c>
      <c r="G4093" s="2" t="s">
        <v>22</v>
      </c>
      <c r="H4093" s="2" t="s">
        <v>23</v>
      </c>
      <c r="I4093" s="2" t="s">
        <v>23</v>
      </c>
      <c r="J4093" s="2">
        <v>40</v>
      </c>
      <c r="K4093" s="2" t="s">
        <v>43</v>
      </c>
      <c r="L4093" s="2">
        <v>29102</v>
      </c>
      <c r="M4093" s="2" t="s">
        <v>600</v>
      </c>
      <c r="N4093" s="2">
        <v>91</v>
      </c>
      <c r="O4093" s="2">
        <v>4283138.3899999997</v>
      </c>
      <c r="P4093" s="2">
        <v>47067.45</v>
      </c>
    </row>
    <row r="4094" spans="1:16" outlineLevel="1" x14ac:dyDescent="0.2">
      <c r="A4094" s="5"/>
      <c r="D4094" s="3" t="s">
        <v>733</v>
      </c>
      <c r="N4094" s="2">
        <f>SUBTOTAL(9,N4093:N4093)</f>
        <v>91</v>
      </c>
      <c r="O4094" s="2">
        <f>SUBTOTAL(9,O4093:O4093)</f>
        <v>4283138.3899999997</v>
      </c>
      <c r="P4094" s="2">
        <f>+O4094/N4094</f>
        <v>47067.454835164834</v>
      </c>
    </row>
    <row r="4095" spans="1:16" outlineLevel="2" x14ac:dyDescent="0.2">
      <c r="A4095" s="5">
        <v>46204</v>
      </c>
      <c r="B4095" s="2">
        <v>160241</v>
      </c>
      <c r="C4095" s="2">
        <v>1</v>
      </c>
      <c r="D4095" s="2" t="s">
        <v>92</v>
      </c>
      <c r="E4095" s="2" t="s">
        <v>551</v>
      </c>
      <c r="F4095" s="2" t="s">
        <v>40</v>
      </c>
      <c r="G4095" s="2" t="s">
        <v>22</v>
      </c>
      <c r="H4095" s="2" t="s">
        <v>23</v>
      </c>
      <c r="I4095" s="2" t="s">
        <v>23</v>
      </c>
      <c r="J4095" s="2">
        <v>5</v>
      </c>
      <c r="K4095" s="2" t="s">
        <v>27</v>
      </c>
      <c r="L4095" s="2">
        <v>2521</v>
      </c>
      <c r="M4095" s="2" t="s">
        <v>82</v>
      </c>
      <c r="N4095" s="2">
        <v>36</v>
      </c>
      <c r="O4095" s="2">
        <v>773134.52</v>
      </c>
      <c r="P4095" s="2">
        <v>21475.96</v>
      </c>
    </row>
    <row r="4096" spans="1:16" outlineLevel="1" x14ac:dyDescent="0.2">
      <c r="A4096" s="5"/>
      <c r="D4096" s="3" t="s">
        <v>702</v>
      </c>
      <c r="N4096" s="2">
        <f>SUBTOTAL(9,N4095:N4095)</f>
        <v>36</v>
      </c>
      <c r="O4096" s="2">
        <f>SUBTOTAL(9,O4095:O4095)</f>
        <v>773134.52</v>
      </c>
      <c r="P4096" s="2">
        <f>+O4096/N4096</f>
        <v>21475.95888888889</v>
      </c>
    </row>
    <row r="4097" spans="1:16" outlineLevel="2" x14ac:dyDescent="0.2">
      <c r="A4097" s="5">
        <v>46197</v>
      </c>
      <c r="B4097" s="2">
        <v>160241</v>
      </c>
      <c r="C4097" s="2">
        <v>2</v>
      </c>
      <c r="D4097" s="2" t="s">
        <v>601</v>
      </c>
      <c r="E4097" s="2" t="s">
        <v>176</v>
      </c>
      <c r="F4097" s="2" t="s">
        <v>40</v>
      </c>
      <c r="G4097" s="2" t="s">
        <v>22</v>
      </c>
      <c r="H4097" s="2" t="s">
        <v>23</v>
      </c>
      <c r="I4097" s="2" t="s">
        <v>23</v>
      </c>
      <c r="J4097" s="2">
        <v>5</v>
      </c>
      <c r="K4097" s="2" t="s">
        <v>27</v>
      </c>
      <c r="L4097" s="2">
        <v>2521</v>
      </c>
      <c r="M4097" s="2" t="s">
        <v>82</v>
      </c>
      <c r="N4097" s="2">
        <v>80</v>
      </c>
      <c r="O4097" s="2">
        <v>2329286.96</v>
      </c>
      <c r="P4097" s="2">
        <v>29116.09</v>
      </c>
    </row>
    <row r="4098" spans="1:16" outlineLevel="1" x14ac:dyDescent="0.2">
      <c r="A4098" s="5"/>
      <c r="D4098" s="3" t="s">
        <v>802</v>
      </c>
      <c r="N4098" s="2">
        <f>SUBTOTAL(9,N4097:N4097)</f>
        <v>80</v>
      </c>
      <c r="O4098" s="2">
        <f>SUBTOTAL(9,O4097:O4097)</f>
        <v>2329286.96</v>
      </c>
      <c r="P4098" s="2">
        <f>+O4098/N4098</f>
        <v>29116.087</v>
      </c>
    </row>
    <row r="4099" spans="1:16" outlineLevel="2" x14ac:dyDescent="0.2">
      <c r="A4099" s="5">
        <v>46195</v>
      </c>
      <c r="B4099" s="2">
        <v>160241</v>
      </c>
      <c r="C4099" s="2">
        <v>3</v>
      </c>
      <c r="D4099" s="2" t="s">
        <v>175</v>
      </c>
      <c r="E4099" s="2" t="s">
        <v>497</v>
      </c>
      <c r="F4099" s="2" t="s">
        <v>40</v>
      </c>
      <c r="G4099" s="2" t="s">
        <v>22</v>
      </c>
      <c r="H4099" s="2" t="s">
        <v>23</v>
      </c>
      <c r="I4099" s="2" t="s">
        <v>23</v>
      </c>
      <c r="J4099" s="2">
        <v>5</v>
      </c>
      <c r="K4099" s="2" t="s">
        <v>27</v>
      </c>
      <c r="L4099" s="2">
        <v>2521</v>
      </c>
      <c r="M4099" s="2" t="s">
        <v>82</v>
      </c>
      <c r="N4099" s="2">
        <v>60</v>
      </c>
      <c r="O4099" s="2">
        <v>1743252.01</v>
      </c>
      <c r="P4099" s="2">
        <v>29054.2</v>
      </c>
    </row>
    <row r="4100" spans="1:16" outlineLevel="1" x14ac:dyDescent="0.2">
      <c r="A4100" s="5"/>
      <c r="D4100" s="3" t="s">
        <v>725</v>
      </c>
      <c r="N4100" s="2">
        <f>SUBTOTAL(9,N4099:N4099)</f>
        <v>60</v>
      </c>
      <c r="O4100" s="2">
        <f>SUBTOTAL(9,O4099:O4099)</f>
        <v>1743252.01</v>
      </c>
      <c r="P4100" s="2">
        <f>+O4100/N4100</f>
        <v>29054.200166666666</v>
      </c>
    </row>
    <row r="4101" spans="1:16" outlineLevel="2" x14ac:dyDescent="0.2">
      <c r="A4101" s="5">
        <v>46195</v>
      </c>
      <c r="B4101" s="2">
        <v>160242</v>
      </c>
      <c r="C4101" s="2">
        <v>1</v>
      </c>
      <c r="D4101" s="2" t="s">
        <v>160</v>
      </c>
      <c r="E4101" s="2" t="s">
        <v>222</v>
      </c>
      <c r="F4101" s="2" t="s">
        <v>23</v>
      </c>
      <c r="G4101" s="2" t="s">
        <v>22</v>
      </c>
      <c r="H4101" s="2" t="s">
        <v>23</v>
      </c>
      <c r="I4101" s="2" t="s">
        <v>23</v>
      </c>
      <c r="J4101" s="2">
        <v>1</v>
      </c>
      <c r="K4101" s="2" t="s">
        <v>24</v>
      </c>
      <c r="L4101" s="2">
        <v>2521</v>
      </c>
      <c r="M4101" s="2" t="s">
        <v>82</v>
      </c>
      <c r="N4101" s="2">
        <v>240</v>
      </c>
      <c r="O4101" s="2">
        <v>3452671.79</v>
      </c>
      <c r="P4101" s="2">
        <v>14386.13</v>
      </c>
    </row>
    <row r="4102" spans="1:16" outlineLevel="1" x14ac:dyDescent="0.2">
      <c r="A4102" s="5"/>
      <c r="D4102" s="3" t="s">
        <v>709</v>
      </c>
      <c r="N4102" s="2">
        <f>SUBTOTAL(9,N4101:N4101)</f>
        <v>240</v>
      </c>
      <c r="O4102" s="2">
        <f>SUBTOTAL(9,O4101:O4101)</f>
        <v>3452671.79</v>
      </c>
      <c r="P4102" s="2">
        <f>+O4102/N4102</f>
        <v>14386.132458333333</v>
      </c>
    </row>
    <row r="4103" spans="1:16" outlineLevel="2" x14ac:dyDescent="0.2">
      <c r="A4103" s="5">
        <v>46192</v>
      </c>
      <c r="B4103" s="2">
        <v>160242</v>
      </c>
      <c r="C4103" s="2">
        <v>2</v>
      </c>
      <c r="D4103" s="2" t="s">
        <v>131</v>
      </c>
      <c r="E4103" s="2" t="s">
        <v>132</v>
      </c>
      <c r="F4103" s="2" t="s">
        <v>40</v>
      </c>
      <c r="G4103" s="2" t="s">
        <v>22</v>
      </c>
      <c r="H4103" s="2" t="s">
        <v>23</v>
      </c>
      <c r="I4103" s="2" t="s">
        <v>23</v>
      </c>
      <c r="J4103" s="2">
        <v>1</v>
      </c>
      <c r="K4103" s="2" t="s">
        <v>24</v>
      </c>
      <c r="L4103" s="2">
        <v>2521</v>
      </c>
      <c r="M4103" s="2" t="s">
        <v>82</v>
      </c>
      <c r="N4103" s="2">
        <v>164</v>
      </c>
      <c r="O4103" s="2">
        <v>6341938.71</v>
      </c>
      <c r="P4103" s="2">
        <v>38670.36</v>
      </c>
    </row>
    <row r="4104" spans="1:16" outlineLevel="1" x14ac:dyDescent="0.2">
      <c r="A4104" s="5"/>
      <c r="D4104" s="3" t="s">
        <v>713</v>
      </c>
      <c r="N4104" s="2">
        <f>SUBTOTAL(9,N4103:N4103)</f>
        <v>164</v>
      </c>
      <c r="O4104" s="2">
        <f>SUBTOTAL(9,O4103:O4103)</f>
        <v>6341938.71</v>
      </c>
      <c r="P4104" s="2">
        <f>+O4104/N4104</f>
        <v>38670.357987804877</v>
      </c>
    </row>
    <row r="4105" spans="1:16" outlineLevel="2" x14ac:dyDescent="0.2">
      <c r="A4105" s="5">
        <v>46195</v>
      </c>
      <c r="B4105" s="2">
        <v>160264</v>
      </c>
      <c r="C4105" s="2">
        <v>1</v>
      </c>
      <c r="D4105" s="2" t="s">
        <v>602</v>
      </c>
      <c r="E4105" s="2" t="s">
        <v>346</v>
      </c>
      <c r="F4105" s="2" t="s">
        <v>23</v>
      </c>
      <c r="G4105" s="2" t="s">
        <v>22</v>
      </c>
      <c r="H4105" s="2" t="s">
        <v>23</v>
      </c>
      <c r="I4105" s="2" t="s">
        <v>23</v>
      </c>
      <c r="J4105" s="2">
        <v>1</v>
      </c>
      <c r="K4105" s="2" t="s">
        <v>24</v>
      </c>
      <c r="L4105" s="2">
        <v>226</v>
      </c>
      <c r="M4105" s="2" t="s">
        <v>59</v>
      </c>
      <c r="N4105" s="2">
        <v>91</v>
      </c>
      <c r="O4105" s="2">
        <v>1481861.2</v>
      </c>
      <c r="P4105" s="2">
        <v>16284.19</v>
      </c>
    </row>
    <row r="4106" spans="1:16" outlineLevel="1" x14ac:dyDescent="0.2">
      <c r="A4106" s="5"/>
      <c r="D4106" s="3" t="s">
        <v>803</v>
      </c>
      <c r="N4106" s="2">
        <f>SUBTOTAL(9,N4105:N4105)</f>
        <v>91</v>
      </c>
      <c r="O4106" s="2">
        <f>SUBTOTAL(9,O4105:O4105)</f>
        <v>1481861.2</v>
      </c>
      <c r="P4106" s="2">
        <f>+O4106/N4106</f>
        <v>16284.18901098901</v>
      </c>
    </row>
    <row r="4107" spans="1:16" outlineLevel="2" x14ac:dyDescent="0.2">
      <c r="A4107" s="5">
        <v>46195</v>
      </c>
      <c r="B4107" s="2">
        <v>160264</v>
      </c>
      <c r="C4107" s="2">
        <v>2</v>
      </c>
      <c r="D4107" s="2" t="s">
        <v>60</v>
      </c>
      <c r="E4107" s="2" t="s">
        <v>179</v>
      </c>
      <c r="F4107" s="2" t="s">
        <v>23</v>
      </c>
      <c r="G4107" s="2" t="s">
        <v>22</v>
      </c>
      <c r="H4107" s="2" t="s">
        <v>23</v>
      </c>
      <c r="I4107" s="2" t="s">
        <v>23</v>
      </c>
      <c r="J4107" s="2">
        <v>1</v>
      </c>
      <c r="K4107" s="2" t="s">
        <v>24</v>
      </c>
      <c r="L4107" s="2">
        <v>226</v>
      </c>
      <c r="M4107" s="2" t="s">
        <v>59</v>
      </c>
      <c r="N4107" s="2">
        <v>56</v>
      </c>
      <c r="O4107" s="2">
        <v>1506762.36</v>
      </c>
      <c r="P4107" s="2">
        <v>26906.47</v>
      </c>
    </row>
    <row r="4108" spans="1:16" outlineLevel="1" x14ac:dyDescent="0.2">
      <c r="A4108" s="5"/>
      <c r="D4108" s="3" t="s">
        <v>728</v>
      </c>
      <c r="N4108" s="2">
        <f>SUBTOTAL(9,N4107:N4107)</f>
        <v>56</v>
      </c>
      <c r="O4108" s="2">
        <f>SUBTOTAL(9,O4107:O4107)</f>
        <v>1506762.36</v>
      </c>
      <c r="P4108" s="2">
        <f>+O4108/N4108</f>
        <v>26906.470714285715</v>
      </c>
    </row>
    <row r="4109" spans="1:16" outlineLevel="2" x14ac:dyDescent="0.2">
      <c r="A4109" s="5">
        <v>46195</v>
      </c>
      <c r="B4109" s="2">
        <v>160265</v>
      </c>
      <c r="C4109" s="2">
        <v>1</v>
      </c>
      <c r="D4109" s="2" t="s">
        <v>207</v>
      </c>
      <c r="E4109" s="2" t="s">
        <v>23</v>
      </c>
      <c r="F4109" s="2" t="s">
        <v>47</v>
      </c>
      <c r="G4109" s="2" t="s">
        <v>22</v>
      </c>
      <c r="H4109" s="2" t="s">
        <v>208</v>
      </c>
      <c r="I4109" s="2" t="s">
        <v>23</v>
      </c>
      <c r="J4109" s="2">
        <v>41</v>
      </c>
      <c r="K4109" s="2" t="s">
        <v>129</v>
      </c>
      <c r="L4109" s="2">
        <v>25213</v>
      </c>
      <c r="M4109" s="2" t="s">
        <v>130</v>
      </c>
      <c r="N4109" s="2">
        <v>50</v>
      </c>
      <c r="O4109" s="2">
        <v>171587.5</v>
      </c>
      <c r="P4109" s="2">
        <v>3431.75</v>
      </c>
    </row>
    <row r="4110" spans="1:16" outlineLevel="1" x14ac:dyDescent="0.2">
      <c r="A4110" s="5"/>
      <c r="D4110" s="3" t="s">
        <v>699</v>
      </c>
      <c r="N4110" s="2">
        <f>SUBTOTAL(9,N4109:N4109)</f>
        <v>50</v>
      </c>
      <c r="O4110" s="2">
        <f>SUBTOTAL(9,O4109:O4109)</f>
        <v>171587.5</v>
      </c>
      <c r="P4110" s="2">
        <f>+O4110/N4110</f>
        <v>3431.75</v>
      </c>
    </row>
    <row r="4111" spans="1:16" outlineLevel="2" x14ac:dyDescent="0.2">
      <c r="A4111" s="5">
        <v>46195</v>
      </c>
      <c r="B4111" s="2">
        <v>160265</v>
      </c>
      <c r="C4111" s="2">
        <v>2</v>
      </c>
      <c r="D4111" s="2" t="s">
        <v>128</v>
      </c>
      <c r="E4111" s="2" t="s">
        <v>23</v>
      </c>
      <c r="F4111" s="2" t="s">
        <v>47</v>
      </c>
      <c r="G4111" s="2" t="s">
        <v>22</v>
      </c>
      <c r="H4111" s="2" t="s">
        <v>23</v>
      </c>
      <c r="I4111" s="2" t="s">
        <v>23</v>
      </c>
      <c r="J4111" s="2">
        <v>41</v>
      </c>
      <c r="K4111" s="2" t="s">
        <v>129</v>
      </c>
      <c r="L4111" s="2">
        <v>25213</v>
      </c>
      <c r="M4111" s="2" t="s">
        <v>130</v>
      </c>
      <c r="N4111" s="2">
        <v>50</v>
      </c>
      <c r="O4111" s="2">
        <v>189136.39</v>
      </c>
      <c r="P4111" s="2">
        <v>3782.73</v>
      </c>
    </row>
    <row r="4112" spans="1:16" outlineLevel="2" x14ac:dyDescent="0.2">
      <c r="A4112" s="5">
        <v>46195</v>
      </c>
      <c r="B4112" s="2">
        <v>160265</v>
      </c>
      <c r="C4112" s="2">
        <v>3</v>
      </c>
      <c r="D4112" s="2" t="s">
        <v>128</v>
      </c>
      <c r="E4112" s="2" t="s">
        <v>294</v>
      </c>
      <c r="F4112" s="2" t="s">
        <v>47</v>
      </c>
      <c r="G4112" s="2" t="s">
        <v>22</v>
      </c>
      <c r="H4112" s="2" t="s">
        <v>23</v>
      </c>
      <c r="I4112" s="2" t="s">
        <v>23</v>
      </c>
      <c r="J4112" s="2">
        <v>41</v>
      </c>
      <c r="K4112" s="2" t="s">
        <v>129</v>
      </c>
      <c r="L4112" s="2">
        <v>25213</v>
      </c>
      <c r="M4112" s="2" t="s">
        <v>130</v>
      </c>
      <c r="N4112" s="2">
        <v>25</v>
      </c>
      <c r="O4112" s="2">
        <v>89527.55</v>
      </c>
      <c r="P4112" s="2">
        <v>3581.1</v>
      </c>
    </row>
    <row r="4113" spans="1:16" outlineLevel="1" x14ac:dyDescent="0.2">
      <c r="A4113" s="5"/>
      <c r="D4113" s="3" t="s">
        <v>732</v>
      </c>
      <c r="N4113" s="2">
        <f>SUBTOTAL(9,N4111:N4112)</f>
        <v>75</v>
      </c>
      <c r="O4113" s="2">
        <f>SUBTOTAL(9,O4111:O4112)</f>
        <v>278663.94</v>
      </c>
      <c r="P4113" s="2">
        <f>+O4113/N4113</f>
        <v>3715.5192000000002</v>
      </c>
    </row>
    <row r="4114" spans="1:16" outlineLevel="2" x14ac:dyDescent="0.2">
      <c r="A4114" s="5">
        <v>46195</v>
      </c>
      <c r="B4114" s="2">
        <v>160265</v>
      </c>
      <c r="C4114" s="2">
        <v>4</v>
      </c>
      <c r="D4114" s="2" t="s">
        <v>207</v>
      </c>
      <c r="E4114" s="2" t="s">
        <v>23</v>
      </c>
      <c r="F4114" s="2" t="s">
        <v>47</v>
      </c>
      <c r="G4114" s="2" t="s">
        <v>210</v>
      </c>
      <c r="H4114" s="2" t="s">
        <v>23</v>
      </c>
      <c r="I4114" s="2" t="s">
        <v>23</v>
      </c>
      <c r="J4114" s="2">
        <v>1</v>
      </c>
      <c r="K4114" s="2" t="s">
        <v>24</v>
      </c>
      <c r="L4114" s="2">
        <v>25213</v>
      </c>
      <c r="M4114" s="2" t="s">
        <v>130</v>
      </c>
      <c r="N4114" s="2">
        <v>4</v>
      </c>
      <c r="O4114" s="2">
        <v>267622.44</v>
      </c>
      <c r="P4114" s="2">
        <v>66905.61</v>
      </c>
    </row>
    <row r="4115" spans="1:16" outlineLevel="1" x14ac:dyDescent="0.2">
      <c r="A4115" s="5"/>
      <c r="D4115" s="3" t="s">
        <v>699</v>
      </c>
      <c r="N4115" s="2">
        <f>SUBTOTAL(9,N4114:N4114)</f>
        <v>4</v>
      </c>
      <c r="O4115" s="2">
        <f>SUBTOTAL(9,O4114:O4114)</f>
        <v>267622.44</v>
      </c>
      <c r="P4115" s="2">
        <f>+O4115/N4115</f>
        <v>66905.61</v>
      </c>
    </row>
    <row r="4116" spans="1:16" outlineLevel="2" x14ac:dyDescent="0.2">
      <c r="A4116" s="5">
        <v>46195</v>
      </c>
      <c r="B4116" s="2">
        <v>160268</v>
      </c>
      <c r="C4116" s="2">
        <v>1</v>
      </c>
      <c r="D4116" s="2" t="s">
        <v>579</v>
      </c>
      <c r="E4116" s="2" t="s">
        <v>23</v>
      </c>
      <c r="F4116" s="2" t="s">
        <v>23</v>
      </c>
      <c r="G4116" s="2" t="s">
        <v>22</v>
      </c>
      <c r="H4116" s="2" t="s">
        <v>23</v>
      </c>
      <c r="I4116" s="2" t="s">
        <v>23</v>
      </c>
      <c r="J4116" s="2">
        <v>41</v>
      </c>
      <c r="K4116" s="2" t="s">
        <v>129</v>
      </c>
      <c r="L4116" s="2">
        <v>2338</v>
      </c>
      <c r="M4116" s="2" t="s">
        <v>417</v>
      </c>
      <c r="N4116" s="2">
        <v>320</v>
      </c>
      <c r="O4116" s="2">
        <v>287844.49</v>
      </c>
      <c r="P4116" s="2">
        <v>899.51</v>
      </c>
    </row>
    <row r="4117" spans="1:16" outlineLevel="1" x14ac:dyDescent="0.2">
      <c r="A4117" s="5"/>
      <c r="D4117" s="3" t="s">
        <v>800</v>
      </c>
      <c r="N4117" s="2">
        <f>SUBTOTAL(9,N4116:N4116)</f>
        <v>320</v>
      </c>
      <c r="O4117" s="2">
        <f>SUBTOTAL(9,O4116:O4116)</f>
        <v>287844.49</v>
      </c>
      <c r="P4117" s="2">
        <f>+O4117/N4117</f>
        <v>899.51403125000002</v>
      </c>
    </row>
    <row r="4118" spans="1:16" outlineLevel="2" x14ac:dyDescent="0.2">
      <c r="A4118" s="5">
        <v>46195</v>
      </c>
      <c r="B4118" s="2">
        <v>160268</v>
      </c>
      <c r="C4118" s="2">
        <v>2</v>
      </c>
      <c r="D4118" s="2" t="s">
        <v>470</v>
      </c>
      <c r="E4118" s="2" t="s">
        <v>23</v>
      </c>
      <c r="F4118" s="2" t="s">
        <v>47</v>
      </c>
      <c r="G4118" s="2" t="s">
        <v>22</v>
      </c>
      <c r="H4118" s="2" t="s">
        <v>23</v>
      </c>
      <c r="I4118" s="2" t="s">
        <v>23</v>
      </c>
      <c r="J4118" s="2">
        <v>1</v>
      </c>
      <c r="K4118" s="2" t="s">
        <v>24</v>
      </c>
      <c r="L4118" s="2">
        <v>2338</v>
      </c>
      <c r="M4118" s="2" t="s">
        <v>417</v>
      </c>
      <c r="N4118" s="2">
        <v>10</v>
      </c>
      <c r="O4118" s="2">
        <v>463699.4</v>
      </c>
      <c r="P4118" s="2">
        <v>46369.94</v>
      </c>
    </row>
    <row r="4119" spans="1:16" outlineLevel="1" x14ac:dyDescent="0.2">
      <c r="A4119" s="5"/>
      <c r="D4119" s="3" t="s">
        <v>779</v>
      </c>
      <c r="N4119" s="2">
        <f>SUBTOTAL(9,N4118:N4118)</f>
        <v>10</v>
      </c>
      <c r="O4119" s="2">
        <f>SUBTOTAL(9,O4118:O4118)</f>
        <v>463699.4</v>
      </c>
      <c r="P4119" s="2">
        <f>+O4119/N4119</f>
        <v>46369.94</v>
      </c>
    </row>
    <row r="4120" spans="1:16" outlineLevel="2" x14ac:dyDescent="0.2">
      <c r="A4120" s="5">
        <v>46204</v>
      </c>
      <c r="B4120" s="2">
        <v>160283</v>
      </c>
      <c r="C4120" s="2">
        <v>315</v>
      </c>
      <c r="D4120" s="2" t="s">
        <v>54</v>
      </c>
      <c r="E4120" s="2" t="s">
        <v>30</v>
      </c>
      <c r="F4120" s="2" t="s">
        <v>23</v>
      </c>
      <c r="G4120" s="2" t="s">
        <v>22</v>
      </c>
      <c r="H4120" s="2" t="s">
        <v>23</v>
      </c>
      <c r="I4120" s="2" t="s">
        <v>23</v>
      </c>
      <c r="J4120" s="2">
        <v>2</v>
      </c>
      <c r="K4120" s="2" t="s">
        <v>48</v>
      </c>
      <c r="L4120" s="2">
        <v>1974</v>
      </c>
      <c r="M4120" s="2" t="s">
        <v>95</v>
      </c>
      <c r="N4120" s="2">
        <v>2</v>
      </c>
      <c r="O4120" s="2">
        <v>27399.16</v>
      </c>
      <c r="P4120" s="2">
        <v>13699.58</v>
      </c>
    </row>
    <row r="4121" spans="1:16" outlineLevel="1" x14ac:dyDescent="0.2">
      <c r="A4121" s="5"/>
      <c r="D4121" s="3" t="s">
        <v>719</v>
      </c>
      <c r="N4121" s="2">
        <f>SUBTOTAL(9,N4120:N4120)</f>
        <v>2</v>
      </c>
      <c r="O4121" s="2">
        <f>SUBTOTAL(9,O4120:O4120)</f>
        <v>27399.16</v>
      </c>
      <c r="P4121" s="2">
        <f>+O4121/N4121</f>
        <v>13699.58</v>
      </c>
    </row>
    <row r="4122" spans="1:16" outlineLevel="2" x14ac:dyDescent="0.2">
      <c r="A4122" s="5">
        <v>46197</v>
      </c>
      <c r="B4122" s="2">
        <v>160289</v>
      </c>
      <c r="C4122" s="2">
        <v>1</v>
      </c>
      <c r="D4122" s="2" t="s">
        <v>579</v>
      </c>
      <c r="E4122" s="2" t="s">
        <v>23</v>
      </c>
      <c r="F4122" s="2" t="s">
        <v>23</v>
      </c>
      <c r="G4122" s="2" t="s">
        <v>22</v>
      </c>
      <c r="H4122" s="2" t="s">
        <v>23</v>
      </c>
      <c r="I4122" s="2" t="s">
        <v>23</v>
      </c>
      <c r="J4122" s="2">
        <v>41</v>
      </c>
      <c r="K4122" s="2" t="s">
        <v>129</v>
      </c>
      <c r="L4122" s="2">
        <v>2338</v>
      </c>
      <c r="M4122" s="2" t="s">
        <v>417</v>
      </c>
      <c r="N4122" s="2">
        <v>318</v>
      </c>
      <c r="O4122" s="2">
        <v>347875.56</v>
      </c>
      <c r="P4122" s="2">
        <v>1093.95</v>
      </c>
    </row>
    <row r="4123" spans="1:16" outlineLevel="1" x14ac:dyDescent="0.2">
      <c r="A4123" s="5"/>
      <c r="D4123" s="3" t="s">
        <v>800</v>
      </c>
      <c r="N4123" s="2">
        <f>SUBTOTAL(9,N4122:N4122)</f>
        <v>318</v>
      </c>
      <c r="O4123" s="2">
        <f>SUBTOTAL(9,O4122:O4122)</f>
        <v>347875.56</v>
      </c>
      <c r="P4123" s="2">
        <f>+O4123/N4123</f>
        <v>1093.9483018867925</v>
      </c>
    </row>
    <row r="4124" spans="1:16" outlineLevel="2" x14ac:dyDescent="0.2">
      <c r="A4124" s="5">
        <v>46197</v>
      </c>
      <c r="B4124" s="2">
        <v>160289</v>
      </c>
      <c r="C4124" s="2">
        <v>2</v>
      </c>
      <c r="D4124" s="2" t="s">
        <v>470</v>
      </c>
      <c r="E4124" s="2" t="s">
        <v>23</v>
      </c>
      <c r="F4124" s="2" t="s">
        <v>23</v>
      </c>
      <c r="G4124" s="2" t="s">
        <v>22</v>
      </c>
      <c r="H4124" s="2" t="s">
        <v>23</v>
      </c>
      <c r="I4124" s="2" t="s">
        <v>23</v>
      </c>
      <c r="J4124" s="2">
        <v>1</v>
      </c>
      <c r="K4124" s="2" t="s">
        <v>24</v>
      </c>
      <c r="L4124" s="2">
        <v>2338</v>
      </c>
      <c r="M4124" s="2" t="s">
        <v>417</v>
      </c>
      <c r="N4124" s="2">
        <v>4</v>
      </c>
      <c r="O4124" s="2">
        <v>185479.76</v>
      </c>
      <c r="P4124" s="2">
        <v>46369.94</v>
      </c>
    </row>
    <row r="4125" spans="1:16" outlineLevel="1" x14ac:dyDescent="0.2">
      <c r="A4125" s="5"/>
      <c r="D4125" s="3" t="s">
        <v>779</v>
      </c>
      <c r="N4125" s="2">
        <f>SUBTOTAL(9,N4124:N4124)</f>
        <v>4</v>
      </c>
      <c r="O4125" s="2">
        <f>SUBTOTAL(9,O4124:O4124)</f>
        <v>185479.76</v>
      </c>
      <c r="P4125" s="2">
        <f>+O4125/N4125</f>
        <v>46369.94</v>
      </c>
    </row>
    <row r="4126" spans="1:16" outlineLevel="2" x14ac:dyDescent="0.2">
      <c r="A4126" s="5">
        <v>46197</v>
      </c>
      <c r="B4126" s="2">
        <v>160290</v>
      </c>
      <c r="C4126" s="2">
        <v>1</v>
      </c>
      <c r="D4126" s="2" t="s">
        <v>207</v>
      </c>
      <c r="E4126" s="2" t="s">
        <v>23</v>
      </c>
      <c r="F4126" s="2" t="s">
        <v>23</v>
      </c>
      <c r="G4126" s="2" t="s">
        <v>22</v>
      </c>
      <c r="H4126" s="2" t="s">
        <v>208</v>
      </c>
      <c r="I4126" s="2" t="s">
        <v>23</v>
      </c>
      <c r="J4126" s="2">
        <v>41</v>
      </c>
      <c r="K4126" s="2" t="s">
        <v>129</v>
      </c>
      <c r="L4126" s="2">
        <v>25213</v>
      </c>
      <c r="M4126" s="2" t="s">
        <v>130</v>
      </c>
      <c r="N4126" s="2">
        <v>75</v>
      </c>
      <c r="O4126" s="2">
        <v>260011.43</v>
      </c>
      <c r="P4126" s="2">
        <v>3466.82</v>
      </c>
    </row>
    <row r="4127" spans="1:16" outlineLevel="1" x14ac:dyDescent="0.2">
      <c r="A4127" s="5"/>
      <c r="D4127" s="3" t="s">
        <v>699</v>
      </c>
      <c r="N4127" s="2">
        <f>SUBTOTAL(9,N4126:N4126)</f>
        <v>75</v>
      </c>
      <c r="O4127" s="2">
        <f>SUBTOTAL(9,O4126:O4126)</f>
        <v>260011.43</v>
      </c>
      <c r="P4127" s="2">
        <f>+O4127/N4127</f>
        <v>3466.8190666666665</v>
      </c>
    </row>
    <row r="4128" spans="1:16" outlineLevel="2" x14ac:dyDescent="0.2">
      <c r="A4128" s="5">
        <v>46197</v>
      </c>
      <c r="B4128" s="2">
        <v>160290</v>
      </c>
      <c r="C4128" s="2">
        <v>2</v>
      </c>
      <c r="D4128" s="2" t="s">
        <v>128</v>
      </c>
      <c r="E4128" s="2" t="s">
        <v>23</v>
      </c>
      <c r="F4128" s="2" t="s">
        <v>23</v>
      </c>
      <c r="G4128" s="2" t="s">
        <v>22</v>
      </c>
      <c r="H4128" s="2" t="s">
        <v>23</v>
      </c>
      <c r="I4128" s="2" t="s">
        <v>23</v>
      </c>
      <c r="J4128" s="2">
        <v>41</v>
      </c>
      <c r="K4128" s="2" t="s">
        <v>129</v>
      </c>
      <c r="L4128" s="2">
        <v>25213</v>
      </c>
      <c r="M4128" s="2" t="s">
        <v>130</v>
      </c>
      <c r="N4128" s="2">
        <v>50</v>
      </c>
      <c r="O4128" s="2">
        <v>181542.53</v>
      </c>
      <c r="P4128" s="2">
        <v>3630.85</v>
      </c>
    </row>
    <row r="4129" spans="1:16" outlineLevel="2" x14ac:dyDescent="0.2">
      <c r="A4129" s="5">
        <v>46197</v>
      </c>
      <c r="B4129" s="2">
        <v>160290</v>
      </c>
      <c r="C4129" s="2">
        <v>3</v>
      </c>
      <c r="D4129" s="2" t="s">
        <v>128</v>
      </c>
      <c r="E4129" s="2" t="s">
        <v>23</v>
      </c>
      <c r="F4129" s="2" t="s">
        <v>23</v>
      </c>
      <c r="G4129" s="2" t="s">
        <v>22</v>
      </c>
      <c r="H4129" s="2" t="s">
        <v>23</v>
      </c>
      <c r="I4129" s="2" t="s">
        <v>23</v>
      </c>
      <c r="J4129" s="2">
        <v>1</v>
      </c>
      <c r="K4129" s="2" t="s">
        <v>24</v>
      </c>
      <c r="L4129" s="2">
        <v>25213</v>
      </c>
      <c r="M4129" s="2" t="s">
        <v>130</v>
      </c>
      <c r="N4129" s="2">
        <v>5</v>
      </c>
      <c r="O4129" s="2">
        <v>447474.11</v>
      </c>
      <c r="P4129" s="2">
        <v>89494.82</v>
      </c>
    </row>
    <row r="4130" spans="1:16" outlineLevel="1" x14ac:dyDescent="0.2">
      <c r="A4130" s="5"/>
      <c r="D4130" s="3" t="s">
        <v>732</v>
      </c>
      <c r="N4130" s="2">
        <f>SUBTOTAL(9,N4128:N4129)</f>
        <v>55</v>
      </c>
      <c r="O4130" s="2">
        <f>SUBTOTAL(9,O4128:O4129)</f>
        <v>629016.64</v>
      </c>
      <c r="P4130" s="2">
        <f>+O4130/N4130</f>
        <v>11436.666181818182</v>
      </c>
    </row>
    <row r="4131" spans="1:16" outlineLevel="2" x14ac:dyDescent="0.2">
      <c r="A4131" s="5">
        <v>46197</v>
      </c>
      <c r="B4131" s="2">
        <v>160290</v>
      </c>
      <c r="C4131" s="2">
        <v>4</v>
      </c>
      <c r="D4131" s="2" t="s">
        <v>207</v>
      </c>
      <c r="E4131" s="2" t="s">
        <v>527</v>
      </c>
      <c r="F4131" s="2" t="s">
        <v>23</v>
      </c>
      <c r="G4131" s="2" t="s">
        <v>23</v>
      </c>
      <c r="H4131" s="2" t="s">
        <v>23</v>
      </c>
      <c r="I4131" s="2" t="s">
        <v>23</v>
      </c>
      <c r="J4131" s="2">
        <v>1</v>
      </c>
      <c r="K4131" s="2" t="s">
        <v>24</v>
      </c>
      <c r="L4131" s="2">
        <v>25213</v>
      </c>
      <c r="M4131" s="2" t="s">
        <v>130</v>
      </c>
      <c r="N4131" s="2">
        <v>3</v>
      </c>
      <c r="O4131" s="2">
        <v>198849.95</v>
      </c>
      <c r="P4131" s="2">
        <v>66283.320000000007</v>
      </c>
    </row>
    <row r="4132" spans="1:16" outlineLevel="1" x14ac:dyDescent="0.2">
      <c r="A4132" s="5"/>
      <c r="D4132" s="3" t="s">
        <v>699</v>
      </c>
      <c r="N4132" s="2">
        <f>SUBTOTAL(9,N4131:N4131)</f>
        <v>3</v>
      </c>
      <c r="O4132" s="2">
        <f>SUBTOTAL(9,O4131:O4131)</f>
        <v>198849.95</v>
      </c>
      <c r="P4132" s="2">
        <f>+O4132/N4132</f>
        <v>66283.316666666666</v>
      </c>
    </row>
    <row r="4133" spans="1:16" outlineLevel="2" x14ac:dyDescent="0.2">
      <c r="A4133" s="5">
        <v>46197</v>
      </c>
      <c r="B4133" s="2">
        <v>160291</v>
      </c>
      <c r="C4133" s="2">
        <v>1</v>
      </c>
      <c r="D4133" s="2" t="s">
        <v>140</v>
      </c>
      <c r="E4133" s="2" t="s">
        <v>23</v>
      </c>
      <c r="F4133" s="2" t="s">
        <v>108</v>
      </c>
      <c r="G4133" s="2" t="s">
        <v>22</v>
      </c>
      <c r="H4133" s="2" t="s">
        <v>23</v>
      </c>
      <c r="I4133" s="2" t="s">
        <v>23</v>
      </c>
      <c r="J4133" s="2">
        <v>1</v>
      </c>
      <c r="K4133" s="2" t="s">
        <v>24</v>
      </c>
      <c r="L4133" s="2">
        <v>1503</v>
      </c>
      <c r="M4133" s="2" t="s">
        <v>603</v>
      </c>
      <c r="N4133" s="2">
        <v>54</v>
      </c>
      <c r="O4133" s="2">
        <v>1381885.42</v>
      </c>
      <c r="P4133" s="2">
        <v>25590.47</v>
      </c>
    </row>
    <row r="4134" spans="1:16" outlineLevel="1" x14ac:dyDescent="0.2">
      <c r="A4134" s="5"/>
      <c r="D4134" s="3" t="s">
        <v>696</v>
      </c>
      <c r="N4134" s="2">
        <f>SUBTOTAL(9,N4133:N4133)</f>
        <v>54</v>
      </c>
      <c r="O4134" s="2">
        <f>SUBTOTAL(9,O4133:O4133)</f>
        <v>1381885.42</v>
      </c>
      <c r="P4134" s="2">
        <f>+O4134/N4134</f>
        <v>25590.47074074074</v>
      </c>
    </row>
    <row r="4135" spans="1:16" outlineLevel="2" x14ac:dyDescent="0.2">
      <c r="A4135" s="5">
        <v>46192</v>
      </c>
      <c r="B4135" s="2">
        <v>160295</v>
      </c>
      <c r="C4135" s="2">
        <v>10</v>
      </c>
      <c r="D4135" s="2" t="s">
        <v>45</v>
      </c>
      <c r="E4135" s="2" t="s">
        <v>590</v>
      </c>
      <c r="F4135" s="2" t="s">
        <v>289</v>
      </c>
      <c r="G4135" s="2" t="s">
        <v>22</v>
      </c>
      <c r="H4135" s="2" t="s">
        <v>23</v>
      </c>
      <c r="I4135" s="2" t="s">
        <v>23</v>
      </c>
      <c r="J4135" s="2">
        <v>41</v>
      </c>
      <c r="K4135" s="2" t="s">
        <v>129</v>
      </c>
      <c r="L4135" s="2">
        <v>801</v>
      </c>
      <c r="M4135" s="2" t="s">
        <v>56</v>
      </c>
      <c r="N4135" s="2">
        <v>24</v>
      </c>
      <c r="O4135" s="2">
        <v>485585.64</v>
      </c>
      <c r="P4135" s="2">
        <v>20232.740000000002</v>
      </c>
    </row>
    <row r="4136" spans="1:16" outlineLevel="2" x14ac:dyDescent="0.2">
      <c r="A4136" s="5">
        <v>46192</v>
      </c>
      <c r="B4136" s="2">
        <v>160295</v>
      </c>
      <c r="C4136" s="2">
        <v>11</v>
      </c>
      <c r="D4136" s="2" t="s">
        <v>45</v>
      </c>
      <c r="E4136" s="2" t="s">
        <v>559</v>
      </c>
      <c r="F4136" s="2" t="s">
        <v>289</v>
      </c>
      <c r="G4136" s="2" t="s">
        <v>22</v>
      </c>
      <c r="H4136" s="2" t="s">
        <v>23</v>
      </c>
      <c r="I4136" s="2" t="s">
        <v>23</v>
      </c>
      <c r="J4136" s="2">
        <v>41</v>
      </c>
      <c r="K4136" s="2" t="s">
        <v>129</v>
      </c>
      <c r="L4136" s="2">
        <v>801</v>
      </c>
      <c r="M4136" s="2" t="s">
        <v>56</v>
      </c>
      <c r="N4136" s="2">
        <v>37</v>
      </c>
      <c r="O4136" s="2">
        <v>627298.09</v>
      </c>
      <c r="P4136" s="2">
        <v>16954</v>
      </c>
    </row>
    <row r="4137" spans="1:16" outlineLevel="2" x14ac:dyDescent="0.2">
      <c r="A4137" s="5">
        <v>46192</v>
      </c>
      <c r="B4137" s="2">
        <v>160295</v>
      </c>
      <c r="C4137" s="2">
        <v>12</v>
      </c>
      <c r="D4137" s="2" t="s">
        <v>45</v>
      </c>
      <c r="E4137" s="2" t="s">
        <v>558</v>
      </c>
      <c r="F4137" s="2" t="s">
        <v>289</v>
      </c>
      <c r="G4137" s="2" t="s">
        <v>22</v>
      </c>
      <c r="H4137" s="2" t="s">
        <v>23</v>
      </c>
      <c r="I4137" s="2" t="s">
        <v>23</v>
      </c>
      <c r="J4137" s="2">
        <v>41</v>
      </c>
      <c r="K4137" s="2" t="s">
        <v>129</v>
      </c>
      <c r="L4137" s="2">
        <v>801</v>
      </c>
      <c r="M4137" s="2" t="s">
        <v>56</v>
      </c>
      <c r="N4137" s="2">
        <v>25</v>
      </c>
      <c r="O4137" s="2">
        <v>554380.38</v>
      </c>
      <c r="P4137" s="2">
        <v>22175.22</v>
      </c>
    </row>
    <row r="4138" spans="1:16" outlineLevel="2" x14ac:dyDescent="0.2">
      <c r="A4138" s="5">
        <v>46192</v>
      </c>
      <c r="B4138" s="2">
        <v>160295</v>
      </c>
      <c r="C4138" s="2">
        <v>13</v>
      </c>
      <c r="D4138" s="2" t="s">
        <v>45</v>
      </c>
      <c r="E4138" s="2" t="s">
        <v>592</v>
      </c>
      <c r="F4138" s="2" t="s">
        <v>289</v>
      </c>
      <c r="G4138" s="2" t="s">
        <v>22</v>
      </c>
      <c r="H4138" s="2" t="s">
        <v>23</v>
      </c>
      <c r="I4138" s="2" t="s">
        <v>23</v>
      </c>
      <c r="J4138" s="2">
        <v>41</v>
      </c>
      <c r="K4138" s="2" t="s">
        <v>129</v>
      </c>
      <c r="L4138" s="2">
        <v>801</v>
      </c>
      <c r="M4138" s="2" t="s">
        <v>56</v>
      </c>
      <c r="N4138" s="2">
        <v>12</v>
      </c>
      <c r="O4138" s="2">
        <v>200469.66</v>
      </c>
      <c r="P4138" s="2">
        <v>16705.810000000001</v>
      </c>
    </row>
    <row r="4139" spans="1:16" outlineLevel="2" x14ac:dyDescent="0.2">
      <c r="A4139" s="5">
        <v>46192</v>
      </c>
      <c r="B4139" s="2">
        <v>160295</v>
      </c>
      <c r="C4139" s="2">
        <v>14</v>
      </c>
      <c r="D4139" s="2" t="s">
        <v>45</v>
      </c>
      <c r="E4139" s="2" t="s">
        <v>604</v>
      </c>
      <c r="F4139" s="2" t="s">
        <v>289</v>
      </c>
      <c r="G4139" s="2" t="s">
        <v>22</v>
      </c>
      <c r="H4139" s="2" t="s">
        <v>23</v>
      </c>
      <c r="I4139" s="2" t="s">
        <v>23</v>
      </c>
      <c r="J4139" s="2">
        <v>41</v>
      </c>
      <c r="K4139" s="2" t="s">
        <v>129</v>
      </c>
      <c r="L4139" s="2">
        <v>801</v>
      </c>
      <c r="M4139" s="2" t="s">
        <v>56</v>
      </c>
      <c r="N4139" s="2">
        <v>6</v>
      </c>
      <c r="O4139" s="2">
        <v>117668.19</v>
      </c>
      <c r="P4139" s="2">
        <v>19611.37</v>
      </c>
    </row>
    <row r="4140" spans="1:16" outlineLevel="1" x14ac:dyDescent="0.2">
      <c r="A4140" s="5"/>
      <c r="D4140" s="3" t="s">
        <v>733</v>
      </c>
      <c r="N4140" s="2">
        <f>SUBTOTAL(9,N4135:N4139)</f>
        <v>104</v>
      </c>
      <c r="O4140" s="2">
        <f>SUBTOTAL(9,O4135:O4139)</f>
        <v>1985401.9599999997</v>
      </c>
      <c r="P4140" s="2">
        <f>+O4140/N4140</f>
        <v>19090.403461538459</v>
      </c>
    </row>
    <row r="4141" spans="1:16" outlineLevel="2" x14ac:dyDescent="0.2">
      <c r="A4141" s="5">
        <v>46192</v>
      </c>
      <c r="B4141" s="2">
        <v>160295</v>
      </c>
      <c r="C4141" s="2">
        <v>16</v>
      </c>
      <c r="D4141" s="2" t="s">
        <v>226</v>
      </c>
      <c r="E4141" s="2" t="s">
        <v>581</v>
      </c>
      <c r="F4141" s="2" t="s">
        <v>289</v>
      </c>
      <c r="G4141" s="2" t="s">
        <v>22</v>
      </c>
      <c r="H4141" s="2" t="s">
        <v>23</v>
      </c>
      <c r="I4141" s="2" t="s">
        <v>23</v>
      </c>
      <c r="J4141" s="2">
        <v>41</v>
      </c>
      <c r="K4141" s="2" t="s">
        <v>129</v>
      </c>
      <c r="L4141" s="2">
        <v>801</v>
      </c>
      <c r="M4141" s="2" t="s">
        <v>56</v>
      </c>
      <c r="N4141" s="2">
        <v>40</v>
      </c>
      <c r="O4141" s="2">
        <v>878420.93</v>
      </c>
      <c r="P4141" s="2">
        <v>21960.52</v>
      </c>
    </row>
    <row r="4142" spans="1:16" outlineLevel="2" x14ac:dyDescent="0.2">
      <c r="A4142" s="5">
        <v>46192</v>
      </c>
      <c r="B4142" s="2">
        <v>160295</v>
      </c>
      <c r="C4142" s="2">
        <v>18</v>
      </c>
      <c r="D4142" s="2" t="s">
        <v>226</v>
      </c>
      <c r="E4142" s="2" t="s">
        <v>568</v>
      </c>
      <c r="F4142" s="2" t="s">
        <v>289</v>
      </c>
      <c r="G4142" s="2" t="s">
        <v>22</v>
      </c>
      <c r="H4142" s="2" t="s">
        <v>23</v>
      </c>
      <c r="I4142" s="2" t="s">
        <v>23</v>
      </c>
      <c r="J4142" s="2">
        <v>41</v>
      </c>
      <c r="K4142" s="2" t="s">
        <v>129</v>
      </c>
      <c r="L4142" s="2">
        <v>801</v>
      </c>
      <c r="M4142" s="2" t="s">
        <v>56</v>
      </c>
      <c r="N4142" s="2">
        <v>23</v>
      </c>
      <c r="O4142" s="2">
        <v>523247.45</v>
      </c>
      <c r="P4142" s="2">
        <v>22749.89</v>
      </c>
    </row>
    <row r="4143" spans="1:16" outlineLevel="2" x14ac:dyDescent="0.2">
      <c r="A4143" s="5">
        <v>46192</v>
      </c>
      <c r="B4143" s="2">
        <v>160295</v>
      </c>
      <c r="C4143" s="2">
        <v>20</v>
      </c>
      <c r="D4143" s="2" t="s">
        <v>226</v>
      </c>
      <c r="E4143" s="2" t="s">
        <v>586</v>
      </c>
      <c r="F4143" s="2" t="s">
        <v>289</v>
      </c>
      <c r="G4143" s="2" t="s">
        <v>22</v>
      </c>
      <c r="H4143" s="2" t="s">
        <v>23</v>
      </c>
      <c r="I4143" s="2" t="s">
        <v>23</v>
      </c>
      <c r="J4143" s="2">
        <v>41</v>
      </c>
      <c r="K4143" s="2" t="s">
        <v>129</v>
      </c>
      <c r="L4143" s="2">
        <v>801</v>
      </c>
      <c r="M4143" s="2" t="s">
        <v>56</v>
      </c>
      <c r="N4143" s="2">
        <v>24</v>
      </c>
      <c r="O4143" s="2">
        <v>469739.31</v>
      </c>
      <c r="P4143" s="2">
        <v>19572.47</v>
      </c>
    </row>
    <row r="4144" spans="1:16" outlineLevel="1" x14ac:dyDescent="0.2">
      <c r="A4144" s="5"/>
      <c r="D4144" s="3" t="s">
        <v>736</v>
      </c>
      <c r="N4144" s="2">
        <f>SUBTOTAL(9,N4141:N4143)</f>
        <v>87</v>
      </c>
      <c r="O4144" s="2">
        <f>SUBTOTAL(9,O4141:O4143)</f>
        <v>1871407.6900000002</v>
      </c>
      <c r="P4144" s="2">
        <f>+O4144/N4144</f>
        <v>21510.433218390808</v>
      </c>
    </row>
    <row r="4145" spans="1:16" outlineLevel="2" x14ac:dyDescent="0.2">
      <c r="A4145" s="5">
        <v>46195</v>
      </c>
      <c r="B4145" s="2">
        <v>160295</v>
      </c>
      <c r="C4145" s="2">
        <v>306</v>
      </c>
      <c r="D4145" s="2" t="s">
        <v>54</v>
      </c>
      <c r="E4145" s="2" t="s">
        <v>30</v>
      </c>
      <c r="F4145" s="2" t="s">
        <v>23</v>
      </c>
      <c r="G4145" s="2" t="s">
        <v>22</v>
      </c>
      <c r="H4145" s="2" t="s">
        <v>23</v>
      </c>
      <c r="I4145" s="2" t="s">
        <v>23</v>
      </c>
      <c r="J4145" s="2">
        <v>2</v>
      </c>
      <c r="K4145" s="2" t="s">
        <v>48</v>
      </c>
      <c r="L4145" s="2">
        <v>801</v>
      </c>
      <c r="M4145" s="2" t="s">
        <v>56</v>
      </c>
      <c r="N4145" s="2">
        <v>11</v>
      </c>
      <c r="O4145" s="2">
        <v>94689.09</v>
      </c>
      <c r="P4145" s="2">
        <v>8608.1</v>
      </c>
    </row>
    <row r="4146" spans="1:16" outlineLevel="2" x14ac:dyDescent="0.2">
      <c r="A4146" s="5">
        <v>46195</v>
      </c>
      <c r="B4146" s="2">
        <v>160295</v>
      </c>
      <c r="C4146" s="2">
        <v>307</v>
      </c>
      <c r="D4146" s="2" t="s">
        <v>54</v>
      </c>
      <c r="E4146" s="2" t="s">
        <v>151</v>
      </c>
      <c r="F4146" s="2" t="s">
        <v>23</v>
      </c>
      <c r="G4146" s="2" t="s">
        <v>22</v>
      </c>
      <c r="H4146" s="2" t="s">
        <v>23</v>
      </c>
      <c r="I4146" s="2" t="s">
        <v>23</v>
      </c>
      <c r="J4146" s="2">
        <v>2</v>
      </c>
      <c r="K4146" s="2" t="s">
        <v>48</v>
      </c>
      <c r="L4146" s="2">
        <v>801</v>
      </c>
      <c r="M4146" s="2" t="s">
        <v>56</v>
      </c>
      <c r="N4146" s="2">
        <v>1</v>
      </c>
      <c r="O4146" s="2">
        <v>10899.26</v>
      </c>
      <c r="P4146" s="2">
        <v>10899.26</v>
      </c>
    </row>
    <row r="4147" spans="1:16" outlineLevel="1" x14ac:dyDescent="0.2">
      <c r="A4147" s="5"/>
      <c r="D4147" s="3" t="s">
        <v>719</v>
      </c>
      <c r="N4147" s="2">
        <f>SUBTOTAL(9,N4145:N4146)</f>
        <v>12</v>
      </c>
      <c r="O4147" s="2">
        <f>SUBTOTAL(9,O4145:O4146)</f>
        <v>105588.34999999999</v>
      </c>
      <c r="P4147" s="2">
        <f>+O4147/N4147</f>
        <v>8799.0291666666653</v>
      </c>
    </row>
    <row r="4148" spans="1:16" outlineLevel="2" x14ac:dyDescent="0.2">
      <c r="A4148" s="5">
        <v>46195</v>
      </c>
      <c r="B4148" s="2">
        <v>160297</v>
      </c>
      <c r="C4148" s="2">
        <v>1</v>
      </c>
      <c r="D4148" s="2" t="s">
        <v>19</v>
      </c>
      <c r="E4148" s="2" t="s">
        <v>20</v>
      </c>
      <c r="F4148" s="2" t="s">
        <v>21</v>
      </c>
      <c r="G4148" s="2" t="s">
        <v>22</v>
      </c>
      <c r="H4148" s="2" t="s">
        <v>23</v>
      </c>
      <c r="I4148" s="2" t="s">
        <v>496</v>
      </c>
      <c r="J4148" s="2">
        <v>40</v>
      </c>
      <c r="K4148" s="2" t="s">
        <v>43</v>
      </c>
      <c r="L4148" s="2">
        <v>25205</v>
      </c>
      <c r="M4148" s="2" t="s">
        <v>171</v>
      </c>
      <c r="N4148" s="2">
        <v>80</v>
      </c>
      <c r="O4148" s="2">
        <v>5970907.71</v>
      </c>
      <c r="P4148" s="2">
        <v>74636.350000000006</v>
      </c>
    </row>
    <row r="4149" spans="1:16" outlineLevel="2" x14ac:dyDescent="0.2">
      <c r="A4149" s="5">
        <v>46195</v>
      </c>
      <c r="B4149" s="2">
        <v>160297</v>
      </c>
      <c r="C4149" s="2">
        <v>2</v>
      </c>
      <c r="D4149" s="2" t="s">
        <v>19</v>
      </c>
      <c r="E4149" s="2" t="s">
        <v>20</v>
      </c>
      <c r="F4149" s="2" t="s">
        <v>21</v>
      </c>
      <c r="G4149" s="2" t="s">
        <v>22</v>
      </c>
      <c r="H4149" s="2" t="s">
        <v>23</v>
      </c>
      <c r="I4149" s="2" t="s">
        <v>593</v>
      </c>
      <c r="J4149" s="2">
        <v>40</v>
      </c>
      <c r="K4149" s="2" t="s">
        <v>43</v>
      </c>
      <c r="L4149" s="2">
        <v>25205</v>
      </c>
      <c r="M4149" s="2" t="s">
        <v>171</v>
      </c>
      <c r="N4149" s="2">
        <v>39</v>
      </c>
      <c r="O4149" s="2">
        <v>2926011.27</v>
      </c>
      <c r="P4149" s="2">
        <v>75025.929999999993</v>
      </c>
    </row>
    <row r="4150" spans="1:16" outlineLevel="2" x14ac:dyDescent="0.2">
      <c r="A4150" s="5">
        <v>46195</v>
      </c>
      <c r="B4150" s="2">
        <v>160297</v>
      </c>
      <c r="C4150" s="2">
        <v>3</v>
      </c>
      <c r="D4150" s="2" t="s">
        <v>19</v>
      </c>
      <c r="E4150" s="2" t="s">
        <v>20</v>
      </c>
      <c r="F4150" s="2" t="s">
        <v>21</v>
      </c>
      <c r="G4150" s="2" t="s">
        <v>22</v>
      </c>
      <c r="H4150" s="2" t="s">
        <v>23</v>
      </c>
      <c r="I4150" s="2" t="s">
        <v>605</v>
      </c>
      <c r="J4150" s="2">
        <v>40</v>
      </c>
      <c r="K4150" s="2" t="s">
        <v>43</v>
      </c>
      <c r="L4150" s="2">
        <v>25205</v>
      </c>
      <c r="M4150" s="2" t="s">
        <v>171</v>
      </c>
      <c r="N4150" s="2">
        <v>16</v>
      </c>
      <c r="O4150" s="2">
        <v>1189969.9199999999</v>
      </c>
      <c r="P4150" s="2">
        <v>74373.119999999995</v>
      </c>
    </row>
    <row r="4151" spans="1:16" outlineLevel="1" x14ac:dyDescent="0.2">
      <c r="A4151" s="5"/>
      <c r="D4151" s="3" t="s">
        <v>704</v>
      </c>
      <c r="N4151" s="2">
        <f>SUBTOTAL(9,N4148:N4150)</f>
        <v>135</v>
      </c>
      <c r="O4151" s="2">
        <f>SUBTOTAL(9,O4148:O4150)</f>
        <v>10086888.9</v>
      </c>
      <c r="P4151" s="2">
        <f>+O4151/N4151</f>
        <v>74717.695555555561</v>
      </c>
    </row>
    <row r="4152" spans="1:16" outlineLevel="2" x14ac:dyDescent="0.2">
      <c r="A4152" s="5">
        <v>46199</v>
      </c>
      <c r="B4152" s="2">
        <v>160298</v>
      </c>
      <c r="C4152" s="2">
        <v>1</v>
      </c>
      <c r="D4152" s="2" t="s">
        <v>38</v>
      </c>
      <c r="E4152" s="2" t="s">
        <v>39</v>
      </c>
      <c r="F4152" s="2" t="s">
        <v>40</v>
      </c>
      <c r="G4152" s="2" t="s">
        <v>22</v>
      </c>
      <c r="H4152" s="2" t="s">
        <v>23</v>
      </c>
      <c r="I4152" s="2" t="s">
        <v>355</v>
      </c>
      <c r="J4152" s="2">
        <v>40</v>
      </c>
      <c r="K4152" s="2" t="s">
        <v>43</v>
      </c>
      <c r="L4152" s="2">
        <v>2579</v>
      </c>
      <c r="M4152" s="2" t="s">
        <v>44</v>
      </c>
      <c r="N4152" s="2">
        <v>1976</v>
      </c>
      <c r="O4152" s="2">
        <v>48809076.659999996</v>
      </c>
      <c r="P4152" s="2">
        <v>24700.95</v>
      </c>
    </row>
    <row r="4153" spans="1:16" outlineLevel="2" x14ac:dyDescent="0.2">
      <c r="A4153" s="5">
        <v>46202</v>
      </c>
      <c r="B4153" s="2">
        <v>160298</v>
      </c>
      <c r="C4153" s="2">
        <v>2</v>
      </c>
      <c r="D4153" s="2" t="s">
        <v>38</v>
      </c>
      <c r="E4153" s="2" t="s">
        <v>39</v>
      </c>
      <c r="F4153" s="2" t="s">
        <v>40</v>
      </c>
      <c r="G4153" s="2" t="s">
        <v>22</v>
      </c>
      <c r="H4153" s="2" t="s">
        <v>23</v>
      </c>
      <c r="I4153" s="2" t="s">
        <v>355</v>
      </c>
      <c r="J4153" s="2">
        <v>1</v>
      </c>
      <c r="K4153" s="2" t="s">
        <v>24</v>
      </c>
      <c r="L4153" s="2">
        <v>2579</v>
      </c>
      <c r="M4153" s="2" t="s">
        <v>44</v>
      </c>
      <c r="N4153" s="2">
        <v>96</v>
      </c>
      <c r="O4153" s="2">
        <v>2401683.2599999998</v>
      </c>
      <c r="P4153" s="2">
        <v>25017.53</v>
      </c>
    </row>
    <row r="4154" spans="1:16" outlineLevel="2" x14ac:dyDescent="0.2">
      <c r="A4154" s="5">
        <v>46195</v>
      </c>
      <c r="B4154" s="2">
        <v>160299</v>
      </c>
      <c r="C4154" s="2">
        <v>1</v>
      </c>
      <c r="D4154" s="2" t="s">
        <v>38</v>
      </c>
      <c r="E4154" s="2" t="s">
        <v>39</v>
      </c>
      <c r="F4154" s="2" t="s">
        <v>63</v>
      </c>
      <c r="G4154" s="2" t="s">
        <v>22</v>
      </c>
      <c r="H4154" s="2" t="s">
        <v>23</v>
      </c>
      <c r="I4154" s="2" t="s">
        <v>116</v>
      </c>
      <c r="J4154" s="2">
        <v>1</v>
      </c>
      <c r="K4154" s="2" t="s">
        <v>24</v>
      </c>
      <c r="L4154" s="2">
        <v>1846</v>
      </c>
      <c r="M4154" s="2" t="s">
        <v>134</v>
      </c>
      <c r="N4154" s="2">
        <v>1023</v>
      </c>
      <c r="O4154" s="2">
        <v>116378087.64</v>
      </c>
      <c r="P4154" s="2">
        <v>113761.57</v>
      </c>
    </row>
    <row r="4155" spans="1:16" outlineLevel="2" x14ac:dyDescent="0.2">
      <c r="A4155" s="5">
        <v>46195</v>
      </c>
      <c r="B4155" s="2">
        <v>160299</v>
      </c>
      <c r="C4155" s="2">
        <v>2</v>
      </c>
      <c r="D4155" s="2" t="s">
        <v>38</v>
      </c>
      <c r="E4155" s="2" t="s">
        <v>39</v>
      </c>
      <c r="F4155" s="2" t="s">
        <v>63</v>
      </c>
      <c r="G4155" s="2" t="s">
        <v>22</v>
      </c>
      <c r="H4155" s="2" t="s">
        <v>23</v>
      </c>
      <c r="I4155" s="2" t="s">
        <v>135</v>
      </c>
      <c r="J4155" s="2">
        <v>1</v>
      </c>
      <c r="K4155" s="2" t="s">
        <v>24</v>
      </c>
      <c r="L4155" s="2">
        <v>1846</v>
      </c>
      <c r="M4155" s="2" t="s">
        <v>134</v>
      </c>
      <c r="N4155" s="2">
        <v>699</v>
      </c>
      <c r="O4155" s="2">
        <v>79130609.230000004</v>
      </c>
      <c r="P4155" s="2">
        <v>113205.45</v>
      </c>
    </row>
    <row r="4156" spans="1:16" outlineLevel="1" x14ac:dyDescent="0.2">
      <c r="A4156" s="5"/>
      <c r="D4156" s="3" t="s">
        <v>721</v>
      </c>
      <c r="N4156" s="2">
        <f>SUBTOTAL(9,N4152:N4155)</f>
        <v>3794</v>
      </c>
      <c r="O4156" s="2">
        <f>SUBTOTAL(9,O4152:O4155)</f>
        <v>246719456.79000002</v>
      </c>
      <c r="P4156" s="2">
        <f>+O4156/N4156</f>
        <v>65028.849971006857</v>
      </c>
    </row>
    <row r="4157" spans="1:16" outlineLevel="2" x14ac:dyDescent="0.2">
      <c r="A4157" s="5">
        <v>46206</v>
      </c>
      <c r="B4157" s="2">
        <v>160334</v>
      </c>
      <c r="C4157" s="2">
        <v>4</v>
      </c>
      <c r="D4157" s="2" t="s">
        <v>57</v>
      </c>
      <c r="E4157" s="2" t="s">
        <v>259</v>
      </c>
      <c r="F4157" s="2" t="s">
        <v>23</v>
      </c>
      <c r="G4157" s="2" t="s">
        <v>22</v>
      </c>
      <c r="H4157" s="2" t="s">
        <v>23</v>
      </c>
      <c r="I4157" s="2" t="s">
        <v>23</v>
      </c>
      <c r="J4157" s="2">
        <v>1</v>
      </c>
      <c r="K4157" s="2" t="s">
        <v>24</v>
      </c>
      <c r="L4157" s="2">
        <v>226</v>
      </c>
      <c r="M4157" s="2" t="s">
        <v>59</v>
      </c>
      <c r="N4157" s="2">
        <v>16</v>
      </c>
      <c r="O4157" s="2">
        <v>383478.53</v>
      </c>
      <c r="P4157" s="2">
        <v>23967.41</v>
      </c>
    </row>
    <row r="4158" spans="1:16" outlineLevel="1" x14ac:dyDescent="0.2">
      <c r="A4158" s="5"/>
      <c r="D4158" s="3" t="s">
        <v>716</v>
      </c>
      <c r="N4158" s="2">
        <f>SUBTOTAL(9,N4157:N4157)</f>
        <v>16</v>
      </c>
      <c r="O4158" s="2">
        <f>SUBTOTAL(9,O4157:O4157)</f>
        <v>383478.53</v>
      </c>
      <c r="P4158" s="2">
        <f>+O4158/N4158</f>
        <v>23967.408125000002</v>
      </c>
    </row>
    <row r="4159" spans="1:16" outlineLevel="2" x14ac:dyDescent="0.2">
      <c r="A4159" s="5">
        <v>46197</v>
      </c>
      <c r="B4159" s="2">
        <v>160339</v>
      </c>
      <c r="C4159" s="2">
        <v>1</v>
      </c>
      <c r="D4159" s="2" t="s">
        <v>45</v>
      </c>
      <c r="E4159" s="2" t="s">
        <v>125</v>
      </c>
      <c r="F4159" s="2" t="s">
        <v>63</v>
      </c>
      <c r="G4159" s="2" t="s">
        <v>23</v>
      </c>
      <c r="H4159" s="2" t="s">
        <v>23</v>
      </c>
      <c r="I4159" s="2" t="s">
        <v>23</v>
      </c>
      <c r="J4159" s="2">
        <v>40</v>
      </c>
      <c r="K4159" s="2" t="s">
        <v>43</v>
      </c>
      <c r="L4159" s="2">
        <v>21</v>
      </c>
      <c r="M4159" s="2" t="s">
        <v>118</v>
      </c>
      <c r="N4159" s="2">
        <v>98</v>
      </c>
      <c r="O4159" s="2">
        <v>4484184.87</v>
      </c>
      <c r="P4159" s="2">
        <v>45756.99</v>
      </c>
    </row>
    <row r="4160" spans="1:16" outlineLevel="1" x14ac:dyDescent="0.2">
      <c r="A4160" s="5"/>
      <c r="D4160" s="3" t="s">
        <v>733</v>
      </c>
      <c r="N4160" s="2">
        <f>SUBTOTAL(9,N4159:N4159)</f>
        <v>98</v>
      </c>
      <c r="O4160" s="2">
        <f>SUBTOTAL(9,O4159:O4159)</f>
        <v>4484184.87</v>
      </c>
      <c r="P4160" s="2">
        <f>+O4160/N4160</f>
        <v>45756.988469387754</v>
      </c>
    </row>
    <row r="4161" spans="1:16" outlineLevel="2" x14ac:dyDescent="0.2">
      <c r="A4161" s="5">
        <v>46195</v>
      </c>
      <c r="B4161" s="2">
        <v>160340</v>
      </c>
      <c r="C4161" s="2">
        <v>2</v>
      </c>
      <c r="D4161" s="2" t="s">
        <v>197</v>
      </c>
      <c r="E4161" s="2" t="s">
        <v>538</v>
      </c>
      <c r="F4161" s="2" t="s">
        <v>40</v>
      </c>
      <c r="G4161" s="2" t="s">
        <v>22</v>
      </c>
      <c r="H4161" s="2" t="s">
        <v>23</v>
      </c>
      <c r="I4161" s="2" t="s">
        <v>23</v>
      </c>
      <c r="J4161" s="2">
        <v>1</v>
      </c>
      <c r="K4161" s="2" t="s">
        <v>24</v>
      </c>
      <c r="L4161" s="2">
        <v>2541</v>
      </c>
      <c r="M4161" s="2" t="s">
        <v>534</v>
      </c>
      <c r="N4161" s="2">
        <v>1078</v>
      </c>
      <c r="O4161" s="2">
        <v>68769045.099999994</v>
      </c>
      <c r="P4161" s="2">
        <v>63793.18</v>
      </c>
    </row>
    <row r="4162" spans="1:16" outlineLevel="1" x14ac:dyDescent="0.2">
      <c r="A4162" s="5"/>
      <c r="D4162" s="3" t="s">
        <v>734</v>
      </c>
      <c r="N4162" s="2">
        <f>SUBTOTAL(9,N4161:N4161)</f>
        <v>1078</v>
      </c>
      <c r="O4162" s="2">
        <f>SUBTOTAL(9,O4161:O4161)</f>
        <v>68769045.099999994</v>
      </c>
      <c r="P4162" s="2">
        <f>+O4162/N4162</f>
        <v>63793.177272727269</v>
      </c>
    </row>
    <row r="4163" spans="1:16" outlineLevel="2" x14ac:dyDescent="0.2">
      <c r="A4163" s="5">
        <v>46195</v>
      </c>
      <c r="B4163" s="2">
        <v>160341</v>
      </c>
      <c r="C4163" s="2">
        <v>1</v>
      </c>
      <c r="D4163" s="2" t="s">
        <v>150</v>
      </c>
      <c r="E4163" s="2" t="s">
        <v>606</v>
      </c>
      <c r="F4163" s="2" t="s">
        <v>40</v>
      </c>
      <c r="G4163" s="2" t="s">
        <v>22</v>
      </c>
      <c r="H4163" s="2" t="s">
        <v>23</v>
      </c>
      <c r="I4163" s="2" t="s">
        <v>320</v>
      </c>
      <c r="J4163" s="2">
        <v>1</v>
      </c>
      <c r="K4163" s="2" t="s">
        <v>24</v>
      </c>
      <c r="L4163" s="2">
        <v>25077</v>
      </c>
      <c r="M4163" s="2" t="s">
        <v>607</v>
      </c>
      <c r="N4163" s="2">
        <v>266</v>
      </c>
      <c r="O4163" s="2">
        <v>9215975.25</v>
      </c>
      <c r="P4163" s="2">
        <v>34646.519999999997</v>
      </c>
    </row>
    <row r="4164" spans="1:16" outlineLevel="2" x14ac:dyDescent="0.2">
      <c r="A4164" s="5">
        <v>46195</v>
      </c>
      <c r="B4164" s="2">
        <v>160341</v>
      </c>
      <c r="C4164" s="2">
        <v>2</v>
      </c>
      <c r="D4164" s="2" t="s">
        <v>150</v>
      </c>
      <c r="E4164" s="2" t="s">
        <v>606</v>
      </c>
      <c r="F4164" s="2" t="s">
        <v>40</v>
      </c>
      <c r="G4164" s="2" t="s">
        <v>22</v>
      </c>
      <c r="H4164" s="2" t="s">
        <v>23</v>
      </c>
      <c r="I4164" s="2" t="s">
        <v>455</v>
      </c>
      <c r="J4164" s="2">
        <v>1</v>
      </c>
      <c r="K4164" s="2" t="s">
        <v>24</v>
      </c>
      <c r="L4164" s="2">
        <v>25077</v>
      </c>
      <c r="M4164" s="2" t="s">
        <v>607</v>
      </c>
      <c r="N4164" s="2">
        <v>168</v>
      </c>
      <c r="O4164" s="2">
        <v>6352145.5499999998</v>
      </c>
      <c r="P4164" s="2">
        <v>37810.39</v>
      </c>
    </row>
    <row r="4165" spans="1:16" outlineLevel="2" x14ac:dyDescent="0.2">
      <c r="A4165" s="5">
        <v>46195</v>
      </c>
      <c r="B4165" s="2">
        <v>160341</v>
      </c>
      <c r="C4165" s="2">
        <v>3</v>
      </c>
      <c r="D4165" s="2" t="s">
        <v>150</v>
      </c>
      <c r="E4165" s="2" t="s">
        <v>608</v>
      </c>
      <c r="F4165" s="2" t="s">
        <v>40</v>
      </c>
      <c r="G4165" s="2" t="s">
        <v>22</v>
      </c>
      <c r="H4165" s="2" t="s">
        <v>23</v>
      </c>
      <c r="I4165" s="2" t="s">
        <v>36</v>
      </c>
      <c r="J4165" s="2">
        <v>1</v>
      </c>
      <c r="K4165" s="2" t="s">
        <v>24</v>
      </c>
      <c r="L4165" s="2">
        <v>25077</v>
      </c>
      <c r="M4165" s="2" t="s">
        <v>607</v>
      </c>
      <c r="N4165" s="2">
        <v>120</v>
      </c>
      <c r="O4165" s="2">
        <v>4211181.7699999996</v>
      </c>
      <c r="P4165" s="2">
        <v>35093.18</v>
      </c>
    </row>
    <row r="4166" spans="1:16" outlineLevel="1" x14ac:dyDescent="0.2">
      <c r="A4166" s="5"/>
      <c r="D4166" s="3" t="s">
        <v>718</v>
      </c>
      <c r="N4166" s="2">
        <f>SUBTOTAL(9,N4163:N4165)</f>
        <v>554</v>
      </c>
      <c r="O4166" s="2">
        <f>SUBTOTAL(9,O4163:O4165)</f>
        <v>19779302.57</v>
      </c>
      <c r="P4166" s="2">
        <f>+O4166/N4166</f>
        <v>35702.712220216607</v>
      </c>
    </row>
    <row r="4167" spans="1:16" outlineLevel="2" x14ac:dyDescent="0.2">
      <c r="A4167" s="5">
        <v>46195</v>
      </c>
      <c r="B4167" s="2">
        <v>160343</v>
      </c>
      <c r="C4167" s="2">
        <v>7</v>
      </c>
      <c r="D4167" s="2" t="s">
        <v>226</v>
      </c>
      <c r="E4167" s="2" t="s">
        <v>585</v>
      </c>
      <c r="F4167" s="2" t="s">
        <v>289</v>
      </c>
      <c r="G4167" s="2" t="s">
        <v>22</v>
      </c>
      <c r="H4167" s="2" t="s">
        <v>23</v>
      </c>
      <c r="I4167" s="2" t="s">
        <v>23</v>
      </c>
      <c r="J4167" s="2">
        <v>41</v>
      </c>
      <c r="K4167" s="2" t="s">
        <v>129</v>
      </c>
      <c r="L4167" s="2">
        <v>106</v>
      </c>
      <c r="M4167" s="2" t="s">
        <v>486</v>
      </c>
      <c r="N4167" s="2">
        <v>27</v>
      </c>
      <c r="O4167" s="2">
        <v>399374.36</v>
      </c>
      <c r="P4167" s="2">
        <v>14791.64</v>
      </c>
    </row>
    <row r="4168" spans="1:16" outlineLevel="1" x14ac:dyDescent="0.2">
      <c r="A4168" s="5"/>
      <c r="D4168" s="3" t="s">
        <v>736</v>
      </c>
      <c r="N4168" s="2">
        <f>SUBTOTAL(9,N4167:N4167)</f>
        <v>27</v>
      </c>
      <c r="O4168" s="2">
        <f>SUBTOTAL(9,O4167:O4167)</f>
        <v>399374.36</v>
      </c>
      <c r="P4168" s="2">
        <f>+O4168/N4168</f>
        <v>14791.642962962962</v>
      </c>
    </row>
    <row r="4169" spans="1:16" outlineLevel="2" x14ac:dyDescent="0.2">
      <c r="A4169" s="5">
        <v>46195</v>
      </c>
      <c r="B4169" s="2">
        <v>160344</v>
      </c>
      <c r="C4169" s="2">
        <v>9</v>
      </c>
      <c r="D4169" s="2" t="s">
        <v>45</v>
      </c>
      <c r="E4169" s="2" t="s">
        <v>590</v>
      </c>
      <c r="F4169" s="2" t="s">
        <v>289</v>
      </c>
      <c r="G4169" s="2" t="s">
        <v>22</v>
      </c>
      <c r="H4169" s="2" t="s">
        <v>23</v>
      </c>
      <c r="I4169" s="2" t="s">
        <v>23</v>
      </c>
      <c r="J4169" s="2">
        <v>41</v>
      </c>
      <c r="K4169" s="2" t="s">
        <v>129</v>
      </c>
      <c r="L4169" s="2">
        <v>801</v>
      </c>
      <c r="M4169" s="2" t="s">
        <v>56</v>
      </c>
      <c r="N4169" s="2">
        <v>40</v>
      </c>
      <c r="O4169" s="2">
        <v>1351042.8</v>
      </c>
      <c r="P4169" s="2">
        <v>33776.07</v>
      </c>
    </row>
    <row r="4170" spans="1:16" outlineLevel="2" x14ac:dyDescent="0.2">
      <c r="A4170" s="5">
        <v>46195</v>
      </c>
      <c r="B4170" s="2">
        <v>160344</v>
      </c>
      <c r="C4170" s="2">
        <v>10</v>
      </c>
      <c r="D4170" s="2" t="s">
        <v>45</v>
      </c>
      <c r="E4170" s="2" t="s">
        <v>590</v>
      </c>
      <c r="F4170" s="2" t="s">
        <v>289</v>
      </c>
      <c r="G4170" s="2" t="s">
        <v>22</v>
      </c>
      <c r="H4170" s="2" t="s">
        <v>23</v>
      </c>
      <c r="I4170" s="2" t="s">
        <v>23</v>
      </c>
      <c r="J4170" s="2">
        <v>41</v>
      </c>
      <c r="K4170" s="2" t="s">
        <v>129</v>
      </c>
      <c r="L4170" s="2">
        <v>801</v>
      </c>
      <c r="M4170" s="2" t="s">
        <v>56</v>
      </c>
      <c r="N4170" s="2">
        <v>81</v>
      </c>
      <c r="O4170" s="2">
        <v>1524863.97</v>
      </c>
      <c r="P4170" s="2">
        <v>18825.48</v>
      </c>
    </row>
    <row r="4171" spans="1:16" outlineLevel="2" x14ac:dyDescent="0.2">
      <c r="A4171" s="5">
        <v>46195</v>
      </c>
      <c r="B4171" s="2">
        <v>160344</v>
      </c>
      <c r="C4171" s="2">
        <v>12</v>
      </c>
      <c r="D4171" s="2" t="s">
        <v>45</v>
      </c>
      <c r="E4171" s="2" t="s">
        <v>592</v>
      </c>
      <c r="F4171" s="2" t="s">
        <v>289</v>
      </c>
      <c r="G4171" s="2" t="s">
        <v>22</v>
      </c>
      <c r="H4171" s="2" t="s">
        <v>23</v>
      </c>
      <c r="I4171" s="2" t="s">
        <v>23</v>
      </c>
      <c r="J4171" s="2">
        <v>41</v>
      </c>
      <c r="K4171" s="2" t="s">
        <v>129</v>
      </c>
      <c r="L4171" s="2">
        <v>801</v>
      </c>
      <c r="M4171" s="2" t="s">
        <v>56</v>
      </c>
      <c r="N4171" s="2">
        <v>2</v>
      </c>
      <c r="O4171" s="2">
        <v>27399.16</v>
      </c>
      <c r="P4171" s="2">
        <v>13699.58</v>
      </c>
    </row>
    <row r="4172" spans="1:16" outlineLevel="2" x14ac:dyDescent="0.2">
      <c r="A4172" s="5">
        <v>46195</v>
      </c>
      <c r="B4172" s="2">
        <v>160344</v>
      </c>
      <c r="C4172" s="2">
        <v>13</v>
      </c>
      <c r="D4172" s="2" t="s">
        <v>45</v>
      </c>
      <c r="E4172" s="2" t="s">
        <v>604</v>
      </c>
      <c r="F4172" s="2" t="s">
        <v>289</v>
      </c>
      <c r="G4172" s="2" t="s">
        <v>22</v>
      </c>
      <c r="H4172" s="2" t="s">
        <v>23</v>
      </c>
      <c r="I4172" s="2" t="s">
        <v>23</v>
      </c>
      <c r="J4172" s="2">
        <v>41</v>
      </c>
      <c r="K4172" s="2" t="s">
        <v>129</v>
      </c>
      <c r="L4172" s="2">
        <v>801</v>
      </c>
      <c r="M4172" s="2" t="s">
        <v>56</v>
      </c>
      <c r="N4172" s="2">
        <v>11</v>
      </c>
      <c r="O4172" s="2">
        <v>256174.1</v>
      </c>
      <c r="P4172" s="2">
        <v>23288.55</v>
      </c>
    </row>
    <row r="4173" spans="1:16" outlineLevel="2" x14ac:dyDescent="0.2">
      <c r="A4173" s="5">
        <v>46195</v>
      </c>
      <c r="B4173" s="2">
        <v>160344</v>
      </c>
      <c r="C4173" s="2">
        <v>15</v>
      </c>
      <c r="D4173" s="2" t="s">
        <v>45</v>
      </c>
      <c r="E4173" s="2" t="s">
        <v>598</v>
      </c>
      <c r="F4173" s="2" t="s">
        <v>289</v>
      </c>
      <c r="G4173" s="2" t="s">
        <v>22</v>
      </c>
      <c r="H4173" s="2" t="s">
        <v>23</v>
      </c>
      <c r="I4173" s="2" t="s">
        <v>23</v>
      </c>
      <c r="J4173" s="2">
        <v>41</v>
      </c>
      <c r="K4173" s="2" t="s">
        <v>129</v>
      </c>
      <c r="L4173" s="2">
        <v>801</v>
      </c>
      <c r="M4173" s="2" t="s">
        <v>56</v>
      </c>
      <c r="N4173" s="2">
        <v>4</v>
      </c>
      <c r="O4173" s="2">
        <v>66905.58</v>
      </c>
      <c r="P4173" s="2">
        <v>16726.400000000001</v>
      </c>
    </row>
    <row r="4174" spans="1:16" outlineLevel="2" x14ac:dyDescent="0.2">
      <c r="A4174" s="5">
        <v>46195</v>
      </c>
      <c r="B4174" s="2">
        <v>160344</v>
      </c>
      <c r="C4174" s="2">
        <v>16</v>
      </c>
      <c r="D4174" s="2" t="s">
        <v>45</v>
      </c>
      <c r="E4174" s="2" t="s">
        <v>558</v>
      </c>
      <c r="F4174" s="2" t="s">
        <v>289</v>
      </c>
      <c r="G4174" s="2" t="s">
        <v>22</v>
      </c>
      <c r="H4174" s="2" t="s">
        <v>23</v>
      </c>
      <c r="I4174" s="2" t="s">
        <v>23</v>
      </c>
      <c r="J4174" s="2">
        <v>41</v>
      </c>
      <c r="K4174" s="2" t="s">
        <v>129</v>
      </c>
      <c r="L4174" s="2">
        <v>801</v>
      </c>
      <c r="M4174" s="2" t="s">
        <v>56</v>
      </c>
      <c r="N4174" s="2">
        <v>55</v>
      </c>
      <c r="O4174" s="2">
        <v>1246882.33</v>
      </c>
      <c r="P4174" s="2">
        <v>22670.59</v>
      </c>
    </row>
    <row r="4175" spans="1:16" outlineLevel="1" x14ac:dyDescent="0.2">
      <c r="A4175" s="5"/>
      <c r="D4175" s="3" t="s">
        <v>733</v>
      </c>
      <c r="N4175" s="2">
        <f>SUBTOTAL(9,N4169:N4174)</f>
        <v>193</v>
      </c>
      <c r="O4175" s="2">
        <f>SUBTOTAL(9,O4169:O4174)</f>
        <v>4473267.9400000004</v>
      </c>
      <c r="P4175" s="2">
        <f>+O4175/N4175</f>
        <v>23177.554093264251</v>
      </c>
    </row>
    <row r="4176" spans="1:16" outlineLevel="2" x14ac:dyDescent="0.2">
      <c r="A4176" s="5">
        <v>46195</v>
      </c>
      <c r="B4176" s="2">
        <v>160344</v>
      </c>
      <c r="C4176" s="2">
        <v>18</v>
      </c>
      <c r="D4176" s="2" t="s">
        <v>226</v>
      </c>
      <c r="E4176" s="2" t="s">
        <v>581</v>
      </c>
      <c r="F4176" s="2" t="s">
        <v>289</v>
      </c>
      <c r="G4176" s="2" t="s">
        <v>22</v>
      </c>
      <c r="H4176" s="2" t="s">
        <v>23</v>
      </c>
      <c r="I4176" s="2" t="s">
        <v>23</v>
      </c>
      <c r="J4176" s="2">
        <v>41</v>
      </c>
      <c r="K4176" s="2" t="s">
        <v>129</v>
      </c>
      <c r="L4176" s="2">
        <v>801</v>
      </c>
      <c r="M4176" s="2" t="s">
        <v>56</v>
      </c>
      <c r="N4176" s="2">
        <v>28</v>
      </c>
      <c r="O4176" s="2">
        <v>595424.24</v>
      </c>
      <c r="P4176" s="2">
        <v>21265.15</v>
      </c>
    </row>
    <row r="4177" spans="1:16" outlineLevel="2" x14ac:dyDescent="0.2">
      <c r="A4177" s="5">
        <v>46195</v>
      </c>
      <c r="B4177" s="2">
        <v>160344</v>
      </c>
      <c r="C4177" s="2">
        <v>19</v>
      </c>
      <c r="D4177" s="2" t="s">
        <v>226</v>
      </c>
      <c r="E4177" s="2" t="s">
        <v>581</v>
      </c>
      <c r="F4177" s="2" t="s">
        <v>289</v>
      </c>
      <c r="G4177" s="2" t="s">
        <v>22</v>
      </c>
      <c r="H4177" s="2" t="s">
        <v>23</v>
      </c>
      <c r="I4177" s="2" t="s">
        <v>23</v>
      </c>
      <c r="J4177" s="2">
        <v>41</v>
      </c>
      <c r="K4177" s="2" t="s">
        <v>129</v>
      </c>
      <c r="L4177" s="2">
        <v>801</v>
      </c>
      <c r="M4177" s="2" t="s">
        <v>56</v>
      </c>
      <c r="N4177" s="2">
        <v>52</v>
      </c>
      <c r="O4177" s="2">
        <v>1151946.06</v>
      </c>
      <c r="P4177" s="2">
        <v>22152.81</v>
      </c>
    </row>
    <row r="4178" spans="1:16" outlineLevel="2" x14ac:dyDescent="0.2">
      <c r="A4178" s="5">
        <v>46195</v>
      </c>
      <c r="B4178" s="2">
        <v>160344</v>
      </c>
      <c r="C4178" s="2">
        <v>20</v>
      </c>
      <c r="D4178" s="2" t="s">
        <v>226</v>
      </c>
      <c r="E4178" s="2" t="s">
        <v>568</v>
      </c>
      <c r="F4178" s="2" t="s">
        <v>289</v>
      </c>
      <c r="G4178" s="2" t="s">
        <v>22</v>
      </c>
      <c r="H4178" s="2" t="s">
        <v>23</v>
      </c>
      <c r="I4178" s="2" t="s">
        <v>23</v>
      </c>
      <c r="J4178" s="2">
        <v>41</v>
      </c>
      <c r="K4178" s="2" t="s">
        <v>129</v>
      </c>
      <c r="L4178" s="2">
        <v>801</v>
      </c>
      <c r="M4178" s="2" t="s">
        <v>56</v>
      </c>
      <c r="N4178" s="2">
        <v>31</v>
      </c>
      <c r="O4178" s="2">
        <v>695961.12</v>
      </c>
      <c r="P4178" s="2">
        <v>22450.36</v>
      </c>
    </row>
    <row r="4179" spans="1:16" outlineLevel="2" x14ac:dyDescent="0.2">
      <c r="A4179" s="5">
        <v>46195</v>
      </c>
      <c r="B4179" s="2">
        <v>160344</v>
      </c>
      <c r="C4179" s="2">
        <v>22</v>
      </c>
      <c r="D4179" s="2" t="s">
        <v>226</v>
      </c>
      <c r="E4179" s="2" t="s">
        <v>586</v>
      </c>
      <c r="F4179" s="2" t="s">
        <v>289</v>
      </c>
      <c r="G4179" s="2" t="s">
        <v>22</v>
      </c>
      <c r="H4179" s="2" t="s">
        <v>23</v>
      </c>
      <c r="I4179" s="2" t="s">
        <v>23</v>
      </c>
      <c r="J4179" s="2">
        <v>41</v>
      </c>
      <c r="K4179" s="2" t="s">
        <v>129</v>
      </c>
      <c r="L4179" s="2">
        <v>801</v>
      </c>
      <c r="M4179" s="2" t="s">
        <v>56</v>
      </c>
      <c r="N4179" s="2">
        <v>16</v>
      </c>
      <c r="O4179" s="2">
        <v>316216.11</v>
      </c>
      <c r="P4179" s="2">
        <v>19763.509999999998</v>
      </c>
    </row>
    <row r="4180" spans="1:16" outlineLevel="2" x14ac:dyDescent="0.2">
      <c r="A4180" s="5">
        <v>46195</v>
      </c>
      <c r="B4180" s="2">
        <v>160344</v>
      </c>
      <c r="C4180" s="2">
        <v>25</v>
      </c>
      <c r="D4180" s="2" t="s">
        <v>226</v>
      </c>
      <c r="E4180" s="2" t="s">
        <v>151</v>
      </c>
      <c r="F4180" s="2" t="s">
        <v>289</v>
      </c>
      <c r="G4180" s="2" t="s">
        <v>22</v>
      </c>
      <c r="H4180" s="2" t="s">
        <v>23</v>
      </c>
      <c r="I4180" s="2" t="s">
        <v>23</v>
      </c>
      <c r="J4180" s="2">
        <v>41</v>
      </c>
      <c r="K4180" s="2" t="s">
        <v>129</v>
      </c>
      <c r="L4180" s="2">
        <v>801</v>
      </c>
      <c r="M4180" s="2" t="s">
        <v>56</v>
      </c>
      <c r="N4180" s="2">
        <v>16</v>
      </c>
      <c r="O4180" s="2">
        <v>318741.90999999997</v>
      </c>
      <c r="P4180" s="2">
        <v>19921.37</v>
      </c>
    </row>
    <row r="4181" spans="1:16" outlineLevel="1" x14ac:dyDescent="0.2">
      <c r="A4181" s="5"/>
      <c r="D4181" s="3" t="s">
        <v>736</v>
      </c>
      <c r="N4181" s="2">
        <f>SUBTOTAL(9,N4176:N4180)</f>
        <v>143</v>
      </c>
      <c r="O4181" s="2">
        <f>SUBTOTAL(9,O4176:O4180)</f>
        <v>3078289.44</v>
      </c>
      <c r="P4181" s="2">
        <f>+O4181/N4181</f>
        <v>21526.499580419579</v>
      </c>
    </row>
    <row r="4182" spans="1:16" outlineLevel="2" x14ac:dyDescent="0.2">
      <c r="A4182" s="5">
        <v>46197</v>
      </c>
      <c r="B4182" s="2">
        <v>160344</v>
      </c>
      <c r="C4182" s="2">
        <v>309</v>
      </c>
      <c r="D4182" s="2" t="s">
        <v>54</v>
      </c>
      <c r="E4182" s="2" t="s">
        <v>30</v>
      </c>
      <c r="F4182" s="2" t="s">
        <v>23</v>
      </c>
      <c r="G4182" s="2" t="s">
        <v>23</v>
      </c>
      <c r="H4182" s="2" t="s">
        <v>23</v>
      </c>
      <c r="I4182" s="2" t="s">
        <v>23</v>
      </c>
      <c r="J4182" s="2">
        <v>2</v>
      </c>
      <c r="K4182" s="2" t="s">
        <v>48</v>
      </c>
      <c r="L4182" s="2">
        <v>801</v>
      </c>
      <c r="M4182" s="2" t="s">
        <v>56</v>
      </c>
      <c r="N4182" s="2">
        <v>8</v>
      </c>
      <c r="O4182" s="2">
        <v>63858.16</v>
      </c>
      <c r="P4182" s="2">
        <v>7982.27</v>
      </c>
    </row>
    <row r="4183" spans="1:16" outlineLevel="1" x14ac:dyDescent="0.2">
      <c r="A4183" s="5"/>
      <c r="D4183" s="3" t="s">
        <v>719</v>
      </c>
      <c r="N4183" s="2">
        <f>SUBTOTAL(9,N4182:N4182)</f>
        <v>8</v>
      </c>
      <c r="O4183" s="2">
        <f>SUBTOTAL(9,O4182:O4182)</f>
        <v>63858.16</v>
      </c>
      <c r="P4183" s="2">
        <f>+O4183/N4183</f>
        <v>7982.27</v>
      </c>
    </row>
    <row r="4184" spans="1:16" outlineLevel="2" x14ac:dyDescent="0.2">
      <c r="A4184" s="5">
        <v>46202</v>
      </c>
      <c r="B4184" s="2">
        <v>160344</v>
      </c>
      <c r="C4184" s="2">
        <v>315</v>
      </c>
      <c r="D4184" s="2" t="s">
        <v>45</v>
      </c>
      <c r="E4184" s="2" t="s">
        <v>559</v>
      </c>
      <c r="F4184" s="2" t="s">
        <v>47</v>
      </c>
      <c r="G4184" s="2" t="s">
        <v>22</v>
      </c>
      <c r="H4184" s="2" t="s">
        <v>23</v>
      </c>
      <c r="I4184" s="2" t="s">
        <v>23</v>
      </c>
      <c r="J4184" s="2">
        <v>1</v>
      </c>
      <c r="K4184" s="2" t="s">
        <v>24</v>
      </c>
      <c r="L4184" s="2">
        <v>801</v>
      </c>
      <c r="M4184" s="2" t="s">
        <v>56</v>
      </c>
      <c r="N4184" s="2">
        <v>10</v>
      </c>
      <c r="O4184" s="2">
        <v>151903.41</v>
      </c>
      <c r="P4184" s="2">
        <v>15190.34</v>
      </c>
    </row>
    <row r="4185" spans="1:16" outlineLevel="1" x14ac:dyDescent="0.2">
      <c r="A4185" s="5"/>
      <c r="D4185" s="3" t="s">
        <v>733</v>
      </c>
      <c r="N4185" s="2">
        <f>SUBTOTAL(9,N4184:N4184)</f>
        <v>10</v>
      </c>
      <c r="O4185" s="2">
        <f>SUBTOTAL(9,O4184:O4184)</f>
        <v>151903.41</v>
      </c>
      <c r="P4185" s="2">
        <f>+O4185/N4185</f>
        <v>15190.341</v>
      </c>
    </row>
    <row r="4186" spans="1:16" outlineLevel="2" x14ac:dyDescent="0.2">
      <c r="A4186" s="5">
        <v>46218</v>
      </c>
      <c r="B4186" s="2">
        <v>160344</v>
      </c>
      <c r="C4186" s="2">
        <v>320</v>
      </c>
      <c r="D4186" s="2" t="s">
        <v>54</v>
      </c>
      <c r="E4186" s="2" t="s">
        <v>30</v>
      </c>
      <c r="F4186" s="2" t="s">
        <v>289</v>
      </c>
      <c r="G4186" s="2" t="s">
        <v>22</v>
      </c>
      <c r="H4186" s="2" t="s">
        <v>23</v>
      </c>
      <c r="I4186" s="2" t="s">
        <v>23</v>
      </c>
      <c r="J4186" s="2">
        <v>2</v>
      </c>
      <c r="K4186" s="2" t="s">
        <v>48</v>
      </c>
      <c r="L4186" s="2">
        <v>801</v>
      </c>
      <c r="M4186" s="2" t="s">
        <v>56</v>
      </c>
      <c r="N4186" s="2">
        <v>1</v>
      </c>
      <c r="O4186" s="2">
        <v>23967.42</v>
      </c>
      <c r="P4186" s="2">
        <v>23967.42</v>
      </c>
    </row>
    <row r="4187" spans="1:16" outlineLevel="1" x14ac:dyDescent="0.2">
      <c r="A4187" s="5"/>
      <c r="D4187" s="3" t="s">
        <v>719</v>
      </c>
      <c r="N4187" s="2">
        <f>SUBTOTAL(9,N4186:N4186)</f>
        <v>1</v>
      </c>
      <c r="O4187" s="2">
        <f>SUBTOTAL(9,O4186:O4186)</f>
        <v>23967.42</v>
      </c>
      <c r="P4187" s="2">
        <f>+O4187/N4187</f>
        <v>23967.42</v>
      </c>
    </row>
    <row r="4188" spans="1:16" outlineLevel="2" x14ac:dyDescent="0.2">
      <c r="A4188" s="5">
        <v>46216</v>
      </c>
      <c r="B4188" s="2">
        <v>160346</v>
      </c>
      <c r="C4188" s="2">
        <v>1</v>
      </c>
      <c r="D4188" s="2" t="s">
        <v>60</v>
      </c>
      <c r="E4188" s="2" t="s">
        <v>387</v>
      </c>
      <c r="F4188" s="2" t="s">
        <v>31</v>
      </c>
      <c r="G4188" s="2" t="s">
        <v>22</v>
      </c>
      <c r="H4188" s="2" t="s">
        <v>23</v>
      </c>
      <c r="I4188" s="2" t="s">
        <v>609</v>
      </c>
      <c r="J4188" s="2">
        <v>1</v>
      </c>
      <c r="K4188" s="2" t="s">
        <v>24</v>
      </c>
      <c r="L4188" s="2">
        <v>2353</v>
      </c>
      <c r="M4188" s="2" t="s">
        <v>347</v>
      </c>
      <c r="N4188" s="2">
        <v>43</v>
      </c>
      <c r="O4188" s="2">
        <v>326154.2</v>
      </c>
      <c r="P4188" s="2">
        <v>7584.98</v>
      </c>
    </row>
    <row r="4189" spans="1:16" outlineLevel="1" x14ac:dyDescent="0.2">
      <c r="A4189" s="5"/>
      <c r="D4189" s="3" t="s">
        <v>728</v>
      </c>
      <c r="N4189" s="2">
        <f>SUBTOTAL(9,N4188:N4188)</f>
        <v>43</v>
      </c>
      <c r="O4189" s="2">
        <f>SUBTOTAL(9,O4188:O4188)</f>
        <v>326154.2</v>
      </c>
      <c r="P4189" s="2">
        <f>+O4189/N4189</f>
        <v>7584.9813953488374</v>
      </c>
    </row>
    <row r="4190" spans="1:16" outlineLevel="2" x14ac:dyDescent="0.2">
      <c r="A4190" s="5">
        <v>46197</v>
      </c>
      <c r="B4190" s="2">
        <v>160360</v>
      </c>
      <c r="C4190" s="2">
        <v>501</v>
      </c>
      <c r="D4190" s="2" t="s">
        <v>54</v>
      </c>
      <c r="E4190" s="2" t="s">
        <v>30</v>
      </c>
      <c r="F4190" s="2" t="s">
        <v>23</v>
      </c>
      <c r="G4190" s="2" t="s">
        <v>22</v>
      </c>
      <c r="H4190" s="2" t="s">
        <v>23</v>
      </c>
      <c r="I4190" s="2" t="s">
        <v>23</v>
      </c>
      <c r="J4190" s="2">
        <v>2</v>
      </c>
      <c r="K4190" s="2" t="s">
        <v>48</v>
      </c>
      <c r="L4190" s="2">
        <v>626</v>
      </c>
      <c r="M4190" s="2" t="s">
        <v>49</v>
      </c>
      <c r="N4190" s="2">
        <v>4</v>
      </c>
      <c r="O4190" s="2">
        <v>30528.92</v>
      </c>
      <c r="P4190" s="2">
        <v>7632.23</v>
      </c>
    </row>
    <row r="4191" spans="1:16" outlineLevel="2" x14ac:dyDescent="0.2">
      <c r="A4191" s="5">
        <v>46204</v>
      </c>
      <c r="B4191" s="2">
        <v>160372</v>
      </c>
      <c r="C4191" s="2">
        <v>301</v>
      </c>
      <c r="D4191" s="2" t="s">
        <v>54</v>
      </c>
      <c r="E4191" s="2" t="s">
        <v>30</v>
      </c>
      <c r="F4191" s="2" t="s">
        <v>23</v>
      </c>
      <c r="G4191" s="2" t="s">
        <v>22</v>
      </c>
      <c r="H4191" s="2" t="s">
        <v>23</v>
      </c>
      <c r="I4191" s="2" t="s">
        <v>23</v>
      </c>
      <c r="J4191" s="2">
        <v>2</v>
      </c>
      <c r="K4191" s="2" t="s">
        <v>48</v>
      </c>
      <c r="L4191" s="2">
        <v>341</v>
      </c>
      <c r="M4191" s="2" t="s">
        <v>142</v>
      </c>
      <c r="N4191" s="2">
        <v>4</v>
      </c>
      <c r="O4191" s="2">
        <v>51064.56</v>
      </c>
      <c r="P4191" s="2">
        <v>12766.14</v>
      </c>
    </row>
    <row r="4192" spans="1:16" outlineLevel="1" x14ac:dyDescent="0.2">
      <c r="A4192" s="5"/>
      <c r="D4192" s="3" t="s">
        <v>719</v>
      </c>
      <c r="N4192" s="2">
        <f>SUBTOTAL(9,N4190:N4191)</f>
        <v>8</v>
      </c>
      <c r="O4192" s="2">
        <f>SUBTOTAL(9,O4190:O4191)</f>
        <v>81593.48</v>
      </c>
      <c r="P4192" s="2">
        <f>+O4192/N4192</f>
        <v>10199.184999999999</v>
      </c>
    </row>
    <row r="4193" spans="1:16" outlineLevel="2" x14ac:dyDescent="0.2">
      <c r="A4193" s="5">
        <v>46199</v>
      </c>
      <c r="B4193" s="2">
        <v>160377</v>
      </c>
      <c r="C4193" s="2">
        <v>1</v>
      </c>
      <c r="D4193" s="2" t="s">
        <v>45</v>
      </c>
      <c r="E4193" s="2" t="s">
        <v>125</v>
      </c>
      <c r="F4193" s="2" t="s">
        <v>23</v>
      </c>
      <c r="G4193" s="2" t="s">
        <v>22</v>
      </c>
      <c r="H4193" s="2" t="s">
        <v>23</v>
      </c>
      <c r="I4193" s="2" t="s">
        <v>23</v>
      </c>
      <c r="J4193" s="2">
        <v>40</v>
      </c>
      <c r="K4193" s="2" t="s">
        <v>43</v>
      </c>
      <c r="L4193" s="2">
        <v>25012</v>
      </c>
      <c r="M4193" s="2" t="s">
        <v>610</v>
      </c>
      <c r="N4193" s="2">
        <v>49</v>
      </c>
      <c r="O4193" s="2">
        <v>2289176.1800000002</v>
      </c>
      <c r="P4193" s="2">
        <v>46717.88</v>
      </c>
    </row>
    <row r="4194" spans="1:16" outlineLevel="1" x14ac:dyDescent="0.2">
      <c r="A4194" s="5"/>
      <c r="D4194" s="3" t="s">
        <v>733</v>
      </c>
      <c r="N4194" s="2">
        <f>SUBTOTAL(9,N4193:N4193)</f>
        <v>49</v>
      </c>
      <c r="O4194" s="2">
        <f>SUBTOTAL(9,O4193:O4193)</f>
        <v>2289176.1800000002</v>
      </c>
      <c r="P4194" s="2">
        <f>+O4194/N4194</f>
        <v>46717.8812244898</v>
      </c>
    </row>
    <row r="4195" spans="1:16" outlineLevel="2" x14ac:dyDescent="0.2">
      <c r="A4195" s="5">
        <v>46199</v>
      </c>
      <c r="B4195" s="2">
        <v>160381</v>
      </c>
      <c r="C4195" s="2">
        <v>1</v>
      </c>
      <c r="D4195" s="2" t="s">
        <v>140</v>
      </c>
      <c r="E4195" s="2" t="s">
        <v>55</v>
      </c>
      <c r="F4195" s="2" t="s">
        <v>23</v>
      </c>
      <c r="G4195" s="2" t="s">
        <v>22</v>
      </c>
      <c r="H4195" s="2" t="s">
        <v>23</v>
      </c>
      <c r="I4195" s="2" t="s">
        <v>23</v>
      </c>
      <c r="J4195" s="2">
        <v>1</v>
      </c>
      <c r="K4195" s="2" t="s">
        <v>24</v>
      </c>
      <c r="L4195" s="2">
        <v>1833</v>
      </c>
      <c r="M4195" s="2" t="s">
        <v>142</v>
      </c>
      <c r="N4195" s="2">
        <v>6</v>
      </c>
      <c r="O4195" s="2">
        <v>59163.519999999997</v>
      </c>
      <c r="P4195" s="2">
        <v>9860.59</v>
      </c>
    </row>
    <row r="4196" spans="1:16" outlineLevel="1" x14ac:dyDescent="0.2">
      <c r="A4196" s="5"/>
      <c r="D4196" s="3" t="s">
        <v>696</v>
      </c>
      <c r="N4196" s="2">
        <f>SUBTOTAL(9,N4195:N4195)</f>
        <v>6</v>
      </c>
      <c r="O4196" s="2">
        <f>SUBTOTAL(9,O4195:O4195)</f>
        <v>59163.519999999997</v>
      </c>
      <c r="P4196" s="2">
        <f>+O4196/N4196</f>
        <v>9860.5866666666661</v>
      </c>
    </row>
    <row r="4197" spans="1:16" outlineLevel="2" x14ac:dyDescent="0.2">
      <c r="A4197" s="5">
        <v>46199</v>
      </c>
      <c r="B4197" s="2">
        <v>160393</v>
      </c>
      <c r="C4197" s="2">
        <v>1</v>
      </c>
      <c r="D4197" s="2" t="s">
        <v>19</v>
      </c>
      <c r="E4197" s="2" t="s">
        <v>611</v>
      </c>
      <c r="F4197" s="2" t="s">
        <v>23</v>
      </c>
      <c r="G4197" s="2" t="s">
        <v>22</v>
      </c>
      <c r="H4197" s="2" t="s">
        <v>23</v>
      </c>
      <c r="I4197" s="2" t="s">
        <v>23</v>
      </c>
      <c r="J4197" s="2">
        <v>39</v>
      </c>
      <c r="K4197" s="2" t="s">
        <v>172</v>
      </c>
      <c r="L4197" s="2">
        <v>253</v>
      </c>
      <c r="M4197" s="2" t="s">
        <v>265</v>
      </c>
      <c r="N4197" s="2">
        <v>120</v>
      </c>
      <c r="O4197" s="2">
        <v>686017.31</v>
      </c>
      <c r="P4197" s="2">
        <v>5716.81</v>
      </c>
    </row>
    <row r="4198" spans="1:16" outlineLevel="1" x14ac:dyDescent="0.2">
      <c r="A4198" s="5"/>
      <c r="D4198" s="3" t="s">
        <v>704</v>
      </c>
      <c r="N4198" s="2">
        <f>SUBTOTAL(9,N4197:N4197)</f>
        <v>120</v>
      </c>
      <c r="O4198" s="2">
        <f>SUBTOTAL(9,O4197:O4197)</f>
        <v>686017.31</v>
      </c>
      <c r="P4198" s="2">
        <f>+O4198/N4198</f>
        <v>5716.8109166666673</v>
      </c>
    </row>
    <row r="4199" spans="1:16" outlineLevel="2" x14ac:dyDescent="0.2">
      <c r="A4199" s="5">
        <v>46199</v>
      </c>
      <c r="B4199" s="2">
        <v>160394</v>
      </c>
      <c r="C4199" s="2">
        <v>1</v>
      </c>
      <c r="D4199" s="2" t="s">
        <v>207</v>
      </c>
      <c r="E4199" s="2" t="s">
        <v>23</v>
      </c>
      <c r="F4199" s="2" t="s">
        <v>23</v>
      </c>
      <c r="G4199" s="2" t="s">
        <v>22</v>
      </c>
      <c r="H4199" s="2" t="s">
        <v>208</v>
      </c>
      <c r="I4199" s="2" t="s">
        <v>23</v>
      </c>
      <c r="J4199" s="2">
        <v>41</v>
      </c>
      <c r="K4199" s="2" t="s">
        <v>129</v>
      </c>
      <c r="L4199" s="2">
        <v>25213</v>
      </c>
      <c r="M4199" s="2" t="s">
        <v>130</v>
      </c>
      <c r="N4199" s="2">
        <v>50</v>
      </c>
      <c r="O4199" s="2">
        <v>171587.5</v>
      </c>
      <c r="P4199" s="2">
        <v>3431.75</v>
      </c>
    </row>
    <row r="4200" spans="1:16" outlineLevel="2" x14ac:dyDescent="0.2">
      <c r="A4200" s="5">
        <v>46199</v>
      </c>
      <c r="B4200" s="2">
        <v>160394</v>
      </c>
      <c r="C4200" s="2">
        <v>2</v>
      </c>
      <c r="D4200" s="2" t="s">
        <v>207</v>
      </c>
      <c r="E4200" s="2" t="s">
        <v>23</v>
      </c>
      <c r="F4200" s="2" t="s">
        <v>23</v>
      </c>
      <c r="G4200" s="2" t="s">
        <v>22</v>
      </c>
      <c r="H4200" s="2" t="s">
        <v>209</v>
      </c>
      <c r="I4200" s="2" t="s">
        <v>23</v>
      </c>
      <c r="J4200" s="2">
        <v>41</v>
      </c>
      <c r="K4200" s="2" t="s">
        <v>129</v>
      </c>
      <c r="L4200" s="2">
        <v>25213</v>
      </c>
      <c r="M4200" s="2" t="s">
        <v>130</v>
      </c>
      <c r="N4200" s="2">
        <v>50</v>
      </c>
      <c r="O4200" s="2">
        <v>144902.59</v>
      </c>
      <c r="P4200" s="2">
        <v>2898.05</v>
      </c>
    </row>
    <row r="4201" spans="1:16" outlineLevel="1" x14ac:dyDescent="0.2">
      <c r="A4201" s="5"/>
      <c r="D4201" s="3" t="s">
        <v>699</v>
      </c>
      <c r="N4201" s="2">
        <f>SUBTOTAL(9,N4199:N4200)</f>
        <v>100</v>
      </c>
      <c r="O4201" s="2">
        <f>SUBTOTAL(9,O4199:O4200)</f>
        <v>316490.08999999997</v>
      </c>
      <c r="P4201" s="2">
        <f>+O4201/N4201</f>
        <v>3164.9008999999996</v>
      </c>
    </row>
    <row r="4202" spans="1:16" outlineLevel="2" x14ac:dyDescent="0.2">
      <c r="A4202" s="5">
        <v>46199</v>
      </c>
      <c r="B4202" s="2">
        <v>160394</v>
      </c>
      <c r="C4202" s="2">
        <v>3</v>
      </c>
      <c r="D4202" s="2" t="s">
        <v>128</v>
      </c>
      <c r="E4202" s="2" t="s">
        <v>23</v>
      </c>
      <c r="F4202" s="2" t="s">
        <v>23</v>
      </c>
      <c r="G4202" s="2" t="s">
        <v>22</v>
      </c>
      <c r="H4202" s="2" t="s">
        <v>23</v>
      </c>
      <c r="I4202" s="2" t="s">
        <v>23</v>
      </c>
      <c r="J4202" s="2">
        <v>41</v>
      </c>
      <c r="K4202" s="2" t="s">
        <v>129</v>
      </c>
      <c r="L4202" s="2">
        <v>25213</v>
      </c>
      <c r="M4202" s="2" t="s">
        <v>130</v>
      </c>
      <c r="N4202" s="2">
        <v>25</v>
      </c>
      <c r="O4202" s="2">
        <v>95128.25</v>
      </c>
      <c r="P4202" s="2">
        <v>3805.13</v>
      </c>
    </row>
    <row r="4203" spans="1:16" outlineLevel="1" x14ac:dyDescent="0.2">
      <c r="A4203" s="5"/>
      <c r="D4203" s="3" t="s">
        <v>732</v>
      </c>
      <c r="N4203" s="2">
        <f>SUBTOTAL(9,N4202:N4202)</f>
        <v>25</v>
      </c>
      <c r="O4203" s="2">
        <f>SUBTOTAL(9,O4202:O4202)</f>
        <v>95128.25</v>
      </c>
      <c r="P4203" s="2">
        <f>+O4203/N4203</f>
        <v>3805.13</v>
      </c>
    </row>
    <row r="4204" spans="1:16" outlineLevel="2" x14ac:dyDescent="0.2">
      <c r="A4204" s="5">
        <v>46199</v>
      </c>
      <c r="B4204" s="2">
        <v>160394</v>
      </c>
      <c r="C4204" s="2">
        <v>4</v>
      </c>
      <c r="D4204" s="2" t="s">
        <v>207</v>
      </c>
      <c r="E4204" s="2" t="s">
        <v>23</v>
      </c>
      <c r="F4204" s="2" t="s">
        <v>23</v>
      </c>
      <c r="G4204" s="2" t="s">
        <v>22</v>
      </c>
      <c r="H4204" s="2" t="s">
        <v>23</v>
      </c>
      <c r="I4204" s="2" t="s">
        <v>23</v>
      </c>
      <c r="J4204" s="2">
        <v>1</v>
      </c>
      <c r="K4204" s="2" t="s">
        <v>24</v>
      </c>
      <c r="L4204" s="2">
        <v>25213</v>
      </c>
      <c r="M4204" s="2" t="s">
        <v>130</v>
      </c>
      <c r="N4204" s="2">
        <v>4</v>
      </c>
      <c r="O4204" s="2">
        <v>335736</v>
      </c>
      <c r="P4204" s="2">
        <v>83934</v>
      </c>
    </row>
    <row r="4205" spans="1:16" outlineLevel="2" x14ac:dyDescent="0.2">
      <c r="A4205" s="5">
        <v>46199</v>
      </c>
      <c r="B4205" s="2">
        <v>160394</v>
      </c>
      <c r="C4205" s="2">
        <v>5</v>
      </c>
      <c r="D4205" s="2" t="s">
        <v>207</v>
      </c>
      <c r="E4205" s="2" t="s">
        <v>527</v>
      </c>
      <c r="F4205" s="2" t="s">
        <v>23</v>
      </c>
      <c r="G4205" s="2" t="s">
        <v>210</v>
      </c>
      <c r="H4205" s="2" t="s">
        <v>23</v>
      </c>
      <c r="I4205" s="2" t="s">
        <v>23</v>
      </c>
      <c r="J4205" s="2">
        <v>1</v>
      </c>
      <c r="K4205" s="2" t="s">
        <v>24</v>
      </c>
      <c r="L4205" s="2">
        <v>25213</v>
      </c>
      <c r="M4205" s="2" t="s">
        <v>130</v>
      </c>
      <c r="N4205" s="2">
        <v>2</v>
      </c>
      <c r="O4205" s="2">
        <v>130077.46</v>
      </c>
      <c r="P4205" s="2">
        <v>65038.73</v>
      </c>
    </row>
    <row r="4206" spans="1:16" outlineLevel="1" x14ac:dyDescent="0.2">
      <c r="A4206" s="5"/>
      <c r="D4206" s="3" t="s">
        <v>699</v>
      </c>
      <c r="N4206" s="2">
        <f>SUBTOTAL(9,N4204:N4205)</f>
        <v>6</v>
      </c>
      <c r="O4206" s="2">
        <f>SUBTOTAL(9,O4204:O4205)</f>
        <v>465813.46</v>
      </c>
      <c r="P4206" s="2">
        <f>+O4206/N4206</f>
        <v>77635.576666666675</v>
      </c>
    </row>
    <row r="4207" spans="1:16" outlineLevel="2" x14ac:dyDescent="0.2">
      <c r="A4207" s="5">
        <v>46199</v>
      </c>
      <c r="B4207" s="2">
        <v>160395</v>
      </c>
      <c r="C4207" s="2">
        <v>1</v>
      </c>
      <c r="D4207" s="2" t="s">
        <v>140</v>
      </c>
      <c r="E4207" s="2" t="s">
        <v>23</v>
      </c>
      <c r="F4207" s="2" t="s">
        <v>108</v>
      </c>
      <c r="G4207" s="2" t="s">
        <v>22</v>
      </c>
      <c r="H4207" s="2" t="s">
        <v>23</v>
      </c>
      <c r="I4207" s="2" t="s">
        <v>23</v>
      </c>
      <c r="J4207" s="2">
        <v>1</v>
      </c>
      <c r="K4207" s="2" t="s">
        <v>24</v>
      </c>
      <c r="L4207" s="2">
        <v>1503</v>
      </c>
      <c r="M4207" s="2" t="s">
        <v>603</v>
      </c>
      <c r="N4207" s="2">
        <v>54</v>
      </c>
      <c r="O4207" s="2">
        <v>1372060.86</v>
      </c>
      <c r="P4207" s="2">
        <v>25408.53</v>
      </c>
    </row>
    <row r="4208" spans="1:16" outlineLevel="1" x14ac:dyDescent="0.2">
      <c r="A4208" s="5"/>
      <c r="D4208" s="3" t="s">
        <v>696</v>
      </c>
      <c r="N4208" s="2">
        <f>SUBTOTAL(9,N4207:N4207)</f>
        <v>54</v>
      </c>
      <c r="O4208" s="2">
        <f>SUBTOTAL(9,O4207:O4207)</f>
        <v>1372060.86</v>
      </c>
      <c r="P4208" s="2">
        <f>+O4208/N4208</f>
        <v>25408.534444444445</v>
      </c>
    </row>
    <row r="4209" spans="1:16" outlineLevel="2" x14ac:dyDescent="0.2">
      <c r="A4209" s="5">
        <v>46206</v>
      </c>
      <c r="B4209" s="2">
        <v>160397</v>
      </c>
      <c r="C4209" s="2">
        <v>315</v>
      </c>
      <c r="D4209" s="2" t="s">
        <v>26</v>
      </c>
      <c r="E4209" s="2" t="s">
        <v>51</v>
      </c>
      <c r="F4209" s="2" t="s">
        <v>23</v>
      </c>
      <c r="G4209" s="2" t="s">
        <v>22</v>
      </c>
      <c r="H4209" s="2" t="s">
        <v>23</v>
      </c>
      <c r="I4209" s="2" t="s">
        <v>23</v>
      </c>
      <c r="J4209" s="2">
        <v>5</v>
      </c>
      <c r="K4209" s="2" t="s">
        <v>27</v>
      </c>
      <c r="L4209" s="2">
        <v>3048</v>
      </c>
      <c r="M4209" s="2" t="s">
        <v>53</v>
      </c>
      <c r="N4209" s="2">
        <v>24</v>
      </c>
      <c r="O4209" s="2">
        <v>88896.08</v>
      </c>
      <c r="P4209" s="2">
        <v>3704</v>
      </c>
    </row>
    <row r="4210" spans="1:16" outlineLevel="1" x14ac:dyDescent="0.2">
      <c r="A4210" s="5"/>
      <c r="D4210" s="3" t="s">
        <v>711</v>
      </c>
      <c r="N4210" s="2">
        <f>SUBTOTAL(9,N4209:N4209)</f>
        <v>24</v>
      </c>
      <c r="O4210" s="2">
        <f>SUBTOTAL(9,O4209:O4209)</f>
        <v>88896.08</v>
      </c>
      <c r="P4210" s="2">
        <f>+O4210/N4210</f>
        <v>3704.0033333333336</v>
      </c>
    </row>
    <row r="4211" spans="1:16" outlineLevel="2" x14ac:dyDescent="0.2">
      <c r="A4211" s="5">
        <v>46199</v>
      </c>
      <c r="B4211" s="2">
        <v>160398</v>
      </c>
      <c r="C4211" s="2">
        <v>1</v>
      </c>
      <c r="D4211" s="2" t="s">
        <v>579</v>
      </c>
      <c r="E4211" s="2" t="s">
        <v>23</v>
      </c>
      <c r="F4211" s="2" t="s">
        <v>23</v>
      </c>
      <c r="G4211" s="2" t="s">
        <v>22</v>
      </c>
      <c r="H4211" s="2" t="s">
        <v>23</v>
      </c>
      <c r="I4211" s="2" t="s">
        <v>23</v>
      </c>
      <c r="J4211" s="2">
        <v>41</v>
      </c>
      <c r="K4211" s="2" t="s">
        <v>129</v>
      </c>
      <c r="L4211" s="2">
        <v>2338</v>
      </c>
      <c r="M4211" s="2" t="s">
        <v>417</v>
      </c>
      <c r="N4211" s="2">
        <v>416</v>
      </c>
      <c r="O4211" s="2">
        <v>413172.2</v>
      </c>
      <c r="P4211" s="2">
        <v>993.2</v>
      </c>
    </row>
    <row r="4212" spans="1:16" outlineLevel="1" x14ac:dyDescent="0.2">
      <c r="A4212" s="5"/>
      <c r="D4212" s="3" t="s">
        <v>800</v>
      </c>
      <c r="N4212" s="2">
        <f>SUBTOTAL(9,N4211:N4211)</f>
        <v>416</v>
      </c>
      <c r="O4212" s="2">
        <f>SUBTOTAL(9,O4211:O4211)</f>
        <v>413172.2</v>
      </c>
      <c r="P4212" s="2">
        <f>+O4212/N4212</f>
        <v>993.20240384615386</v>
      </c>
    </row>
    <row r="4213" spans="1:16" outlineLevel="2" x14ac:dyDescent="0.2">
      <c r="A4213" s="5">
        <v>46204</v>
      </c>
      <c r="B4213" s="2">
        <v>160399</v>
      </c>
      <c r="C4213" s="2">
        <v>315</v>
      </c>
      <c r="D4213" s="2" t="s">
        <v>110</v>
      </c>
      <c r="E4213" s="2" t="s">
        <v>111</v>
      </c>
      <c r="F4213" s="2" t="s">
        <v>23</v>
      </c>
      <c r="G4213" s="2" t="s">
        <v>22</v>
      </c>
      <c r="H4213" s="2" t="s">
        <v>23</v>
      </c>
      <c r="I4213" s="2" t="s">
        <v>23</v>
      </c>
      <c r="J4213" s="2">
        <v>2</v>
      </c>
      <c r="K4213" s="2" t="s">
        <v>48</v>
      </c>
      <c r="L4213" s="2">
        <v>1974</v>
      </c>
      <c r="M4213" s="2" t="s">
        <v>95</v>
      </c>
      <c r="N4213" s="2">
        <v>6</v>
      </c>
      <c r="O4213" s="2">
        <v>31791.78</v>
      </c>
      <c r="P4213" s="2">
        <v>5298.63</v>
      </c>
    </row>
    <row r="4214" spans="1:16" outlineLevel="1" x14ac:dyDescent="0.2">
      <c r="A4214" s="5"/>
      <c r="D4214" s="3" t="s">
        <v>697</v>
      </c>
      <c r="N4214" s="2">
        <f>SUBTOTAL(9,N4213:N4213)</f>
        <v>6</v>
      </c>
      <c r="O4214" s="2">
        <f>SUBTOTAL(9,O4213:O4213)</f>
        <v>31791.78</v>
      </c>
      <c r="P4214" s="2">
        <f>+O4214/N4214</f>
        <v>5298.63</v>
      </c>
    </row>
    <row r="4215" spans="1:16" outlineLevel="2" x14ac:dyDescent="0.2">
      <c r="A4215" s="5">
        <v>46197</v>
      </c>
      <c r="B4215" s="2">
        <v>160434</v>
      </c>
      <c r="C4215" s="2">
        <v>5</v>
      </c>
      <c r="D4215" s="2" t="s">
        <v>45</v>
      </c>
      <c r="E4215" s="2" t="s">
        <v>590</v>
      </c>
      <c r="F4215" s="2" t="s">
        <v>289</v>
      </c>
      <c r="G4215" s="2" t="s">
        <v>22</v>
      </c>
      <c r="H4215" s="2" t="s">
        <v>23</v>
      </c>
      <c r="I4215" s="2" t="s">
        <v>23</v>
      </c>
      <c r="J4215" s="2">
        <v>41</v>
      </c>
      <c r="K4215" s="2" t="s">
        <v>129</v>
      </c>
      <c r="L4215" s="2">
        <v>801</v>
      </c>
      <c r="M4215" s="2" t="s">
        <v>56</v>
      </c>
      <c r="N4215" s="2">
        <v>10</v>
      </c>
      <c r="O4215" s="2">
        <v>192980</v>
      </c>
      <c r="P4215" s="2">
        <v>19298</v>
      </c>
    </row>
    <row r="4216" spans="1:16" outlineLevel="2" x14ac:dyDescent="0.2">
      <c r="A4216" s="5">
        <v>46197</v>
      </c>
      <c r="B4216" s="2">
        <v>160434</v>
      </c>
      <c r="C4216" s="2">
        <v>7</v>
      </c>
      <c r="D4216" s="2" t="s">
        <v>45</v>
      </c>
      <c r="E4216" s="2" t="s">
        <v>591</v>
      </c>
      <c r="F4216" s="2" t="s">
        <v>289</v>
      </c>
      <c r="G4216" s="2" t="s">
        <v>22</v>
      </c>
      <c r="H4216" s="2" t="s">
        <v>23</v>
      </c>
      <c r="I4216" s="2" t="s">
        <v>23</v>
      </c>
      <c r="J4216" s="2">
        <v>41</v>
      </c>
      <c r="K4216" s="2" t="s">
        <v>129</v>
      </c>
      <c r="L4216" s="2">
        <v>801</v>
      </c>
      <c r="M4216" s="2" t="s">
        <v>56</v>
      </c>
      <c r="N4216" s="2">
        <v>16</v>
      </c>
      <c r="O4216" s="2">
        <v>290804.73</v>
      </c>
      <c r="P4216" s="2">
        <v>18175.3</v>
      </c>
    </row>
    <row r="4217" spans="1:16" outlineLevel="2" x14ac:dyDescent="0.2">
      <c r="A4217" s="5">
        <v>46197</v>
      </c>
      <c r="B4217" s="2">
        <v>160434</v>
      </c>
      <c r="C4217" s="2">
        <v>8</v>
      </c>
      <c r="D4217" s="2" t="s">
        <v>45</v>
      </c>
      <c r="E4217" s="2" t="s">
        <v>598</v>
      </c>
      <c r="F4217" s="2" t="s">
        <v>289</v>
      </c>
      <c r="G4217" s="2" t="s">
        <v>22</v>
      </c>
      <c r="H4217" s="2" t="s">
        <v>23</v>
      </c>
      <c r="I4217" s="2" t="s">
        <v>23</v>
      </c>
      <c r="J4217" s="2">
        <v>41</v>
      </c>
      <c r="K4217" s="2" t="s">
        <v>129</v>
      </c>
      <c r="L4217" s="2">
        <v>801</v>
      </c>
      <c r="M4217" s="2" t="s">
        <v>56</v>
      </c>
      <c r="N4217" s="2">
        <v>30</v>
      </c>
      <c r="O4217" s="2">
        <v>532570.09</v>
      </c>
      <c r="P4217" s="2">
        <v>17752.34</v>
      </c>
    </row>
    <row r="4218" spans="1:16" outlineLevel="2" x14ac:dyDescent="0.2">
      <c r="A4218" s="5">
        <v>46197</v>
      </c>
      <c r="B4218" s="2">
        <v>160434</v>
      </c>
      <c r="C4218" s="2">
        <v>9</v>
      </c>
      <c r="D4218" s="2" t="s">
        <v>45</v>
      </c>
      <c r="E4218" s="2" t="s">
        <v>558</v>
      </c>
      <c r="F4218" s="2" t="s">
        <v>289</v>
      </c>
      <c r="G4218" s="2" t="s">
        <v>22</v>
      </c>
      <c r="H4218" s="2" t="s">
        <v>23</v>
      </c>
      <c r="I4218" s="2" t="s">
        <v>23</v>
      </c>
      <c r="J4218" s="2">
        <v>41</v>
      </c>
      <c r="K4218" s="2" t="s">
        <v>129</v>
      </c>
      <c r="L4218" s="2">
        <v>801</v>
      </c>
      <c r="M4218" s="2" t="s">
        <v>56</v>
      </c>
      <c r="N4218" s="2">
        <v>41</v>
      </c>
      <c r="O4218" s="2">
        <v>960536.18</v>
      </c>
      <c r="P4218" s="2">
        <v>23427.71</v>
      </c>
    </row>
    <row r="4219" spans="1:16" outlineLevel="2" x14ac:dyDescent="0.2">
      <c r="A4219" s="5">
        <v>46197</v>
      </c>
      <c r="B4219" s="2">
        <v>160434</v>
      </c>
      <c r="C4219" s="2">
        <v>10</v>
      </c>
      <c r="D4219" s="2" t="s">
        <v>45</v>
      </c>
      <c r="E4219" s="2" t="s">
        <v>598</v>
      </c>
      <c r="F4219" s="2" t="s">
        <v>289</v>
      </c>
      <c r="G4219" s="2" t="s">
        <v>22</v>
      </c>
      <c r="H4219" s="2" t="s">
        <v>23</v>
      </c>
      <c r="I4219" s="2" t="s">
        <v>23</v>
      </c>
      <c r="J4219" s="2">
        <v>41</v>
      </c>
      <c r="K4219" s="2" t="s">
        <v>129</v>
      </c>
      <c r="L4219" s="2">
        <v>801</v>
      </c>
      <c r="M4219" s="2" t="s">
        <v>56</v>
      </c>
      <c r="N4219" s="2">
        <v>31</v>
      </c>
      <c r="O4219" s="2">
        <v>547737.86</v>
      </c>
      <c r="P4219" s="2">
        <v>17668.96</v>
      </c>
    </row>
    <row r="4220" spans="1:16" outlineLevel="1" x14ac:dyDescent="0.2">
      <c r="A4220" s="5"/>
      <c r="D4220" s="3" t="s">
        <v>733</v>
      </c>
      <c r="N4220" s="2">
        <f>SUBTOTAL(9,N4215:N4219)</f>
        <v>128</v>
      </c>
      <c r="O4220" s="2">
        <f>SUBTOTAL(9,O4215:O4219)</f>
        <v>2524628.86</v>
      </c>
      <c r="P4220" s="2">
        <f>+O4220/N4220</f>
        <v>19723.662968749999</v>
      </c>
    </row>
    <row r="4221" spans="1:16" outlineLevel="2" x14ac:dyDescent="0.2">
      <c r="A4221" s="5">
        <v>46197</v>
      </c>
      <c r="B4221" s="2">
        <v>160434</v>
      </c>
      <c r="C4221" s="2">
        <v>12</v>
      </c>
      <c r="D4221" s="2" t="s">
        <v>226</v>
      </c>
      <c r="E4221" s="2" t="s">
        <v>581</v>
      </c>
      <c r="F4221" s="2" t="s">
        <v>289</v>
      </c>
      <c r="G4221" s="2" t="s">
        <v>22</v>
      </c>
      <c r="H4221" s="2" t="s">
        <v>23</v>
      </c>
      <c r="I4221" s="2" t="s">
        <v>23</v>
      </c>
      <c r="J4221" s="2">
        <v>41</v>
      </c>
      <c r="K4221" s="2" t="s">
        <v>129</v>
      </c>
      <c r="L4221" s="2">
        <v>801</v>
      </c>
      <c r="M4221" s="2" t="s">
        <v>56</v>
      </c>
      <c r="N4221" s="2">
        <v>8</v>
      </c>
      <c r="O4221" s="2">
        <v>161869.28</v>
      </c>
      <c r="P4221" s="2">
        <v>20233.66</v>
      </c>
    </row>
    <row r="4222" spans="1:16" outlineLevel="2" x14ac:dyDescent="0.2">
      <c r="A4222" s="5">
        <v>46197</v>
      </c>
      <c r="B4222" s="2">
        <v>160434</v>
      </c>
      <c r="C4222" s="2">
        <v>14</v>
      </c>
      <c r="D4222" s="2" t="s">
        <v>226</v>
      </c>
      <c r="E4222" s="2" t="s">
        <v>581</v>
      </c>
      <c r="F4222" s="2" t="s">
        <v>289</v>
      </c>
      <c r="G4222" s="2" t="s">
        <v>22</v>
      </c>
      <c r="H4222" s="2" t="s">
        <v>23</v>
      </c>
      <c r="I4222" s="2" t="s">
        <v>23</v>
      </c>
      <c r="J4222" s="2">
        <v>41</v>
      </c>
      <c r="K4222" s="2" t="s">
        <v>129</v>
      </c>
      <c r="L4222" s="2">
        <v>801</v>
      </c>
      <c r="M4222" s="2" t="s">
        <v>56</v>
      </c>
      <c r="N4222" s="2">
        <v>22</v>
      </c>
      <c r="O4222" s="2">
        <v>459746.11</v>
      </c>
      <c r="P4222" s="2">
        <v>20897.55</v>
      </c>
    </row>
    <row r="4223" spans="1:16" outlineLevel="2" x14ac:dyDescent="0.2">
      <c r="A4223" s="5">
        <v>46197</v>
      </c>
      <c r="B4223" s="2">
        <v>160434</v>
      </c>
      <c r="C4223" s="2">
        <v>15</v>
      </c>
      <c r="D4223" s="2" t="s">
        <v>226</v>
      </c>
      <c r="E4223" s="2" t="s">
        <v>568</v>
      </c>
      <c r="F4223" s="2" t="s">
        <v>289</v>
      </c>
      <c r="G4223" s="2" t="s">
        <v>22</v>
      </c>
      <c r="H4223" s="2" t="s">
        <v>23</v>
      </c>
      <c r="I4223" s="2" t="s">
        <v>23</v>
      </c>
      <c r="J4223" s="2">
        <v>41</v>
      </c>
      <c r="K4223" s="2" t="s">
        <v>129</v>
      </c>
      <c r="L4223" s="2">
        <v>801</v>
      </c>
      <c r="M4223" s="2" t="s">
        <v>56</v>
      </c>
      <c r="N4223" s="2">
        <v>24</v>
      </c>
      <c r="O4223" s="2">
        <v>558361.28</v>
      </c>
      <c r="P4223" s="2">
        <v>23265.05</v>
      </c>
    </row>
    <row r="4224" spans="1:16" outlineLevel="2" x14ac:dyDescent="0.2">
      <c r="A4224" s="5">
        <v>46197</v>
      </c>
      <c r="B4224" s="2">
        <v>160434</v>
      </c>
      <c r="C4224" s="2">
        <v>17</v>
      </c>
      <c r="D4224" s="2" t="s">
        <v>226</v>
      </c>
      <c r="E4224" s="2" t="s">
        <v>586</v>
      </c>
      <c r="F4224" s="2" t="s">
        <v>289</v>
      </c>
      <c r="G4224" s="2" t="s">
        <v>22</v>
      </c>
      <c r="H4224" s="2" t="s">
        <v>23</v>
      </c>
      <c r="I4224" s="2" t="s">
        <v>23</v>
      </c>
      <c r="J4224" s="2">
        <v>41</v>
      </c>
      <c r="K4224" s="2" t="s">
        <v>129</v>
      </c>
      <c r="L4224" s="2">
        <v>801</v>
      </c>
      <c r="M4224" s="2" t="s">
        <v>56</v>
      </c>
      <c r="N4224" s="2">
        <v>46</v>
      </c>
      <c r="O4224" s="2">
        <v>947824.78</v>
      </c>
      <c r="P4224" s="2">
        <v>20604.89</v>
      </c>
    </row>
    <row r="4225" spans="1:16" outlineLevel="2" x14ac:dyDescent="0.2">
      <c r="A4225" s="5">
        <v>46197</v>
      </c>
      <c r="B4225" s="2">
        <v>160434</v>
      </c>
      <c r="C4225" s="2">
        <v>20</v>
      </c>
      <c r="D4225" s="2" t="s">
        <v>226</v>
      </c>
      <c r="E4225" s="2" t="s">
        <v>151</v>
      </c>
      <c r="F4225" s="2" t="s">
        <v>289</v>
      </c>
      <c r="G4225" s="2" t="s">
        <v>22</v>
      </c>
      <c r="H4225" s="2" t="s">
        <v>23</v>
      </c>
      <c r="I4225" s="2" t="s">
        <v>23</v>
      </c>
      <c r="J4225" s="2">
        <v>41</v>
      </c>
      <c r="K4225" s="2" t="s">
        <v>129</v>
      </c>
      <c r="L4225" s="2">
        <v>801</v>
      </c>
      <c r="M4225" s="2" t="s">
        <v>56</v>
      </c>
      <c r="N4225" s="2">
        <v>18</v>
      </c>
      <c r="O4225" s="2">
        <v>360746.67</v>
      </c>
      <c r="P4225" s="2">
        <v>20041.48</v>
      </c>
    </row>
    <row r="4226" spans="1:16" outlineLevel="1" x14ac:dyDescent="0.2">
      <c r="A4226" s="5"/>
      <c r="D4226" s="3" t="s">
        <v>736</v>
      </c>
      <c r="N4226" s="2">
        <f>SUBTOTAL(9,N4221:N4225)</f>
        <v>118</v>
      </c>
      <c r="O4226" s="2">
        <f>SUBTOTAL(9,O4221:O4225)</f>
        <v>2488548.12</v>
      </c>
      <c r="P4226" s="2">
        <f>+O4226/N4226</f>
        <v>21089.390847457627</v>
      </c>
    </row>
    <row r="4227" spans="1:16" outlineLevel="2" x14ac:dyDescent="0.2">
      <c r="A4227" s="5">
        <v>46199</v>
      </c>
      <c r="B4227" s="2">
        <v>160445</v>
      </c>
      <c r="C4227" s="2">
        <v>1</v>
      </c>
      <c r="D4227" s="2" t="s">
        <v>19</v>
      </c>
      <c r="E4227" s="2" t="s">
        <v>20</v>
      </c>
      <c r="F4227" s="2" t="s">
        <v>21</v>
      </c>
      <c r="G4227" s="2" t="s">
        <v>22</v>
      </c>
      <c r="H4227" s="2" t="s">
        <v>23</v>
      </c>
      <c r="I4227" s="2" t="s">
        <v>496</v>
      </c>
      <c r="J4227" s="2">
        <v>40</v>
      </c>
      <c r="K4227" s="2" t="s">
        <v>43</v>
      </c>
      <c r="L4227" s="2">
        <v>25205</v>
      </c>
      <c r="M4227" s="2" t="s">
        <v>171</v>
      </c>
      <c r="N4227" s="2">
        <v>201</v>
      </c>
      <c r="O4227" s="2">
        <v>15474777.15</v>
      </c>
      <c r="P4227" s="2">
        <v>76988.94</v>
      </c>
    </row>
    <row r="4228" spans="1:16" outlineLevel="1" x14ac:dyDescent="0.2">
      <c r="A4228" s="5"/>
      <c r="D4228" s="3" t="s">
        <v>704</v>
      </c>
      <c r="N4228" s="2">
        <f>SUBTOTAL(9,N4227:N4227)</f>
        <v>201</v>
      </c>
      <c r="O4228" s="2">
        <f>SUBTOTAL(9,O4227:O4227)</f>
        <v>15474777.15</v>
      </c>
      <c r="P4228" s="2">
        <f>+O4228/N4228</f>
        <v>76988.941044776118</v>
      </c>
    </row>
    <row r="4229" spans="1:16" outlineLevel="2" x14ac:dyDescent="0.2">
      <c r="A4229" s="5">
        <v>46199</v>
      </c>
      <c r="B4229" s="2">
        <v>160449</v>
      </c>
      <c r="C4229" s="2">
        <v>301</v>
      </c>
      <c r="D4229" s="2" t="s">
        <v>54</v>
      </c>
      <c r="E4229" s="2" t="s">
        <v>20</v>
      </c>
      <c r="F4229" s="2" t="s">
        <v>23</v>
      </c>
      <c r="G4229" s="2" t="s">
        <v>22</v>
      </c>
      <c r="H4229" s="2" t="s">
        <v>23</v>
      </c>
      <c r="I4229" s="2" t="s">
        <v>23</v>
      </c>
      <c r="J4229" s="2">
        <v>2</v>
      </c>
      <c r="K4229" s="2" t="s">
        <v>48</v>
      </c>
      <c r="L4229" s="2">
        <v>282</v>
      </c>
      <c r="M4229" s="2" t="s">
        <v>612</v>
      </c>
      <c r="N4229" s="2">
        <v>9</v>
      </c>
      <c r="O4229" s="2">
        <v>70996.23</v>
      </c>
      <c r="P4229" s="2">
        <v>7888.47</v>
      </c>
    </row>
    <row r="4230" spans="1:16" outlineLevel="1" x14ac:dyDescent="0.2">
      <c r="A4230" s="5"/>
      <c r="D4230" s="3" t="s">
        <v>719</v>
      </c>
      <c r="N4230" s="2">
        <f>SUBTOTAL(9,N4229:N4229)</f>
        <v>9</v>
      </c>
      <c r="O4230" s="2">
        <f>SUBTOTAL(9,O4229:O4229)</f>
        <v>70996.23</v>
      </c>
      <c r="P4230" s="2">
        <f>+O4230/N4230</f>
        <v>7888.4699999999993</v>
      </c>
    </row>
    <row r="4231" spans="1:16" outlineLevel="2" x14ac:dyDescent="0.2">
      <c r="A4231" s="5">
        <v>46211</v>
      </c>
      <c r="B4231" s="2">
        <v>160454</v>
      </c>
      <c r="C4231" s="2">
        <v>1</v>
      </c>
      <c r="D4231" s="2" t="s">
        <v>186</v>
      </c>
      <c r="E4231" s="2" t="s">
        <v>613</v>
      </c>
      <c r="F4231" s="2" t="s">
        <v>23</v>
      </c>
      <c r="G4231" s="2" t="s">
        <v>22</v>
      </c>
      <c r="H4231" s="2" t="s">
        <v>23</v>
      </c>
      <c r="I4231" s="2" t="s">
        <v>23</v>
      </c>
      <c r="J4231" s="2">
        <v>2</v>
      </c>
      <c r="K4231" s="2" t="s">
        <v>48</v>
      </c>
      <c r="L4231" s="2">
        <v>600</v>
      </c>
      <c r="M4231" s="2" t="s">
        <v>112</v>
      </c>
      <c r="N4231" s="2">
        <v>6</v>
      </c>
      <c r="O4231" s="2">
        <v>31791.78</v>
      </c>
      <c r="P4231" s="2">
        <v>5298.63</v>
      </c>
    </row>
    <row r="4232" spans="1:16" outlineLevel="1" x14ac:dyDescent="0.2">
      <c r="A4232" s="5"/>
      <c r="D4232" s="3" t="s">
        <v>731</v>
      </c>
      <c r="N4232" s="2">
        <f>SUBTOTAL(9,N4231:N4231)</f>
        <v>6</v>
      </c>
      <c r="O4232" s="2">
        <f>SUBTOTAL(9,O4231:O4231)</f>
        <v>31791.78</v>
      </c>
      <c r="P4232" s="2">
        <f>+O4232/N4232</f>
        <v>5298.63</v>
      </c>
    </row>
    <row r="4233" spans="1:16" outlineLevel="2" x14ac:dyDescent="0.2">
      <c r="A4233" s="5">
        <v>46204</v>
      </c>
      <c r="B4233" s="2">
        <v>160456</v>
      </c>
      <c r="C4233" s="2">
        <v>303</v>
      </c>
      <c r="D4233" s="2" t="s">
        <v>54</v>
      </c>
      <c r="E4233" s="2" t="s">
        <v>30</v>
      </c>
      <c r="F4233" s="2" t="s">
        <v>23</v>
      </c>
      <c r="G4233" s="2" t="s">
        <v>22</v>
      </c>
      <c r="H4233" s="2" t="s">
        <v>23</v>
      </c>
      <c r="I4233" s="2" t="s">
        <v>23</v>
      </c>
      <c r="J4233" s="2">
        <v>2</v>
      </c>
      <c r="K4233" s="2" t="s">
        <v>48</v>
      </c>
      <c r="L4233" s="2">
        <v>626</v>
      </c>
      <c r="M4233" s="2" t="s">
        <v>49</v>
      </c>
      <c r="N4233" s="2">
        <v>5</v>
      </c>
      <c r="O4233" s="2">
        <v>63830.7</v>
      </c>
      <c r="P4233" s="2">
        <v>12766.14</v>
      </c>
    </row>
    <row r="4234" spans="1:16" outlineLevel="1" x14ac:dyDescent="0.2">
      <c r="A4234" s="5"/>
      <c r="D4234" s="3" t="s">
        <v>719</v>
      </c>
      <c r="N4234" s="2">
        <f>SUBTOTAL(9,N4233:N4233)</f>
        <v>5</v>
      </c>
      <c r="O4234" s="2">
        <f>SUBTOTAL(9,O4233:O4233)</f>
        <v>63830.7</v>
      </c>
      <c r="P4234" s="2">
        <f>+O4234/N4234</f>
        <v>12766.14</v>
      </c>
    </row>
    <row r="4235" spans="1:16" outlineLevel="2" x14ac:dyDescent="0.2">
      <c r="A4235" s="5">
        <v>46204</v>
      </c>
      <c r="B4235" s="2">
        <v>160456</v>
      </c>
      <c r="C4235" s="2">
        <v>315</v>
      </c>
      <c r="D4235" s="2" t="s">
        <v>203</v>
      </c>
      <c r="E4235" s="2" t="s">
        <v>238</v>
      </c>
      <c r="F4235" s="2" t="s">
        <v>23</v>
      </c>
      <c r="G4235" s="2" t="s">
        <v>22</v>
      </c>
      <c r="H4235" s="2" t="s">
        <v>23</v>
      </c>
      <c r="I4235" s="2" t="s">
        <v>23</v>
      </c>
      <c r="J4235" s="2">
        <v>2</v>
      </c>
      <c r="K4235" s="2" t="s">
        <v>48</v>
      </c>
      <c r="L4235" s="2">
        <v>626</v>
      </c>
      <c r="M4235" s="2" t="s">
        <v>49</v>
      </c>
      <c r="N4235" s="2">
        <v>2</v>
      </c>
      <c r="O4235" s="2">
        <v>10597.26</v>
      </c>
      <c r="P4235" s="2">
        <v>5298.63</v>
      </c>
    </row>
    <row r="4236" spans="1:16" outlineLevel="1" x14ac:dyDescent="0.2">
      <c r="A4236" s="5"/>
      <c r="D4236" s="3" t="s">
        <v>735</v>
      </c>
      <c r="N4236" s="2">
        <f>SUBTOTAL(9,N4235:N4235)</f>
        <v>2</v>
      </c>
      <c r="O4236" s="2">
        <f>SUBTOTAL(9,O4235:O4235)</f>
        <v>10597.26</v>
      </c>
      <c r="P4236" s="2">
        <f>+O4236/N4236</f>
        <v>5298.63</v>
      </c>
    </row>
    <row r="4237" spans="1:16" outlineLevel="2" x14ac:dyDescent="0.2">
      <c r="A4237" s="5">
        <v>46218</v>
      </c>
      <c r="B4237" s="2">
        <v>160460</v>
      </c>
      <c r="C4237" s="2">
        <v>3</v>
      </c>
      <c r="D4237" s="2" t="s">
        <v>54</v>
      </c>
      <c r="E4237" s="2" t="s">
        <v>20</v>
      </c>
      <c r="F4237" s="2" t="s">
        <v>47</v>
      </c>
      <c r="G4237" s="2" t="s">
        <v>22</v>
      </c>
      <c r="H4237" s="2" t="s">
        <v>23</v>
      </c>
      <c r="I4237" s="2" t="s">
        <v>23</v>
      </c>
      <c r="J4237" s="2">
        <v>1</v>
      </c>
      <c r="K4237" s="2" t="s">
        <v>24</v>
      </c>
      <c r="L4237" s="2">
        <v>1974</v>
      </c>
      <c r="M4237" s="2" t="s">
        <v>95</v>
      </c>
      <c r="N4237" s="2">
        <v>9</v>
      </c>
      <c r="O4237" s="2">
        <v>45820.79</v>
      </c>
      <c r="P4237" s="2">
        <v>5091.2</v>
      </c>
    </row>
    <row r="4238" spans="1:16" outlineLevel="1" x14ac:dyDescent="0.2">
      <c r="A4238" s="5"/>
      <c r="D4238" s="3" t="s">
        <v>719</v>
      </c>
      <c r="N4238" s="2">
        <f>SUBTOTAL(9,N4237:N4237)</f>
        <v>9</v>
      </c>
      <c r="O4238" s="2">
        <f>SUBTOTAL(9,O4237:O4237)</f>
        <v>45820.79</v>
      </c>
      <c r="P4238" s="2">
        <f>+O4238/N4238</f>
        <v>5091.1988888888891</v>
      </c>
    </row>
    <row r="4239" spans="1:16" outlineLevel="2" x14ac:dyDescent="0.2">
      <c r="A4239" s="5">
        <v>46204</v>
      </c>
      <c r="B4239" s="2">
        <v>160462</v>
      </c>
      <c r="C4239" s="2">
        <v>315</v>
      </c>
      <c r="D4239" s="2" t="s">
        <v>110</v>
      </c>
      <c r="E4239" s="2" t="s">
        <v>111</v>
      </c>
      <c r="F4239" s="2" t="s">
        <v>23</v>
      </c>
      <c r="G4239" s="2" t="s">
        <v>22</v>
      </c>
      <c r="H4239" s="2" t="s">
        <v>23</v>
      </c>
      <c r="I4239" s="2" t="s">
        <v>23</v>
      </c>
      <c r="J4239" s="2">
        <v>1</v>
      </c>
      <c r="K4239" s="2" t="s">
        <v>24</v>
      </c>
      <c r="L4239" s="2">
        <v>25010</v>
      </c>
      <c r="M4239" s="2" t="s">
        <v>554</v>
      </c>
      <c r="N4239" s="2">
        <v>10</v>
      </c>
      <c r="O4239" s="2">
        <v>52986.3</v>
      </c>
      <c r="P4239" s="2">
        <v>5298.63</v>
      </c>
    </row>
    <row r="4240" spans="1:16" outlineLevel="2" x14ac:dyDescent="0.2">
      <c r="A4240" s="5">
        <v>46204</v>
      </c>
      <c r="B4240" s="2">
        <v>160462</v>
      </c>
      <c r="C4240" s="2">
        <v>316</v>
      </c>
      <c r="D4240" s="2" t="s">
        <v>110</v>
      </c>
      <c r="E4240" s="2" t="s">
        <v>111</v>
      </c>
      <c r="F4240" s="2" t="s">
        <v>23</v>
      </c>
      <c r="G4240" s="2" t="s">
        <v>22</v>
      </c>
      <c r="H4240" s="2" t="s">
        <v>23</v>
      </c>
      <c r="I4240" s="2" t="s">
        <v>23</v>
      </c>
      <c r="J4240" s="2">
        <v>1</v>
      </c>
      <c r="K4240" s="2" t="s">
        <v>24</v>
      </c>
      <c r="L4240" s="2">
        <v>25010</v>
      </c>
      <c r="M4240" s="2" t="s">
        <v>554</v>
      </c>
      <c r="N4240" s="2">
        <v>1</v>
      </c>
      <c r="O4240" s="2">
        <v>5298.63</v>
      </c>
      <c r="P4240" s="2">
        <v>5298.63</v>
      </c>
    </row>
    <row r="4241" spans="1:16" outlineLevel="1" x14ac:dyDescent="0.2">
      <c r="A4241" s="5"/>
      <c r="D4241" s="3" t="s">
        <v>697</v>
      </c>
      <c r="N4241" s="2">
        <f>SUBTOTAL(9,N4239:N4240)</f>
        <v>11</v>
      </c>
      <c r="O4241" s="2">
        <f>SUBTOTAL(9,O4239:O4240)</f>
        <v>58284.93</v>
      </c>
      <c r="P4241" s="2">
        <f>+O4241/N4241</f>
        <v>5298.63</v>
      </c>
    </row>
    <row r="4242" spans="1:16" outlineLevel="2" x14ac:dyDescent="0.2">
      <c r="A4242" s="5">
        <v>46206</v>
      </c>
      <c r="B4242" s="2">
        <v>160463</v>
      </c>
      <c r="C4242" s="2">
        <v>1</v>
      </c>
      <c r="D4242" s="2" t="s">
        <v>70</v>
      </c>
      <c r="E4242" s="2" t="s">
        <v>23</v>
      </c>
      <c r="F4242" s="2" t="s">
        <v>23</v>
      </c>
      <c r="G4242" s="2" t="s">
        <v>22</v>
      </c>
      <c r="H4242" s="2" t="s">
        <v>23</v>
      </c>
      <c r="I4242" s="2" t="s">
        <v>23</v>
      </c>
      <c r="J4242" s="2">
        <v>41</v>
      </c>
      <c r="K4242" s="2" t="s">
        <v>129</v>
      </c>
      <c r="L4242" s="2">
        <v>2089</v>
      </c>
      <c r="M4242" s="2" t="s">
        <v>87</v>
      </c>
      <c r="N4242" s="2">
        <v>5</v>
      </c>
      <c r="O4242" s="2">
        <v>241184.12</v>
      </c>
      <c r="P4242" s="2">
        <v>48236.82</v>
      </c>
    </row>
    <row r="4243" spans="1:16" outlineLevel="1" x14ac:dyDescent="0.2">
      <c r="A4243" s="5"/>
      <c r="D4243" s="3" t="s">
        <v>695</v>
      </c>
      <c r="N4243" s="2">
        <f>SUBTOTAL(9,N4242:N4242)</f>
        <v>5</v>
      </c>
      <c r="O4243" s="2">
        <f>SUBTOTAL(9,O4242:O4242)</f>
        <v>241184.12</v>
      </c>
      <c r="P4243" s="2">
        <f>+O4243/N4243</f>
        <v>48236.824000000001</v>
      </c>
    </row>
    <row r="4244" spans="1:16" outlineLevel="2" x14ac:dyDescent="0.2">
      <c r="A4244" s="5">
        <v>46204</v>
      </c>
      <c r="B4244" s="2">
        <v>160463</v>
      </c>
      <c r="C4244" s="2">
        <v>6</v>
      </c>
      <c r="D4244" s="2" t="s">
        <v>45</v>
      </c>
      <c r="E4244" s="2" t="s">
        <v>598</v>
      </c>
      <c r="F4244" s="2" t="s">
        <v>289</v>
      </c>
      <c r="G4244" s="2" t="s">
        <v>22</v>
      </c>
      <c r="H4244" s="2" t="s">
        <v>23</v>
      </c>
      <c r="I4244" s="2" t="s">
        <v>23</v>
      </c>
      <c r="J4244" s="2">
        <v>2</v>
      </c>
      <c r="K4244" s="2" t="s">
        <v>48</v>
      </c>
      <c r="L4244" s="2">
        <v>801</v>
      </c>
      <c r="M4244" s="2" t="s">
        <v>56</v>
      </c>
      <c r="N4244" s="2">
        <v>5</v>
      </c>
      <c r="O4244" s="2">
        <v>99603.42</v>
      </c>
      <c r="P4244" s="2">
        <v>19920.68</v>
      </c>
    </row>
    <row r="4245" spans="1:16" outlineLevel="1" x14ac:dyDescent="0.2">
      <c r="A4245" s="5"/>
      <c r="D4245" s="3" t="s">
        <v>733</v>
      </c>
      <c r="N4245" s="2">
        <f>SUBTOTAL(9,N4244:N4244)</f>
        <v>5</v>
      </c>
      <c r="O4245" s="2">
        <f>SUBTOTAL(9,O4244:O4244)</f>
        <v>99603.42</v>
      </c>
      <c r="P4245" s="2">
        <f>+O4245/N4245</f>
        <v>19920.684000000001</v>
      </c>
    </row>
    <row r="4246" spans="1:16" outlineLevel="2" x14ac:dyDescent="0.2">
      <c r="A4246" s="5">
        <v>46204</v>
      </c>
      <c r="B4246" s="2">
        <v>160469</v>
      </c>
      <c r="C4246" s="2">
        <v>1</v>
      </c>
      <c r="D4246" s="2" t="s">
        <v>140</v>
      </c>
      <c r="E4246" s="2" t="s">
        <v>55</v>
      </c>
      <c r="F4246" s="2" t="s">
        <v>23</v>
      </c>
      <c r="G4246" s="2" t="s">
        <v>22</v>
      </c>
      <c r="H4246" s="2" t="s">
        <v>23</v>
      </c>
      <c r="I4246" s="2" t="s">
        <v>23</v>
      </c>
      <c r="J4246" s="2">
        <v>1</v>
      </c>
      <c r="K4246" s="2" t="s">
        <v>24</v>
      </c>
      <c r="L4246" s="2">
        <v>1833</v>
      </c>
      <c r="M4246" s="2" t="s">
        <v>142</v>
      </c>
      <c r="N4246" s="2">
        <v>10</v>
      </c>
      <c r="O4246" s="2">
        <v>85958.7</v>
      </c>
      <c r="P4246" s="2">
        <v>8595.8700000000008</v>
      </c>
    </row>
    <row r="4247" spans="1:16" outlineLevel="2" x14ac:dyDescent="0.2">
      <c r="A4247" s="5">
        <v>46202</v>
      </c>
      <c r="B4247" s="2">
        <v>160470</v>
      </c>
      <c r="C4247" s="2">
        <v>1</v>
      </c>
      <c r="D4247" s="2" t="s">
        <v>140</v>
      </c>
      <c r="E4247" s="2" t="s">
        <v>55</v>
      </c>
      <c r="F4247" s="2" t="s">
        <v>108</v>
      </c>
      <c r="G4247" s="2" t="s">
        <v>22</v>
      </c>
      <c r="H4247" s="2" t="s">
        <v>23</v>
      </c>
      <c r="I4247" s="2" t="s">
        <v>23</v>
      </c>
      <c r="J4247" s="2">
        <v>1</v>
      </c>
      <c r="K4247" s="2" t="s">
        <v>24</v>
      </c>
      <c r="L4247" s="2">
        <v>1833</v>
      </c>
      <c r="M4247" s="2" t="s">
        <v>142</v>
      </c>
      <c r="N4247" s="2">
        <v>64</v>
      </c>
      <c r="O4247" s="2">
        <v>1374296.27</v>
      </c>
      <c r="P4247" s="2">
        <v>21473.38</v>
      </c>
    </row>
    <row r="4248" spans="1:16" outlineLevel="1" x14ac:dyDescent="0.2">
      <c r="A4248" s="5"/>
      <c r="D4248" s="3" t="s">
        <v>696</v>
      </c>
      <c r="N4248" s="2">
        <f>SUBTOTAL(9,N4246:N4247)</f>
        <v>74</v>
      </c>
      <c r="O4248" s="2">
        <f>SUBTOTAL(9,O4246:O4247)</f>
        <v>1460254.97</v>
      </c>
      <c r="P4248" s="2">
        <f>+O4248/N4248</f>
        <v>19733.175270270269</v>
      </c>
    </row>
    <row r="4249" spans="1:16" outlineLevel="2" x14ac:dyDescent="0.2">
      <c r="A4249" s="5">
        <v>46202</v>
      </c>
      <c r="B4249" s="2">
        <v>160471</v>
      </c>
      <c r="C4249" s="2">
        <v>1</v>
      </c>
      <c r="D4249" s="2" t="s">
        <v>38</v>
      </c>
      <c r="E4249" s="2" t="s">
        <v>39</v>
      </c>
      <c r="F4249" s="2" t="s">
        <v>52</v>
      </c>
      <c r="G4249" s="2" t="s">
        <v>22</v>
      </c>
      <c r="H4249" s="2" t="s">
        <v>23</v>
      </c>
      <c r="I4249" s="2" t="s">
        <v>614</v>
      </c>
      <c r="J4249" s="2">
        <v>1</v>
      </c>
      <c r="K4249" s="2" t="s">
        <v>24</v>
      </c>
      <c r="L4249" s="2">
        <v>206</v>
      </c>
      <c r="M4249" s="2" t="s">
        <v>516</v>
      </c>
      <c r="N4249" s="2">
        <v>144</v>
      </c>
      <c r="O4249" s="2">
        <v>3833730.56</v>
      </c>
      <c r="P4249" s="2">
        <v>26623.13</v>
      </c>
    </row>
    <row r="4250" spans="1:16" outlineLevel="2" x14ac:dyDescent="0.2">
      <c r="A4250" s="5">
        <v>46202</v>
      </c>
      <c r="B4250" s="2">
        <v>160471</v>
      </c>
      <c r="C4250" s="2">
        <v>2</v>
      </c>
      <c r="D4250" s="2" t="s">
        <v>38</v>
      </c>
      <c r="E4250" s="2" t="s">
        <v>39</v>
      </c>
      <c r="F4250" s="2" t="s">
        <v>52</v>
      </c>
      <c r="G4250" s="2" t="s">
        <v>22</v>
      </c>
      <c r="H4250" s="2" t="s">
        <v>23</v>
      </c>
      <c r="I4250" s="2" t="s">
        <v>410</v>
      </c>
      <c r="J4250" s="2">
        <v>1</v>
      </c>
      <c r="K4250" s="2" t="s">
        <v>24</v>
      </c>
      <c r="L4250" s="2">
        <v>206</v>
      </c>
      <c r="M4250" s="2" t="s">
        <v>516</v>
      </c>
      <c r="N4250" s="2">
        <v>95</v>
      </c>
      <c r="O4250" s="2">
        <v>2214940.29</v>
      </c>
      <c r="P4250" s="2">
        <v>23315.16</v>
      </c>
    </row>
    <row r="4251" spans="1:16" outlineLevel="1" x14ac:dyDescent="0.2">
      <c r="A4251" s="5"/>
      <c r="D4251" s="3" t="s">
        <v>721</v>
      </c>
      <c r="N4251" s="2">
        <f>SUBTOTAL(9,N4249:N4250)</f>
        <v>239</v>
      </c>
      <c r="O4251" s="2">
        <f>SUBTOTAL(9,O4249:O4250)</f>
        <v>6048670.8499999996</v>
      </c>
      <c r="P4251" s="2">
        <f>+O4251/N4251</f>
        <v>25308.246234309623</v>
      </c>
    </row>
    <row r="4252" spans="1:16" outlineLevel="2" x14ac:dyDescent="0.2">
      <c r="A4252" s="5">
        <v>46202</v>
      </c>
      <c r="B4252" s="2">
        <v>160472</v>
      </c>
      <c r="C4252" s="2">
        <v>1</v>
      </c>
      <c r="D4252" s="2" t="s">
        <v>19</v>
      </c>
      <c r="E4252" s="2" t="s">
        <v>611</v>
      </c>
      <c r="F4252" s="2" t="s">
        <v>199</v>
      </c>
      <c r="G4252" s="2" t="s">
        <v>22</v>
      </c>
      <c r="H4252" s="2" t="s">
        <v>23</v>
      </c>
      <c r="I4252" s="2" t="s">
        <v>23</v>
      </c>
      <c r="J4252" s="2">
        <v>39</v>
      </c>
      <c r="K4252" s="2" t="s">
        <v>172</v>
      </c>
      <c r="L4252" s="2">
        <v>253</v>
      </c>
      <c r="M4252" s="2" t="s">
        <v>265</v>
      </c>
      <c r="N4252" s="2">
        <v>60</v>
      </c>
      <c r="O4252" s="2">
        <v>315859.34999999998</v>
      </c>
      <c r="P4252" s="2">
        <v>5264.32</v>
      </c>
    </row>
    <row r="4253" spans="1:16" outlineLevel="1" x14ac:dyDescent="0.2">
      <c r="A4253" s="5"/>
      <c r="D4253" s="3" t="s">
        <v>704</v>
      </c>
      <c r="N4253" s="2">
        <f>SUBTOTAL(9,N4252:N4252)</f>
        <v>60</v>
      </c>
      <c r="O4253" s="2">
        <f>SUBTOTAL(9,O4252:O4252)</f>
        <v>315859.34999999998</v>
      </c>
      <c r="P4253" s="2">
        <f>+O4253/N4253</f>
        <v>5264.3224999999993</v>
      </c>
    </row>
    <row r="4254" spans="1:16" outlineLevel="2" x14ac:dyDescent="0.2">
      <c r="A4254" s="5">
        <v>46202</v>
      </c>
      <c r="B4254" s="2">
        <v>160473</v>
      </c>
      <c r="C4254" s="2">
        <v>1</v>
      </c>
      <c r="D4254" s="2" t="s">
        <v>38</v>
      </c>
      <c r="E4254" s="2" t="s">
        <v>39</v>
      </c>
      <c r="F4254" s="2" t="s">
        <v>144</v>
      </c>
      <c r="G4254" s="2" t="s">
        <v>22</v>
      </c>
      <c r="H4254" s="2" t="s">
        <v>23</v>
      </c>
      <c r="I4254" s="2" t="s">
        <v>23</v>
      </c>
      <c r="J4254" s="2">
        <v>1</v>
      </c>
      <c r="K4254" s="2" t="s">
        <v>24</v>
      </c>
      <c r="L4254" s="2">
        <v>25101</v>
      </c>
      <c r="M4254" s="2" t="s">
        <v>473</v>
      </c>
      <c r="N4254" s="2">
        <v>160</v>
      </c>
      <c r="O4254" s="2">
        <v>6162168.6699999999</v>
      </c>
      <c r="P4254" s="2">
        <v>38513.550000000003</v>
      </c>
    </row>
    <row r="4255" spans="1:16" outlineLevel="1" x14ac:dyDescent="0.2">
      <c r="A4255" s="5"/>
      <c r="D4255" s="3" t="s">
        <v>721</v>
      </c>
      <c r="N4255" s="2">
        <f>SUBTOTAL(9,N4254:N4254)</f>
        <v>160</v>
      </c>
      <c r="O4255" s="2">
        <f>SUBTOTAL(9,O4254:O4254)</f>
        <v>6162168.6699999999</v>
      </c>
      <c r="P4255" s="2">
        <f>+O4255/N4255</f>
        <v>38513.554187499998</v>
      </c>
    </row>
    <row r="4256" spans="1:16" outlineLevel="2" x14ac:dyDescent="0.2">
      <c r="A4256" s="5">
        <v>46202</v>
      </c>
      <c r="B4256" s="2">
        <v>160474</v>
      </c>
      <c r="C4256" s="2">
        <v>1</v>
      </c>
      <c r="D4256" s="2" t="s">
        <v>207</v>
      </c>
      <c r="E4256" s="2" t="s">
        <v>23</v>
      </c>
      <c r="F4256" s="2" t="s">
        <v>23</v>
      </c>
      <c r="G4256" s="2" t="s">
        <v>22</v>
      </c>
      <c r="H4256" s="2" t="s">
        <v>208</v>
      </c>
      <c r="I4256" s="2" t="s">
        <v>23</v>
      </c>
      <c r="J4256" s="2">
        <v>41</v>
      </c>
      <c r="K4256" s="2" t="s">
        <v>129</v>
      </c>
      <c r="L4256" s="2">
        <v>25213</v>
      </c>
      <c r="M4256" s="2" t="s">
        <v>130</v>
      </c>
      <c r="N4256" s="2">
        <v>100</v>
      </c>
      <c r="O4256" s="2">
        <v>347842.3</v>
      </c>
      <c r="P4256" s="2">
        <v>3478.42</v>
      </c>
    </row>
    <row r="4257" spans="1:16" outlineLevel="2" x14ac:dyDescent="0.2">
      <c r="A4257" s="5">
        <v>46202</v>
      </c>
      <c r="B4257" s="2">
        <v>160474</v>
      </c>
      <c r="C4257" s="2">
        <v>2</v>
      </c>
      <c r="D4257" s="2" t="s">
        <v>207</v>
      </c>
      <c r="E4257" s="2" t="s">
        <v>23</v>
      </c>
      <c r="F4257" s="2" t="s">
        <v>23</v>
      </c>
      <c r="G4257" s="2" t="s">
        <v>22</v>
      </c>
      <c r="H4257" s="2" t="s">
        <v>209</v>
      </c>
      <c r="I4257" s="2" t="s">
        <v>23</v>
      </c>
      <c r="J4257" s="2">
        <v>41</v>
      </c>
      <c r="K4257" s="2" t="s">
        <v>129</v>
      </c>
      <c r="L4257" s="2">
        <v>25213</v>
      </c>
      <c r="M4257" s="2" t="s">
        <v>130</v>
      </c>
      <c r="N4257" s="2">
        <v>50</v>
      </c>
      <c r="O4257" s="2">
        <v>151788.03</v>
      </c>
      <c r="P4257" s="2">
        <v>3035.76</v>
      </c>
    </row>
    <row r="4258" spans="1:16" outlineLevel="1" x14ac:dyDescent="0.2">
      <c r="A4258" s="5"/>
      <c r="D4258" s="3" t="s">
        <v>699</v>
      </c>
      <c r="N4258" s="2">
        <f>SUBTOTAL(9,N4256:N4257)</f>
        <v>150</v>
      </c>
      <c r="O4258" s="2">
        <f>SUBTOTAL(9,O4256:O4257)</f>
        <v>499630.32999999996</v>
      </c>
      <c r="P4258" s="2">
        <f>+O4258/N4258</f>
        <v>3330.8688666666662</v>
      </c>
    </row>
    <row r="4259" spans="1:16" outlineLevel="2" x14ac:dyDescent="0.2">
      <c r="A4259" s="5">
        <v>46202</v>
      </c>
      <c r="B4259" s="2">
        <v>160474</v>
      </c>
      <c r="C4259" s="2">
        <v>3</v>
      </c>
      <c r="D4259" s="2" t="s">
        <v>128</v>
      </c>
      <c r="E4259" s="2" t="s">
        <v>294</v>
      </c>
      <c r="F4259" s="2" t="s">
        <v>23</v>
      </c>
      <c r="G4259" s="2" t="s">
        <v>22</v>
      </c>
      <c r="H4259" s="2" t="s">
        <v>23</v>
      </c>
      <c r="I4259" s="2" t="s">
        <v>23</v>
      </c>
      <c r="J4259" s="2">
        <v>41</v>
      </c>
      <c r="K4259" s="2" t="s">
        <v>129</v>
      </c>
      <c r="L4259" s="2">
        <v>25213</v>
      </c>
      <c r="M4259" s="2" t="s">
        <v>130</v>
      </c>
      <c r="N4259" s="2">
        <v>50</v>
      </c>
      <c r="O4259" s="2">
        <v>185023.71</v>
      </c>
      <c r="P4259" s="2">
        <v>3700.47</v>
      </c>
    </row>
    <row r="4260" spans="1:16" outlineLevel="1" x14ac:dyDescent="0.2">
      <c r="A4260" s="5"/>
      <c r="D4260" s="3" t="s">
        <v>732</v>
      </c>
      <c r="N4260" s="2">
        <f>SUBTOTAL(9,N4259:N4259)</f>
        <v>50</v>
      </c>
      <c r="O4260" s="2">
        <f>SUBTOTAL(9,O4259:O4259)</f>
        <v>185023.71</v>
      </c>
      <c r="P4260" s="2">
        <f>+O4260/N4260</f>
        <v>3700.4741999999997</v>
      </c>
    </row>
    <row r="4261" spans="1:16" outlineLevel="2" x14ac:dyDescent="0.2">
      <c r="A4261" s="5">
        <v>46202</v>
      </c>
      <c r="B4261" s="2">
        <v>160474</v>
      </c>
      <c r="C4261" s="2">
        <v>4</v>
      </c>
      <c r="D4261" s="2" t="s">
        <v>207</v>
      </c>
      <c r="E4261" s="2" t="s">
        <v>527</v>
      </c>
      <c r="F4261" s="2" t="s">
        <v>23</v>
      </c>
      <c r="G4261" s="2" t="s">
        <v>527</v>
      </c>
      <c r="H4261" s="2" t="s">
        <v>23</v>
      </c>
      <c r="I4261" s="2" t="s">
        <v>23</v>
      </c>
      <c r="J4261" s="2">
        <v>1</v>
      </c>
      <c r="K4261" s="2" t="s">
        <v>24</v>
      </c>
      <c r="L4261" s="2">
        <v>25213</v>
      </c>
      <c r="M4261" s="2" t="s">
        <v>130</v>
      </c>
      <c r="N4261" s="2">
        <v>4</v>
      </c>
      <c r="O4261" s="2">
        <v>268226.44</v>
      </c>
      <c r="P4261" s="2">
        <v>67056.61</v>
      </c>
    </row>
    <row r="4262" spans="1:16" outlineLevel="1" x14ac:dyDescent="0.2">
      <c r="A4262" s="5"/>
      <c r="D4262" s="3" t="s">
        <v>699</v>
      </c>
      <c r="N4262" s="2">
        <f>SUBTOTAL(9,N4261:N4261)</f>
        <v>4</v>
      </c>
      <c r="O4262" s="2">
        <f>SUBTOTAL(9,O4261:O4261)</f>
        <v>268226.44</v>
      </c>
      <c r="P4262" s="2">
        <f>+O4262/N4262</f>
        <v>67056.61</v>
      </c>
    </row>
    <row r="4263" spans="1:16" outlineLevel="2" x14ac:dyDescent="0.2">
      <c r="A4263" s="5">
        <v>46202</v>
      </c>
      <c r="B4263" s="2">
        <v>160479</v>
      </c>
      <c r="C4263" s="2">
        <v>1</v>
      </c>
      <c r="D4263" s="2" t="s">
        <v>579</v>
      </c>
      <c r="E4263" s="2" t="s">
        <v>23</v>
      </c>
      <c r="F4263" s="2" t="s">
        <v>23</v>
      </c>
      <c r="G4263" s="2" t="s">
        <v>22</v>
      </c>
      <c r="H4263" s="2" t="s">
        <v>23</v>
      </c>
      <c r="I4263" s="2" t="s">
        <v>23</v>
      </c>
      <c r="J4263" s="2">
        <v>41</v>
      </c>
      <c r="K4263" s="2" t="s">
        <v>129</v>
      </c>
      <c r="L4263" s="2">
        <v>2338</v>
      </c>
      <c r="M4263" s="2" t="s">
        <v>417</v>
      </c>
      <c r="N4263" s="2">
        <v>320</v>
      </c>
      <c r="O4263" s="2">
        <v>377800.33</v>
      </c>
      <c r="P4263" s="2">
        <v>1180.6300000000001</v>
      </c>
    </row>
    <row r="4264" spans="1:16" outlineLevel="1" x14ac:dyDescent="0.2">
      <c r="A4264" s="5"/>
      <c r="D4264" s="3" t="s">
        <v>800</v>
      </c>
      <c r="N4264" s="2">
        <f>SUBTOTAL(9,N4263:N4263)</f>
        <v>320</v>
      </c>
      <c r="O4264" s="2">
        <f>SUBTOTAL(9,O4263:O4263)</f>
        <v>377800.33</v>
      </c>
      <c r="P4264" s="2">
        <f>+O4264/N4264</f>
        <v>1180.6260312500001</v>
      </c>
    </row>
    <row r="4265" spans="1:16" outlineLevel="2" x14ac:dyDescent="0.2">
      <c r="A4265" s="5">
        <v>46202</v>
      </c>
      <c r="B4265" s="2">
        <v>160479</v>
      </c>
      <c r="C4265" s="2">
        <v>2</v>
      </c>
      <c r="D4265" s="2" t="s">
        <v>470</v>
      </c>
      <c r="E4265" s="2" t="s">
        <v>23</v>
      </c>
      <c r="F4265" s="2" t="s">
        <v>23</v>
      </c>
      <c r="G4265" s="2" t="s">
        <v>22</v>
      </c>
      <c r="H4265" s="2" t="s">
        <v>23</v>
      </c>
      <c r="I4265" s="2" t="s">
        <v>23</v>
      </c>
      <c r="J4265" s="2">
        <v>86</v>
      </c>
      <c r="K4265" s="2" t="s">
        <v>73</v>
      </c>
      <c r="L4265" s="2">
        <v>2338</v>
      </c>
      <c r="M4265" s="2" t="s">
        <v>417</v>
      </c>
      <c r="N4265" s="2">
        <v>2</v>
      </c>
      <c r="O4265" s="2">
        <v>92739.88</v>
      </c>
      <c r="P4265" s="2">
        <v>46369.94</v>
      </c>
    </row>
    <row r="4266" spans="1:16" outlineLevel="1" x14ac:dyDescent="0.2">
      <c r="A4266" s="5"/>
      <c r="D4266" s="3" t="s">
        <v>779</v>
      </c>
      <c r="N4266" s="2">
        <f>SUBTOTAL(9,N4265:N4265)</f>
        <v>2</v>
      </c>
      <c r="O4266" s="2">
        <f>SUBTOTAL(9,O4265:O4265)</f>
        <v>92739.88</v>
      </c>
      <c r="P4266" s="2">
        <f>+O4266/N4266</f>
        <v>46369.94</v>
      </c>
    </row>
    <row r="4267" spans="1:16" outlineLevel="2" x14ac:dyDescent="0.2">
      <c r="A4267" s="5">
        <v>46203</v>
      </c>
      <c r="B4267" s="2">
        <v>160491</v>
      </c>
      <c r="C4267" s="2">
        <v>1</v>
      </c>
      <c r="D4267" s="2" t="s">
        <v>338</v>
      </c>
      <c r="E4267" s="2" t="s">
        <v>615</v>
      </c>
      <c r="F4267" s="2" t="s">
        <v>23</v>
      </c>
      <c r="G4267" s="2" t="s">
        <v>22</v>
      </c>
      <c r="H4267" s="2" t="s">
        <v>23</v>
      </c>
      <c r="I4267" s="2" t="s">
        <v>23</v>
      </c>
      <c r="J4267" s="2">
        <v>2</v>
      </c>
      <c r="K4267" s="2" t="s">
        <v>48</v>
      </c>
      <c r="L4267" s="2">
        <v>29104</v>
      </c>
      <c r="M4267" s="2" t="s">
        <v>616</v>
      </c>
      <c r="N4267" s="2">
        <v>33</v>
      </c>
      <c r="O4267" s="2">
        <v>549163.93000000005</v>
      </c>
      <c r="P4267" s="2">
        <v>16641.330000000002</v>
      </c>
    </row>
    <row r="4268" spans="1:16" outlineLevel="2" x14ac:dyDescent="0.2">
      <c r="A4268" s="5">
        <v>46211</v>
      </c>
      <c r="B4268" s="2">
        <v>160499</v>
      </c>
      <c r="C4268" s="2">
        <v>1</v>
      </c>
      <c r="D4268" s="2" t="s">
        <v>338</v>
      </c>
      <c r="E4268" s="2" t="s">
        <v>23</v>
      </c>
      <c r="F4268" s="2" t="s">
        <v>23</v>
      </c>
      <c r="G4268" s="2" t="s">
        <v>22</v>
      </c>
      <c r="H4268" s="2" t="s">
        <v>23</v>
      </c>
      <c r="I4268" s="2" t="s">
        <v>23</v>
      </c>
      <c r="J4268" s="2">
        <v>2</v>
      </c>
      <c r="K4268" s="2" t="s">
        <v>48</v>
      </c>
      <c r="L4268" s="2">
        <v>29104</v>
      </c>
      <c r="M4268" s="2" t="s">
        <v>616</v>
      </c>
      <c r="N4268" s="2">
        <v>18</v>
      </c>
      <c r="O4268" s="2">
        <v>36568.800000000003</v>
      </c>
      <c r="P4268" s="2">
        <v>2031.6</v>
      </c>
    </row>
    <row r="4269" spans="1:16" outlineLevel="1" x14ac:dyDescent="0.2">
      <c r="A4269" s="5"/>
      <c r="D4269" s="3" t="s">
        <v>754</v>
      </c>
      <c r="N4269" s="2">
        <f>SUBTOTAL(9,N4267:N4268)</f>
        <v>51</v>
      </c>
      <c r="O4269" s="2">
        <f>SUBTOTAL(9,O4267:O4268)</f>
        <v>585732.7300000001</v>
      </c>
      <c r="P4269" s="2">
        <f>+O4269/N4269</f>
        <v>11484.95549019608</v>
      </c>
    </row>
    <row r="4270" spans="1:16" outlineLevel="2" x14ac:dyDescent="0.2">
      <c r="A4270" s="5">
        <v>46213</v>
      </c>
      <c r="B4270" s="2">
        <v>160501</v>
      </c>
      <c r="C4270" s="2">
        <v>2</v>
      </c>
      <c r="D4270" s="2" t="s">
        <v>45</v>
      </c>
      <c r="E4270" s="2" t="s">
        <v>46</v>
      </c>
      <c r="F4270" s="2" t="s">
        <v>23</v>
      </c>
      <c r="G4270" s="2" t="s">
        <v>22</v>
      </c>
      <c r="H4270" s="2" t="s">
        <v>23</v>
      </c>
      <c r="I4270" s="2" t="s">
        <v>23</v>
      </c>
      <c r="J4270" s="2">
        <v>2</v>
      </c>
      <c r="K4270" s="2" t="s">
        <v>48</v>
      </c>
      <c r="L4270" s="2">
        <v>600</v>
      </c>
      <c r="M4270" s="2" t="s">
        <v>112</v>
      </c>
      <c r="N4270" s="2">
        <v>2</v>
      </c>
      <c r="O4270" s="2">
        <v>46067.96</v>
      </c>
      <c r="P4270" s="2">
        <v>23033.98</v>
      </c>
    </row>
    <row r="4271" spans="1:16" outlineLevel="2" x14ac:dyDescent="0.2">
      <c r="A4271" s="5">
        <v>46204</v>
      </c>
      <c r="B4271" s="2">
        <v>160502</v>
      </c>
      <c r="C4271" s="2">
        <v>1</v>
      </c>
      <c r="D4271" s="2" t="s">
        <v>45</v>
      </c>
      <c r="E4271" s="2" t="s">
        <v>125</v>
      </c>
      <c r="F4271" s="2" t="s">
        <v>63</v>
      </c>
      <c r="G4271" s="2" t="s">
        <v>22</v>
      </c>
      <c r="H4271" s="2" t="s">
        <v>23</v>
      </c>
      <c r="I4271" s="2" t="s">
        <v>23</v>
      </c>
      <c r="J4271" s="2">
        <v>40</v>
      </c>
      <c r="K4271" s="2" t="s">
        <v>43</v>
      </c>
      <c r="L4271" s="2">
        <v>21</v>
      </c>
      <c r="M4271" s="2" t="s">
        <v>118</v>
      </c>
      <c r="N4271" s="2">
        <v>196</v>
      </c>
      <c r="O4271" s="2">
        <v>7679949.3300000001</v>
      </c>
      <c r="P4271" s="2">
        <v>39183.410000000003</v>
      </c>
    </row>
    <row r="4272" spans="1:16" outlineLevel="1" x14ac:dyDescent="0.2">
      <c r="A4272" s="5"/>
      <c r="D4272" s="3" t="s">
        <v>733</v>
      </c>
      <c r="N4272" s="2">
        <f>SUBTOTAL(9,N4270:N4271)</f>
        <v>198</v>
      </c>
      <c r="O4272" s="2">
        <f>SUBTOTAL(9,O4270:O4271)</f>
        <v>7726017.29</v>
      </c>
      <c r="P4272" s="2">
        <f>+O4272/N4272</f>
        <v>39020.289343434342</v>
      </c>
    </row>
    <row r="4273" spans="1:16" outlineLevel="2" x14ac:dyDescent="0.2">
      <c r="A4273" s="5">
        <v>46204</v>
      </c>
      <c r="B4273" s="2">
        <v>160503</v>
      </c>
      <c r="C4273" s="2">
        <v>1</v>
      </c>
      <c r="D4273" s="2" t="s">
        <v>229</v>
      </c>
      <c r="E4273" s="2" t="s">
        <v>439</v>
      </c>
      <c r="F4273" s="2" t="s">
        <v>40</v>
      </c>
      <c r="G4273" s="2" t="s">
        <v>22</v>
      </c>
      <c r="H4273" s="2" t="s">
        <v>23</v>
      </c>
      <c r="I4273" s="2" t="s">
        <v>482</v>
      </c>
      <c r="J4273" s="2">
        <v>1</v>
      </c>
      <c r="K4273" s="2" t="s">
        <v>24</v>
      </c>
      <c r="L4273" s="2">
        <v>331</v>
      </c>
      <c r="M4273" s="2" t="s">
        <v>356</v>
      </c>
      <c r="N4273" s="2">
        <v>276</v>
      </c>
      <c r="O4273" s="2">
        <v>2844543.44</v>
      </c>
      <c r="P4273" s="2">
        <v>10306.32</v>
      </c>
    </row>
    <row r="4274" spans="1:16" outlineLevel="2" x14ac:dyDescent="0.2">
      <c r="A4274" s="5">
        <v>46210</v>
      </c>
      <c r="B4274" s="2">
        <v>160503</v>
      </c>
      <c r="C4274" s="2">
        <v>2</v>
      </c>
      <c r="D4274" s="2" t="s">
        <v>229</v>
      </c>
      <c r="E4274" s="2" t="s">
        <v>439</v>
      </c>
      <c r="F4274" s="2" t="s">
        <v>40</v>
      </c>
      <c r="G4274" s="2" t="s">
        <v>22</v>
      </c>
      <c r="H4274" s="2" t="s">
        <v>23</v>
      </c>
      <c r="I4274" s="2" t="s">
        <v>180</v>
      </c>
      <c r="J4274" s="2">
        <v>1</v>
      </c>
      <c r="K4274" s="2" t="s">
        <v>24</v>
      </c>
      <c r="L4274" s="2">
        <v>331</v>
      </c>
      <c r="M4274" s="2" t="s">
        <v>356</v>
      </c>
      <c r="N4274" s="2">
        <v>91</v>
      </c>
      <c r="O4274" s="2">
        <v>967563.53</v>
      </c>
      <c r="P4274" s="2">
        <v>10632.57</v>
      </c>
    </row>
    <row r="4275" spans="1:16" outlineLevel="2" x14ac:dyDescent="0.2">
      <c r="A4275" s="5">
        <v>46204</v>
      </c>
      <c r="B4275" s="2">
        <v>160503</v>
      </c>
      <c r="C4275" s="2">
        <v>3</v>
      </c>
      <c r="D4275" s="2" t="s">
        <v>229</v>
      </c>
      <c r="E4275" s="2" t="s">
        <v>439</v>
      </c>
      <c r="F4275" s="2" t="s">
        <v>40</v>
      </c>
      <c r="G4275" s="2" t="s">
        <v>22</v>
      </c>
      <c r="H4275" s="2" t="s">
        <v>23</v>
      </c>
      <c r="I4275" s="2" t="s">
        <v>355</v>
      </c>
      <c r="J4275" s="2">
        <v>1</v>
      </c>
      <c r="K4275" s="2" t="s">
        <v>24</v>
      </c>
      <c r="L4275" s="2">
        <v>331</v>
      </c>
      <c r="M4275" s="2" t="s">
        <v>356</v>
      </c>
      <c r="N4275" s="2">
        <v>268</v>
      </c>
      <c r="O4275" s="2">
        <v>2684761.17</v>
      </c>
      <c r="P4275" s="2">
        <v>10017.77</v>
      </c>
    </row>
    <row r="4276" spans="1:16" outlineLevel="1" x14ac:dyDescent="0.2">
      <c r="A4276" s="5"/>
      <c r="D4276" s="3" t="s">
        <v>737</v>
      </c>
      <c r="N4276" s="2">
        <f>SUBTOTAL(9,N4273:N4275)</f>
        <v>635</v>
      </c>
      <c r="O4276" s="2">
        <f>SUBTOTAL(9,O4273:O4275)</f>
        <v>6496868.1399999997</v>
      </c>
      <c r="P4276" s="2">
        <f>+O4276/N4276</f>
        <v>10231.288409448818</v>
      </c>
    </row>
    <row r="4277" spans="1:16" outlineLevel="2" x14ac:dyDescent="0.2">
      <c r="A4277" s="5">
        <v>46202</v>
      </c>
      <c r="B4277" s="2">
        <v>160504</v>
      </c>
      <c r="C4277" s="2">
        <v>1</v>
      </c>
      <c r="D4277" s="2" t="s">
        <v>38</v>
      </c>
      <c r="E4277" s="2" t="s">
        <v>39</v>
      </c>
      <c r="F4277" s="2" t="s">
        <v>40</v>
      </c>
      <c r="G4277" s="2" t="s">
        <v>22</v>
      </c>
      <c r="H4277" s="2" t="s">
        <v>23</v>
      </c>
      <c r="I4277" s="2" t="s">
        <v>184</v>
      </c>
      <c r="J4277" s="2">
        <v>40</v>
      </c>
      <c r="K4277" s="2" t="s">
        <v>43</v>
      </c>
      <c r="L4277" s="2">
        <v>25243</v>
      </c>
      <c r="M4277" s="2" t="s">
        <v>617</v>
      </c>
      <c r="N4277" s="2">
        <v>440</v>
      </c>
      <c r="O4277" s="2">
        <v>13484018.52</v>
      </c>
      <c r="P4277" s="2">
        <v>30645.5</v>
      </c>
    </row>
    <row r="4278" spans="1:16" outlineLevel="2" x14ac:dyDescent="0.2">
      <c r="A4278" s="5">
        <v>46202</v>
      </c>
      <c r="B4278" s="2">
        <v>160504</v>
      </c>
      <c r="C4278" s="2">
        <v>2</v>
      </c>
      <c r="D4278" s="2" t="s">
        <v>38</v>
      </c>
      <c r="E4278" s="2" t="s">
        <v>39</v>
      </c>
      <c r="F4278" s="2" t="s">
        <v>40</v>
      </c>
      <c r="G4278" s="2" t="s">
        <v>22</v>
      </c>
      <c r="H4278" s="2" t="s">
        <v>23</v>
      </c>
      <c r="I4278" s="2" t="s">
        <v>614</v>
      </c>
      <c r="J4278" s="2">
        <v>40</v>
      </c>
      <c r="K4278" s="2" t="s">
        <v>43</v>
      </c>
      <c r="L4278" s="2">
        <v>25243</v>
      </c>
      <c r="M4278" s="2" t="s">
        <v>617</v>
      </c>
      <c r="N4278" s="2">
        <v>248</v>
      </c>
      <c r="O4278" s="2">
        <v>7906803.5899999999</v>
      </c>
      <c r="P4278" s="2">
        <v>31882.27</v>
      </c>
    </row>
    <row r="4279" spans="1:16" outlineLevel="2" x14ac:dyDescent="0.2">
      <c r="A4279" s="5">
        <v>46202</v>
      </c>
      <c r="B4279" s="2">
        <v>160504</v>
      </c>
      <c r="C4279" s="2">
        <v>3</v>
      </c>
      <c r="D4279" s="2" t="s">
        <v>38</v>
      </c>
      <c r="E4279" s="2" t="s">
        <v>39</v>
      </c>
      <c r="F4279" s="2" t="s">
        <v>40</v>
      </c>
      <c r="G4279" s="2" t="s">
        <v>22</v>
      </c>
      <c r="H4279" s="2" t="s">
        <v>23</v>
      </c>
      <c r="I4279" s="2" t="s">
        <v>445</v>
      </c>
      <c r="J4279" s="2">
        <v>40</v>
      </c>
      <c r="K4279" s="2" t="s">
        <v>43</v>
      </c>
      <c r="L4279" s="2">
        <v>25243</v>
      </c>
      <c r="M4279" s="2" t="s">
        <v>617</v>
      </c>
      <c r="N4279" s="2">
        <v>176</v>
      </c>
      <c r="O4279" s="2">
        <v>5622431.4199999999</v>
      </c>
      <c r="P4279" s="2">
        <v>31945.63</v>
      </c>
    </row>
    <row r="4280" spans="1:16" outlineLevel="2" x14ac:dyDescent="0.2">
      <c r="A4280" s="5">
        <v>46209</v>
      </c>
      <c r="B4280" s="2">
        <v>160504</v>
      </c>
      <c r="C4280" s="2">
        <v>4</v>
      </c>
      <c r="D4280" s="2" t="s">
        <v>38</v>
      </c>
      <c r="E4280" s="2" t="s">
        <v>39</v>
      </c>
      <c r="F4280" s="2" t="s">
        <v>40</v>
      </c>
      <c r="G4280" s="2" t="s">
        <v>22</v>
      </c>
      <c r="H4280" s="2" t="s">
        <v>23</v>
      </c>
      <c r="I4280" s="2" t="s">
        <v>410</v>
      </c>
      <c r="J4280" s="2">
        <v>40</v>
      </c>
      <c r="K4280" s="2" t="s">
        <v>43</v>
      </c>
      <c r="L4280" s="2">
        <v>25243</v>
      </c>
      <c r="M4280" s="2" t="s">
        <v>617</v>
      </c>
      <c r="N4280" s="2">
        <v>440</v>
      </c>
      <c r="O4280" s="2">
        <v>13951671.01</v>
      </c>
      <c r="P4280" s="2">
        <v>31708.34</v>
      </c>
    </row>
    <row r="4281" spans="1:16" outlineLevel="2" x14ac:dyDescent="0.2">
      <c r="A4281" s="5">
        <v>46209</v>
      </c>
      <c r="B4281" s="2">
        <v>160504</v>
      </c>
      <c r="C4281" s="2">
        <v>5</v>
      </c>
      <c r="D4281" s="2" t="s">
        <v>38</v>
      </c>
      <c r="E4281" s="2" t="s">
        <v>39</v>
      </c>
      <c r="F4281" s="2" t="s">
        <v>40</v>
      </c>
      <c r="G4281" s="2" t="s">
        <v>22</v>
      </c>
      <c r="H4281" s="2" t="s">
        <v>23</v>
      </c>
      <c r="I4281" s="2" t="s">
        <v>334</v>
      </c>
      <c r="J4281" s="2">
        <v>40</v>
      </c>
      <c r="K4281" s="2" t="s">
        <v>43</v>
      </c>
      <c r="L4281" s="2">
        <v>25243</v>
      </c>
      <c r="M4281" s="2" t="s">
        <v>617</v>
      </c>
      <c r="N4281" s="2">
        <v>16</v>
      </c>
      <c r="O4281" s="2">
        <v>513226.61</v>
      </c>
      <c r="P4281" s="2">
        <v>32076.66</v>
      </c>
    </row>
    <row r="4282" spans="1:16" outlineLevel="2" x14ac:dyDescent="0.2">
      <c r="A4282" s="5">
        <v>46209</v>
      </c>
      <c r="B4282" s="2">
        <v>160504</v>
      </c>
      <c r="C4282" s="2">
        <v>6</v>
      </c>
      <c r="D4282" s="2" t="s">
        <v>38</v>
      </c>
      <c r="E4282" s="2" t="s">
        <v>39</v>
      </c>
      <c r="F4282" s="2" t="s">
        <v>40</v>
      </c>
      <c r="G4282" s="2" t="s">
        <v>22</v>
      </c>
      <c r="H4282" s="2" t="s">
        <v>23</v>
      </c>
      <c r="I4282" s="2" t="s">
        <v>124</v>
      </c>
      <c r="J4282" s="2">
        <v>40</v>
      </c>
      <c r="K4282" s="2" t="s">
        <v>43</v>
      </c>
      <c r="L4282" s="2">
        <v>25243</v>
      </c>
      <c r="M4282" s="2" t="s">
        <v>617</v>
      </c>
      <c r="N4282" s="2">
        <v>61</v>
      </c>
      <c r="O4282" s="2">
        <v>1822319.69</v>
      </c>
      <c r="P4282" s="2">
        <v>29874.09</v>
      </c>
    </row>
    <row r="4283" spans="1:16" outlineLevel="2" x14ac:dyDescent="0.2">
      <c r="A4283" s="5">
        <v>46206</v>
      </c>
      <c r="B4283" s="2">
        <v>160505</v>
      </c>
      <c r="C4283" s="2">
        <v>2</v>
      </c>
      <c r="D4283" s="2" t="s">
        <v>38</v>
      </c>
      <c r="E4283" s="2" t="s">
        <v>39</v>
      </c>
      <c r="F4283" s="2" t="s">
        <v>40</v>
      </c>
      <c r="G4283" s="2" t="s">
        <v>22</v>
      </c>
      <c r="H4283" s="2" t="s">
        <v>23</v>
      </c>
      <c r="I4283" s="2" t="s">
        <v>184</v>
      </c>
      <c r="J4283" s="2">
        <v>40</v>
      </c>
      <c r="K4283" s="2" t="s">
        <v>43</v>
      </c>
      <c r="L4283" s="2">
        <v>25243</v>
      </c>
      <c r="M4283" s="2" t="s">
        <v>617</v>
      </c>
      <c r="N4283" s="2">
        <v>704</v>
      </c>
      <c r="O4283" s="2">
        <v>22398056.309999999</v>
      </c>
      <c r="P4283" s="2">
        <v>31815.42</v>
      </c>
    </row>
    <row r="4284" spans="1:16" outlineLevel="2" x14ac:dyDescent="0.2">
      <c r="A4284" s="5">
        <v>46209</v>
      </c>
      <c r="B4284" s="2">
        <v>160505</v>
      </c>
      <c r="C4284" s="2">
        <v>3</v>
      </c>
      <c r="D4284" s="2" t="s">
        <v>38</v>
      </c>
      <c r="E4284" s="2" t="s">
        <v>39</v>
      </c>
      <c r="F4284" s="2" t="s">
        <v>40</v>
      </c>
      <c r="G4284" s="2" t="s">
        <v>22</v>
      </c>
      <c r="H4284" s="2" t="s">
        <v>23</v>
      </c>
      <c r="I4284" s="2" t="s">
        <v>614</v>
      </c>
      <c r="J4284" s="2">
        <v>40</v>
      </c>
      <c r="K4284" s="2" t="s">
        <v>43</v>
      </c>
      <c r="L4284" s="2">
        <v>25243</v>
      </c>
      <c r="M4284" s="2" t="s">
        <v>617</v>
      </c>
      <c r="N4284" s="2">
        <v>616</v>
      </c>
      <c r="O4284" s="2">
        <v>19252068.219999999</v>
      </c>
      <c r="P4284" s="2">
        <v>31253.360000000001</v>
      </c>
    </row>
    <row r="4285" spans="1:16" outlineLevel="2" x14ac:dyDescent="0.2">
      <c r="A4285" s="5">
        <v>46209</v>
      </c>
      <c r="B4285" s="2">
        <v>160505</v>
      </c>
      <c r="C4285" s="2">
        <v>4</v>
      </c>
      <c r="D4285" s="2" t="s">
        <v>38</v>
      </c>
      <c r="E4285" s="2" t="s">
        <v>39</v>
      </c>
      <c r="F4285" s="2" t="s">
        <v>40</v>
      </c>
      <c r="G4285" s="2" t="s">
        <v>22</v>
      </c>
      <c r="H4285" s="2" t="s">
        <v>23</v>
      </c>
      <c r="I4285" s="2" t="s">
        <v>394</v>
      </c>
      <c r="J4285" s="2">
        <v>40</v>
      </c>
      <c r="K4285" s="2" t="s">
        <v>43</v>
      </c>
      <c r="L4285" s="2">
        <v>25243</v>
      </c>
      <c r="M4285" s="2" t="s">
        <v>617</v>
      </c>
      <c r="N4285" s="2">
        <v>56</v>
      </c>
      <c r="O4285" s="2">
        <v>1729525.12</v>
      </c>
      <c r="P4285" s="2">
        <v>30884.38</v>
      </c>
    </row>
    <row r="4286" spans="1:16" outlineLevel="1" x14ac:dyDescent="0.2">
      <c r="A4286" s="5"/>
      <c r="D4286" s="3" t="s">
        <v>721</v>
      </c>
      <c r="N4286" s="2">
        <f>SUBTOTAL(9,N4277:N4285)</f>
        <v>2757</v>
      </c>
      <c r="O4286" s="2">
        <f>SUBTOTAL(9,O4277:O4285)</f>
        <v>86680120.489999995</v>
      </c>
      <c r="P4286" s="2">
        <f>+O4286/N4286</f>
        <v>31440.014686253173</v>
      </c>
    </row>
    <row r="4287" spans="1:16" outlineLevel="2" x14ac:dyDescent="0.2">
      <c r="A4287" s="5">
        <v>46223</v>
      </c>
      <c r="B4287" s="2">
        <v>160506</v>
      </c>
      <c r="C4287" s="2">
        <v>1</v>
      </c>
      <c r="D4287" s="2" t="s">
        <v>92</v>
      </c>
      <c r="E4287" s="2" t="s">
        <v>93</v>
      </c>
      <c r="F4287" s="2" t="s">
        <v>40</v>
      </c>
      <c r="G4287" s="2" t="s">
        <v>22</v>
      </c>
      <c r="H4287" s="2" t="s">
        <v>23</v>
      </c>
      <c r="I4287" s="2" t="s">
        <v>23</v>
      </c>
      <c r="J4287" s="2">
        <v>5</v>
      </c>
      <c r="K4287" s="2" t="s">
        <v>27</v>
      </c>
      <c r="L4287" s="2">
        <v>2521</v>
      </c>
      <c r="M4287" s="2" t="s">
        <v>82</v>
      </c>
      <c r="N4287" s="2">
        <v>50</v>
      </c>
      <c r="O4287" s="2">
        <v>1055277.73</v>
      </c>
      <c r="P4287" s="2">
        <v>21105.55</v>
      </c>
    </row>
    <row r="4288" spans="1:16" outlineLevel="1" x14ac:dyDescent="0.2">
      <c r="A4288" s="5"/>
      <c r="D4288" s="3" t="s">
        <v>702</v>
      </c>
      <c r="N4288" s="2">
        <f>SUBTOTAL(9,N4287:N4287)</f>
        <v>50</v>
      </c>
      <c r="O4288" s="2">
        <f>SUBTOTAL(9,O4287:O4287)</f>
        <v>1055277.73</v>
      </c>
      <c r="P4288" s="2">
        <f>+O4288/N4288</f>
        <v>21105.554599999999</v>
      </c>
    </row>
    <row r="4289" spans="1:16" outlineLevel="2" x14ac:dyDescent="0.2">
      <c r="A4289" s="5">
        <v>46209</v>
      </c>
      <c r="B4289" s="2">
        <v>160506</v>
      </c>
      <c r="C4289" s="2">
        <v>2</v>
      </c>
      <c r="D4289" s="2" t="s">
        <v>618</v>
      </c>
      <c r="E4289" s="2" t="s">
        <v>469</v>
      </c>
      <c r="F4289" s="2" t="s">
        <v>40</v>
      </c>
      <c r="G4289" s="2" t="s">
        <v>22</v>
      </c>
      <c r="H4289" s="2" t="s">
        <v>23</v>
      </c>
      <c r="I4289" s="2" t="s">
        <v>23</v>
      </c>
      <c r="J4289" s="2">
        <v>5</v>
      </c>
      <c r="K4289" s="2" t="s">
        <v>27</v>
      </c>
      <c r="L4289" s="2">
        <v>2521</v>
      </c>
      <c r="M4289" s="2" t="s">
        <v>82</v>
      </c>
      <c r="N4289" s="2">
        <v>45</v>
      </c>
      <c r="O4289" s="2">
        <v>1278837.6200000001</v>
      </c>
      <c r="P4289" s="2">
        <v>28418.61</v>
      </c>
    </row>
    <row r="4290" spans="1:16" outlineLevel="2" x14ac:dyDescent="0.2">
      <c r="A4290" s="5">
        <v>46209</v>
      </c>
      <c r="B4290" s="2">
        <v>160506</v>
      </c>
      <c r="C4290" s="2">
        <v>3</v>
      </c>
      <c r="D4290" s="2" t="s">
        <v>618</v>
      </c>
      <c r="E4290" s="2" t="s">
        <v>619</v>
      </c>
      <c r="F4290" s="2" t="s">
        <v>40</v>
      </c>
      <c r="G4290" s="2" t="s">
        <v>22</v>
      </c>
      <c r="H4290" s="2" t="s">
        <v>23</v>
      </c>
      <c r="I4290" s="2" t="s">
        <v>23</v>
      </c>
      <c r="J4290" s="2">
        <v>5</v>
      </c>
      <c r="K4290" s="2" t="s">
        <v>27</v>
      </c>
      <c r="L4290" s="2">
        <v>2521</v>
      </c>
      <c r="M4290" s="2" t="s">
        <v>82</v>
      </c>
      <c r="N4290" s="2">
        <v>40</v>
      </c>
      <c r="O4290" s="2">
        <v>1158727.1100000001</v>
      </c>
      <c r="P4290" s="2">
        <v>28968.18</v>
      </c>
    </row>
    <row r="4291" spans="1:16" outlineLevel="1" x14ac:dyDescent="0.2">
      <c r="A4291" s="5"/>
      <c r="D4291" s="3" t="s">
        <v>804</v>
      </c>
      <c r="N4291" s="2">
        <f>SUBTOTAL(9,N4289:N4290)</f>
        <v>85</v>
      </c>
      <c r="O4291" s="2">
        <f>SUBTOTAL(9,O4289:O4290)</f>
        <v>2437564.7300000004</v>
      </c>
      <c r="P4291" s="2">
        <f>+O4291/N4291</f>
        <v>28677.232117647065</v>
      </c>
    </row>
    <row r="4292" spans="1:16" outlineLevel="2" x14ac:dyDescent="0.2">
      <c r="A4292" s="5">
        <v>46199</v>
      </c>
      <c r="B4292" s="2">
        <v>160507</v>
      </c>
      <c r="C4292" s="2">
        <v>1</v>
      </c>
      <c r="D4292" s="2" t="s">
        <v>178</v>
      </c>
      <c r="E4292" s="2" t="s">
        <v>179</v>
      </c>
      <c r="F4292" s="2" t="s">
        <v>23</v>
      </c>
      <c r="G4292" s="2" t="s">
        <v>22</v>
      </c>
      <c r="H4292" s="2" t="s">
        <v>23</v>
      </c>
      <c r="I4292" s="2" t="s">
        <v>273</v>
      </c>
      <c r="J4292" s="2">
        <v>1</v>
      </c>
      <c r="K4292" s="2" t="s">
        <v>24</v>
      </c>
      <c r="L4292" s="2">
        <v>25245</v>
      </c>
      <c r="M4292" s="2" t="s">
        <v>620</v>
      </c>
      <c r="N4292" s="2">
        <v>58</v>
      </c>
      <c r="O4292" s="2">
        <v>3294627.04</v>
      </c>
      <c r="P4292" s="2">
        <v>56803.91</v>
      </c>
    </row>
    <row r="4293" spans="1:16" outlineLevel="2" x14ac:dyDescent="0.2">
      <c r="A4293" s="5">
        <v>46199</v>
      </c>
      <c r="B4293" s="2">
        <v>160507</v>
      </c>
      <c r="C4293" s="2">
        <v>2</v>
      </c>
      <c r="D4293" s="2" t="s">
        <v>178</v>
      </c>
      <c r="E4293" s="2" t="s">
        <v>179</v>
      </c>
      <c r="F4293" s="2" t="s">
        <v>23</v>
      </c>
      <c r="G4293" s="2" t="s">
        <v>22</v>
      </c>
      <c r="H4293" s="2" t="s">
        <v>23</v>
      </c>
      <c r="I4293" s="2" t="s">
        <v>36</v>
      </c>
      <c r="J4293" s="2">
        <v>1</v>
      </c>
      <c r="K4293" s="2" t="s">
        <v>24</v>
      </c>
      <c r="L4293" s="2">
        <v>25245</v>
      </c>
      <c r="M4293" s="2" t="s">
        <v>620</v>
      </c>
      <c r="N4293" s="2">
        <v>50</v>
      </c>
      <c r="O4293" s="2">
        <v>3025302.45</v>
      </c>
      <c r="P4293" s="2">
        <v>60506.05</v>
      </c>
    </row>
    <row r="4294" spans="1:16" outlineLevel="2" x14ac:dyDescent="0.2">
      <c r="A4294" s="5">
        <v>46202</v>
      </c>
      <c r="B4294" s="2">
        <v>160507</v>
      </c>
      <c r="C4294" s="2">
        <v>3</v>
      </c>
      <c r="D4294" s="2" t="s">
        <v>178</v>
      </c>
      <c r="E4294" s="2" t="s">
        <v>179</v>
      </c>
      <c r="F4294" s="2" t="s">
        <v>108</v>
      </c>
      <c r="G4294" s="2" t="s">
        <v>22</v>
      </c>
      <c r="H4294" s="2" t="s">
        <v>23</v>
      </c>
      <c r="I4294" s="2" t="s">
        <v>482</v>
      </c>
      <c r="J4294" s="2">
        <v>1</v>
      </c>
      <c r="K4294" s="2" t="s">
        <v>24</v>
      </c>
      <c r="L4294" s="2">
        <v>25245</v>
      </c>
      <c r="M4294" s="2" t="s">
        <v>620</v>
      </c>
      <c r="N4294" s="2">
        <v>55</v>
      </c>
      <c r="O4294" s="2">
        <v>3227035.16</v>
      </c>
      <c r="P4294" s="2">
        <v>58673.37</v>
      </c>
    </row>
    <row r="4295" spans="1:16" outlineLevel="2" x14ac:dyDescent="0.2">
      <c r="A4295" s="5">
        <v>46206</v>
      </c>
      <c r="B4295" s="2">
        <v>160507</v>
      </c>
      <c r="C4295" s="2">
        <v>5</v>
      </c>
      <c r="D4295" s="2" t="s">
        <v>178</v>
      </c>
      <c r="E4295" s="2" t="s">
        <v>179</v>
      </c>
      <c r="F4295" s="2" t="s">
        <v>108</v>
      </c>
      <c r="G4295" s="2" t="s">
        <v>22</v>
      </c>
      <c r="H4295" s="2" t="s">
        <v>23</v>
      </c>
      <c r="I4295" s="2" t="s">
        <v>621</v>
      </c>
      <c r="J4295" s="2">
        <v>1</v>
      </c>
      <c r="K4295" s="2" t="s">
        <v>24</v>
      </c>
      <c r="L4295" s="2">
        <v>25245</v>
      </c>
      <c r="M4295" s="2" t="s">
        <v>620</v>
      </c>
      <c r="N4295" s="2">
        <v>59</v>
      </c>
      <c r="O4295" s="2">
        <v>3515220.66</v>
      </c>
      <c r="P4295" s="2">
        <v>59580.01</v>
      </c>
    </row>
    <row r="4296" spans="1:16" outlineLevel="2" x14ac:dyDescent="0.2">
      <c r="A4296" s="5">
        <v>46209</v>
      </c>
      <c r="B4296" s="2">
        <v>160507</v>
      </c>
      <c r="C4296" s="2">
        <v>6</v>
      </c>
      <c r="D4296" s="2" t="s">
        <v>178</v>
      </c>
      <c r="E4296" s="2" t="s">
        <v>179</v>
      </c>
      <c r="F4296" s="2" t="s">
        <v>108</v>
      </c>
      <c r="G4296" s="2" t="s">
        <v>22</v>
      </c>
      <c r="H4296" s="2" t="s">
        <v>23</v>
      </c>
      <c r="I4296" s="2" t="s">
        <v>355</v>
      </c>
      <c r="J4296" s="2">
        <v>1</v>
      </c>
      <c r="K4296" s="2" t="s">
        <v>24</v>
      </c>
      <c r="L4296" s="2">
        <v>25245</v>
      </c>
      <c r="M4296" s="2" t="s">
        <v>620</v>
      </c>
      <c r="N4296" s="2">
        <v>51</v>
      </c>
      <c r="O4296" s="2">
        <v>3056490.23</v>
      </c>
      <c r="P4296" s="2">
        <v>59931.18</v>
      </c>
    </row>
    <row r="4297" spans="1:16" outlineLevel="2" x14ac:dyDescent="0.2">
      <c r="A4297" s="5">
        <v>46199</v>
      </c>
      <c r="B4297" s="2">
        <v>160507</v>
      </c>
      <c r="C4297" s="2">
        <v>7</v>
      </c>
      <c r="D4297" s="2" t="s">
        <v>178</v>
      </c>
      <c r="E4297" s="2" t="s">
        <v>622</v>
      </c>
      <c r="F4297" s="2" t="s">
        <v>23</v>
      </c>
      <c r="G4297" s="2" t="s">
        <v>22</v>
      </c>
      <c r="H4297" s="2" t="s">
        <v>23</v>
      </c>
      <c r="I4297" s="2" t="s">
        <v>273</v>
      </c>
      <c r="J4297" s="2">
        <v>1</v>
      </c>
      <c r="K4297" s="2" t="s">
        <v>24</v>
      </c>
      <c r="L4297" s="2">
        <v>25245</v>
      </c>
      <c r="M4297" s="2" t="s">
        <v>620</v>
      </c>
      <c r="N4297" s="2">
        <v>25</v>
      </c>
      <c r="O4297" s="2">
        <v>1372374.63</v>
      </c>
      <c r="P4297" s="2">
        <v>54894.99</v>
      </c>
    </row>
    <row r="4298" spans="1:16" outlineLevel="2" x14ac:dyDescent="0.2">
      <c r="A4298" s="5">
        <v>46206</v>
      </c>
      <c r="B4298" s="2">
        <v>160507</v>
      </c>
      <c r="C4298" s="2">
        <v>8</v>
      </c>
      <c r="D4298" s="2" t="s">
        <v>178</v>
      </c>
      <c r="E4298" s="2" t="s">
        <v>622</v>
      </c>
      <c r="F4298" s="2" t="s">
        <v>108</v>
      </c>
      <c r="G4298" s="2" t="s">
        <v>22</v>
      </c>
      <c r="H4298" s="2" t="s">
        <v>23</v>
      </c>
      <c r="I4298" s="2" t="s">
        <v>36</v>
      </c>
      <c r="J4298" s="2">
        <v>1</v>
      </c>
      <c r="K4298" s="2" t="s">
        <v>24</v>
      </c>
      <c r="L4298" s="2">
        <v>25245</v>
      </c>
      <c r="M4298" s="2" t="s">
        <v>620</v>
      </c>
      <c r="N4298" s="2">
        <v>5</v>
      </c>
      <c r="O4298" s="2">
        <v>193578.73</v>
      </c>
      <c r="P4298" s="2">
        <v>38715.75</v>
      </c>
    </row>
    <row r="4299" spans="1:16" outlineLevel="2" x14ac:dyDescent="0.2">
      <c r="A4299" s="5">
        <v>46199</v>
      </c>
      <c r="B4299" s="2">
        <v>160507</v>
      </c>
      <c r="C4299" s="2">
        <v>9</v>
      </c>
      <c r="D4299" s="2" t="s">
        <v>178</v>
      </c>
      <c r="E4299" s="2" t="s">
        <v>622</v>
      </c>
      <c r="F4299" s="2" t="s">
        <v>23</v>
      </c>
      <c r="G4299" s="2" t="s">
        <v>22</v>
      </c>
      <c r="H4299" s="2" t="s">
        <v>23</v>
      </c>
      <c r="I4299" s="2" t="s">
        <v>482</v>
      </c>
      <c r="J4299" s="2">
        <v>1</v>
      </c>
      <c r="K4299" s="2" t="s">
        <v>24</v>
      </c>
      <c r="L4299" s="2">
        <v>25245</v>
      </c>
      <c r="M4299" s="2" t="s">
        <v>620</v>
      </c>
      <c r="N4299" s="2">
        <v>17</v>
      </c>
      <c r="O4299" s="2">
        <v>825269.72</v>
      </c>
      <c r="P4299" s="2">
        <v>48545.279999999999</v>
      </c>
    </row>
    <row r="4300" spans="1:16" outlineLevel="2" x14ac:dyDescent="0.2">
      <c r="A4300" s="5">
        <v>46206</v>
      </c>
      <c r="B4300" s="2">
        <v>160507</v>
      </c>
      <c r="C4300" s="2">
        <v>10</v>
      </c>
      <c r="D4300" s="2" t="s">
        <v>178</v>
      </c>
      <c r="E4300" s="2" t="s">
        <v>622</v>
      </c>
      <c r="F4300" s="2" t="s">
        <v>108</v>
      </c>
      <c r="G4300" s="2" t="s">
        <v>22</v>
      </c>
      <c r="H4300" s="2" t="s">
        <v>23</v>
      </c>
      <c r="I4300" s="2" t="s">
        <v>180</v>
      </c>
      <c r="J4300" s="2">
        <v>1</v>
      </c>
      <c r="K4300" s="2" t="s">
        <v>24</v>
      </c>
      <c r="L4300" s="2">
        <v>25245</v>
      </c>
      <c r="M4300" s="2" t="s">
        <v>620</v>
      </c>
      <c r="N4300" s="2">
        <v>2</v>
      </c>
      <c r="O4300" s="2">
        <v>102376.28</v>
      </c>
      <c r="P4300" s="2">
        <v>51188.14</v>
      </c>
    </row>
    <row r="4301" spans="1:16" outlineLevel="1" x14ac:dyDescent="0.2">
      <c r="A4301" s="5"/>
      <c r="D4301" s="3" t="s">
        <v>730</v>
      </c>
      <c r="N4301" s="2">
        <f>SUBTOTAL(9,N4292:N4300)</f>
        <v>322</v>
      </c>
      <c r="O4301" s="2">
        <f>SUBTOTAL(9,O4292:O4300)</f>
        <v>18612274.900000002</v>
      </c>
      <c r="P4301" s="2">
        <f>+O4301/N4301</f>
        <v>57802.095962732928</v>
      </c>
    </row>
    <row r="4302" spans="1:16" outlineLevel="2" x14ac:dyDescent="0.2">
      <c r="A4302" s="5">
        <v>46199</v>
      </c>
      <c r="B4302" s="2">
        <v>160509</v>
      </c>
      <c r="C4302" s="2">
        <v>7</v>
      </c>
      <c r="D4302" s="2" t="s">
        <v>45</v>
      </c>
      <c r="E4302" s="2" t="s">
        <v>590</v>
      </c>
      <c r="F4302" s="2" t="s">
        <v>289</v>
      </c>
      <c r="G4302" s="2" t="s">
        <v>22</v>
      </c>
      <c r="H4302" s="2" t="s">
        <v>23</v>
      </c>
      <c r="I4302" s="2" t="s">
        <v>23</v>
      </c>
      <c r="J4302" s="2">
        <v>2</v>
      </c>
      <c r="K4302" s="2" t="s">
        <v>48</v>
      </c>
      <c r="L4302" s="2">
        <v>801</v>
      </c>
      <c r="M4302" s="2" t="s">
        <v>56</v>
      </c>
      <c r="N4302" s="2">
        <v>32</v>
      </c>
      <c r="O4302" s="2">
        <v>617227.80000000005</v>
      </c>
      <c r="P4302" s="2">
        <v>19288.37</v>
      </c>
    </row>
    <row r="4303" spans="1:16" outlineLevel="2" x14ac:dyDescent="0.2">
      <c r="A4303" s="5">
        <v>46199</v>
      </c>
      <c r="B4303" s="2">
        <v>160509</v>
      </c>
      <c r="C4303" s="2">
        <v>13</v>
      </c>
      <c r="D4303" s="2" t="s">
        <v>45</v>
      </c>
      <c r="E4303" s="2" t="s">
        <v>46</v>
      </c>
      <c r="F4303" s="2" t="s">
        <v>289</v>
      </c>
      <c r="G4303" s="2" t="s">
        <v>22</v>
      </c>
      <c r="H4303" s="2" t="s">
        <v>23</v>
      </c>
      <c r="I4303" s="2" t="s">
        <v>23</v>
      </c>
      <c r="J4303" s="2">
        <v>2</v>
      </c>
      <c r="K4303" s="2" t="s">
        <v>48</v>
      </c>
      <c r="L4303" s="2">
        <v>801</v>
      </c>
      <c r="M4303" s="2" t="s">
        <v>56</v>
      </c>
      <c r="N4303" s="2">
        <v>2</v>
      </c>
      <c r="O4303" s="2">
        <v>27399.16</v>
      </c>
      <c r="P4303" s="2">
        <v>13699.58</v>
      </c>
    </row>
    <row r="4304" spans="1:16" outlineLevel="1" x14ac:dyDescent="0.2">
      <c r="A4304" s="5"/>
      <c r="D4304" s="3" t="s">
        <v>733</v>
      </c>
      <c r="N4304" s="2">
        <f>SUBTOTAL(9,N4302:N4303)</f>
        <v>34</v>
      </c>
      <c r="O4304" s="2">
        <f>SUBTOTAL(9,O4302:O4303)</f>
        <v>644626.96000000008</v>
      </c>
      <c r="P4304" s="2">
        <f>+O4304/N4304</f>
        <v>18959.616470588237</v>
      </c>
    </row>
    <row r="4305" spans="1:16" outlineLevel="2" x14ac:dyDescent="0.2">
      <c r="A4305" s="5">
        <v>46199</v>
      </c>
      <c r="B4305" s="2">
        <v>160509</v>
      </c>
      <c r="C4305" s="2">
        <v>16</v>
      </c>
      <c r="D4305" s="2" t="s">
        <v>226</v>
      </c>
      <c r="E4305" s="2" t="s">
        <v>581</v>
      </c>
      <c r="F4305" s="2" t="s">
        <v>289</v>
      </c>
      <c r="G4305" s="2" t="s">
        <v>22</v>
      </c>
      <c r="H4305" s="2" t="s">
        <v>23</v>
      </c>
      <c r="I4305" s="2" t="s">
        <v>23</v>
      </c>
      <c r="J4305" s="2">
        <v>2</v>
      </c>
      <c r="K4305" s="2" t="s">
        <v>48</v>
      </c>
      <c r="L4305" s="2">
        <v>801</v>
      </c>
      <c r="M4305" s="2" t="s">
        <v>56</v>
      </c>
      <c r="N4305" s="2">
        <v>24</v>
      </c>
      <c r="O4305" s="2">
        <v>555917.81999999995</v>
      </c>
      <c r="P4305" s="2">
        <v>23163.24</v>
      </c>
    </row>
    <row r="4306" spans="1:16" outlineLevel="1" x14ac:dyDescent="0.2">
      <c r="A4306" s="5"/>
      <c r="D4306" s="3" t="s">
        <v>736</v>
      </c>
      <c r="N4306" s="2">
        <f>SUBTOTAL(9,N4305:N4305)</f>
        <v>24</v>
      </c>
      <c r="O4306" s="2">
        <f>SUBTOTAL(9,O4305:O4305)</f>
        <v>555917.81999999995</v>
      </c>
      <c r="P4306" s="2">
        <f>+O4306/N4306</f>
        <v>23163.242499999997</v>
      </c>
    </row>
    <row r="4307" spans="1:16" outlineLevel="2" x14ac:dyDescent="0.2">
      <c r="A4307" s="5">
        <v>46227</v>
      </c>
      <c r="B4307" s="2">
        <v>160509</v>
      </c>
      <c r="C4307" s="2">
        <v>311</v>
      </c>
      <c r="D4307" s="2" t="s">
        <v>45</v>
      </c>
      <c r="E4307" s="2" t="s">
        <v>228</v>
      </c>
      <c r="F4307" s="2" t="s">
        <v>55</v>
      </c>
      <c r="G4307" s="2" t="s">
        <v>23</v>
      </c>
      <c r="H4307" s="2" t="s">
        <v>23</v>
      </c>
      <c r="I4307" s="2" t="s">
        <v>23</v>
      </c>
      <c r="J4307" s="2">
        <v>2</v>
      </c>
      <c r="K4307" s="2" t="s">
        <v>48</v>
      </c>
      <c r="L4307" s="2">
        <v>801</v>
      </c>
      <c r="M4307" s="2" t="s">
        <v>56</v>
      </c>
      <c r="N4307" s="2">
        <v>4</v>
      </c>
      <c r="O4307" s="2">
        <v>21194.52</v>
      </c>
      <c r="P4307" s="2">
        <v>5298.63</v>
      </c>
    </row>
    <row r="4308" spans="1:16" outlineLevel="1" x14ac:dyDescent="0.2">
      <c r="A4308" s="5"/>
      <c r="D4308" s="3" t="s">
        <v>733</v>
      </c>
      <c r="N4308" s="2">
        <f>SUBTOTAL(9,N4307:N4307)</f>
        <v>4</v>
      </c>
      <c r="O4308" s="2">
        <f>SUBTOTAL(9,O4307:O4307)</f>
        <v>21194.52</v>
      </c>
      <c r="P4308" s="2">
        <f>+O4308/N4308</f>
        <v>5298.63</v>
      </c>
    </row>
    <row r="4309" spans="1:16" outlineLevel="2" x14ac:dyDescent="0.2">
      <c r="A4309" s="5">
        <v>46204</v>
      </c>
      <c r="B4309" s="2">
        <v>160509</v>
      </c>
      <c r="C4309" s="2">
        <v>315</v>
      </c>
      <c r="D4309" s="2" t="s">
        <v>54</v>
      </c>
      <c r="E4309" s="2" t="s">
        <v>20</v>
      </c>
      <c r="F4309" s="2" t="s">
        <v>23</v>
      </c>
      <c r="G4309" s="2" t="s">
        <v>22</v>
      </c>
      <c r="H4309" s="2" t="s">
        <v>23</v>
      </c>
      <c r="I4309" s="2" t="s">
        <v>23</v>
      </c>
      <c r="J4309" s="2">
        <v>2</v>
      </c>
      <c r="K4309" s="2" t="s">
        <v>48</v>
      </c>
      <c r="L4309" s="2">
        <v>801</v>
      </c>
      <c r="M4309" s="2" t="s">
        <v>56</v>
      </c>
      <c r="N4309" s="2">
        <v>1</v>
      </c>
      <c r="O4309" s="2">
        <v>4365.1899999999996</v>
      </c>
      <c r="P4309" s="2">
        <v>4365.1899999999996</v>
      </c>
    </row>
    <row r="4310" spans="1:16" outlineLevel="1" x14ac:dyDescent="0.2">
      <c r="A4310" s="5"/>
      <c r="D4310" s="3" t="s">
        <v>719</v>
      </c>
      <c r="N4310" s="2">
        <f>SUBTOTAL(9,N4309:N4309)</f>
        <v>1</v>
      </c>
      <c r="O4310" s="2">
        <f>SUBTOTAL(9,O4309:O4309)</f>
        <v>4365.1899999999996</v>
      </c>
      <c r="P4310" s="2">
        <f>+O4310/N4310</f>
        <v>4365.1899999999996</v>
      </c>
    </row>
    <row r="4311" spans="1:16" outlineLevel="2" x14ac:dyDescent="0.2">
      <c r="A4311" s="5">
        <v>46206</v>
      </c>
      <c r="B4311" s="2">
        <v>160510</v>
      </c>
      <c r="C4311" s="2">
        <v>1</v>
      </c>
      <c r="D4311" s="2" t="s">
        <v>19</v>
      </c>
      <c r="E4311" s="2" t="s">
        <v>20</v>
      </c>
      <c r="F4311" s="2" t="s">
        <v>21</v>
      </c>
      <c r="G4311" s="2" t="s">
        <v>22</v>
      </c>
      <c r="H4311" s="2" t="s">
        <v>23</v>
      </c>
      <c r="I4311" s="2" t="s">
        <v>623</v>
      </c>
      <c r="J4311" s="2">
        <v>40</v>
      </c>
      <c r="K4311" s="2" t="s">
        <v>43</v>
      </c>
      <c r="L4311" s="2">
        <v>25205</v>
      </c>
      <c r="M4311" s="2" t="s">
        <v>171</v>
      </c>
      <c r="N4311" s="2">
        <v>70</v>
      </c>
      <c r="O4311" s="2">
        <v>5628005.0300000003</v>
      </c>
      <c r="P4311" s="2">
        <v>80400.070000000007</v>
      </c>
    </row>
    <row r="4312" spans="1:16" outlineLevel="2" x14ac:dyDescent="0.2">
      <c r="A4312" s="5">
        <v>46204</v>
      </c>
      <c r="B4312" s="2">
        <v>160510</v>
      </c>
      <c r="C4312" s="2">
        <v>2</v>
      </c>
      <c r="D4312" s="2" t="s">
        <v>19</v>
      </c>
      <c r="E4312" s="2" t="s">
        <v>20</v>
      </c>
      <c r="F4312" s="2" t="s">
        <v>21</v>
      </c>
      <c r="G4312" s="2" t="s">
        <v>22</v>
      </c>
      <c r="H4312" s="2" t="s">
        <v>23</v>
      </c>
      <c r="I4312" s="2" t="s">
        <v>593</v>
      </c>
      <c r="J4312" s="2">
        <v>40</v>
      </c>
      <c r="K4312" s="2" t="s">
        <v>43</v>
      </c>
      <c r="L4312" s="2">
        <v>25205</v>
      </c>
      <c r="M4312" s="2" t="s">
        <v>171</v>
      </c>
      <c r="N4312" s="2">
        <v>52</v>
      </c>
      <c r="O4312" s="2">
        <v>4078908.28</v>
      </c>
      <c r="P4312" s="2">
        <v>78440.539999999994</v>
      </c>
    </row>
    <row r="4313" spans="1:16" outlineLevel="2" x14ac:dyDescent="0.2">
      <c r="A4313" s="5">
        <v>46204</v>
      </c>
      <c r="B4313" s="2">
        <v>160510</v>
      </c>
      <c r="C4313" s="2">
        <v>3</v>
      </c>
      <c r="D4313" s="2" t="s">
        <v>19</v>
      </c>
      <c r="E4313" s="2" t="s">
        <v>20</v>
      </c>
      <c r="F4313" s="2" t="s">
        <v>21</v>
      </c>
      <c r="G4313" s="2" t="s">
        <v>22</v>
      </c>
      <c r="H4313" s="2" t="s">
        <v>23</v>
      </c>
      <c r="I4313" s="2" t="s">
        <v>605</v>
      </c>
      <c r="J4313" s="2">
        <v>40</v>
      </c>
      <c r="K4313" s="2" t="s">
        <v>43</v>
      </c>
      <c r="L4313" s="2">
        <v>25205</v>
      </c>
      <c r="M4313" s="2" t="s">
        <v>171</v>
      </c>
      <c r="N4313" s="2">
        <v>28</v>
      </c>
      <c r="O4313" s="2">
        <v>2209949.67</v>
      </c>
      <c r="P4313" s="2">
        <v>78926.77</v>
      </c>
    </row>
    <row r="4314" spans="1:16" outlineLevel="1" x14ac:dyDescent="0.2">
      <c r="A4314" s="5"/>
      <c r="D4314" s="3" t="s">
        <v>704</v>
      </c>
      <c r="N4314" s="2">
        <f>SUBTOTAL(9,N4311:N4313)</f>
        <v>150</v>
      </c>
      <c r="O4314" s="2">
        <f>SUBTOTAL(9,O4311:O4313)</f>
        <v>11916862.98</v>
      </c>
      <c r="P4314" s="2">
        <f>+O4314/N4314</f>
        <v>79445.753200000006</v>
      </c>
    </row>
    <row r="4315" spans="1:16" outlineLevel="2" x14ac:dyDescent="0.2">
      <c r="A4315" s="5">
        <v>46213</v>
      </c>
      <c r="B4315" s="2">
        <v>160511</v>
      </c>
      <c r="C4315" s="2">
        <v>1</v>
      </c>
      <c r="D4315" s="2" t="s">
        <v>102</v>
      </c>
      <c r="E4315" s="2" t="s">
        <v>23</v>
      </c>
      <c r="F4315" s="2" t="s">
        <v>40</v>
      </c>
      <c r="G4315" s="2" t="s">
        <v>22</v>
      </c>
      <c r="H4315" s="2" t="s">
        <v>23</v>
      </c>
      <c r="I4315" s="2" t="s">
        <v>23</v>
      </c>
      <c r="J4315" s="2">
        <v>1</v>
      </c>
      <c r="K4315" s="2" t="s">
        <v>24</v>
      </c>
      <c r="L4315" s="2">
        <v>2269</v>
      </c>
      <c r="M4315" s="2" t="s">
        <v>624</v>
      </c>
      <c r="N4315" s="2">
        <v>189</v>
      </c>
      <c r="O4315" s="2">
        <v>6289574.7199999997</v>
      </c>
      <c r="P4315" s="2">
        <v>33278.17</v>
      </c>
    </row>
    <row r="4316" spans="1:16" outlineLevel="1" x14ac:dyDescent="0.2">
      <c r="A4316" s="5"/>
      <c r="D4316" s="3" t="s">
        <v>707</v>
      </c>
      <c r="N4316" s="2">
        <f>SUBTOTAL(9,N4315:N4315)</f>
        <v>189</v>
      </c>
      <c r="O4316" s="2">
        <f>SUBTOTAL(9,O4315:O4315)</f>
        <v>6289574.7199999997</v>
      </c>
      <c r="P4316" s="2">
        <f>+O4316/N4316</f>
        <v>33278.173121693122</v>
      </c>
    </row>
    <row r="4317" spans="1:16" outlineLevel="2" x14ac:dyDescent="0.2">
      <c r="A4317" s="5">
        <v>46210</v>
      </c>
      <c r="B4317" s="2">
        <v>160512</v>
      </c>
      <c r="C4317" s="2">
        <v>1</v>
      </c>
      <c r="D4317" s="2" t="s">
        <v>160</v>
      </c>
      <c r="E4317" s="2" t="s">
        <v>222</v>
      </c>
      <c r="F4317" s="2" t="s">
        <v>40</v>
      </c>
      <c r="G4317" s="2" t="s">
        <v>22</v>
      </c>
      <c r="H4317" s="2" t="s">
        <v>23</v>
      </c>
      <c r="I4317" s="2" t="s">
        <v>23</v>
      </c>
      <c r="J4317" s="2">
        <v>1</v>
      </c>
      <c r="K4317" s="2" t="s">
        <v>24</v>
      </c>
      <c r="L4317" s="2">
        <v>2521</v>
      </c>
      <c r="M4317" s="2" t="s">
        <v>82</v>
      </c>
      <c r="N4317" s="2">
        <v>108</v>
      </c>
      <c r="O4317" s="2">
        <v>1416025.82</v>
      </c>
      <c r="P4317" s="2">
        <v>13111.35</v>
      </c>
    </row>
    <row r="4318" spans="1:16" outlineLevel="1" x14ac:dyDescent="0.2">
      <c r="A4318" s="5"/>
      <c r="D4318" s="3" t="s">
        <v>709</v>
      </c>
      <c r="N4318" s="2">
        <f>SUBTOTAL(9,N4317:N4317)</f>
        <v>108</v>
      </c>
      <c r="O4318" s="2">
        <f>SUBTOTAL(9,O4317:O4317)</f>
        <v>1416025.82</v>
      </c>
      <c r="P4318" s="2">
        <f>+O4318/N4318</f>
        <v>13111.350185185185</v>
      </c>
    </row>
    <row r="4319" spans="1:16" outlineLevel="2" x14ac:dyDescent="0.2">
      <c r="A4319" s="5">
        <v>46202</v>
      </c>
      <c r="B4319" s="2">
        <v>160512</v>
      </c>
      <c r="C4319" s="2">
        <v>2</v>
      </c>
      <c r="D4319" s="2" t="s">
        <v>131</v>
      </c>
      <c r="E4319" s="2" t="s">
        <v>132</v>
      </c>
      <c r="F4319" s="2" t="s">
        <v>40</v>
      </c>
      <c r="G4319" s="2" t="s">
        <v>22</v>
      </c>
      <c r="H4319" s="2" t="s">
        <v>23</v>
      </c>
      <c r="I4319" s="2" t="s">
        <v>23</v>
      </c>
      <c r="J4319" s="2">
        <v>1</v>
      </c>
      <c r="K4319" s="2" t="s">
        <v>24</v>
      </c>
      <c r="L4319" s="2">
        <v>2521</v>
      </c>
      <c r="M4319" s="2" t="s">
        <v>82</v>
      </c>
      <c r="N4319" s="2">
        <v>191</v>
      </c>
      <c r="O4319" s="2">
        <v>7409444.6200000001</v>
      </c>
      <c r="P4319" s="2">
        <v>38792.9</v>
      </c>
    </row>
    <row r="4320" spans="1:16" outlineLevel="1" x14ac:dyDescent="0.2">
      <c r="A4320" s="5"/>
      <c r="D4320" s="3" t="s">
        <v>713</v>
      </c>
      <c r="N4320" s="2">
        <f>SUBTOTAL(9,N4319:N4319)</f>
        <v>191</v>
      </c>
      <c r="O4320" s="2">
        <f>SUBTOTAL(9,O4319:O4319)</f>
        <v>7409444.6200000001</v>
      </c>
      <c r="P4320" s="2">
        <f>+O4320/N4320</f>
        <v>38792.903769633507</v>
      </c>
    </row>
    <row r="4321" spans="1:16" outlineLevel="2" x14ac:dyDescent="0.2">
      <c r="A4321" s="5">
        <v>46202</v>
      </c>
      <c r="B4321" s="2">
        <v>160512</v>
      </c>
      <c r="C4321" s="2">
        <v>3</v>
      </c>
      <c r="D4321" s="2" t="s">
        <v>451</v>
      </c>
      <c r="E4321" s="2" t="s">
        <v>523</v>
      </c>
      <c r="F4321" s="2" t="s">
        <v>40</v>
      </c>
      <c r="G4321" s="2" t="s">
        <v>22</v>
      </c>
      <c r="H4321" s="2" t="s">
        <v>23</v>
      </c>
      <c r="I4321" s="2" t="s">
        <v>23</v>
      </c>
      <c r="J4321" s="2">
        <v>1</v>
      </c>
      <c r="K4321" s="2" t="s">
        <v>24</v>
      </c>
      <c r="L4321" s="2">
        <v>2521</v>
      </c>
      <c r="M4321" s="2" t="s">
        <v>82</v>
      </c>
      <c r="N4321" s="2">
        <v>40</v>
      </c>
      <c r="O4321" s="2">
        <v>1089378</v>
      </c>
      <c r="P4321" s="2">
        <v>27234.45</v>
      </c>
    </row>
    <row r="4322" spans="1:16" outlineLevel="2" x14ac:dyDescent="0.2">
      <c r="A4322" s="5">
        <v>46202</v>
      </c>
      <c r="B4322" s="2">
        <v>160512</v>
      </c>
      <c r="C4322" s="2">
        <v>4</v>
      </c>
      <c r="D4322" s="2" t="s">
        <v>451</v>
      </c>
      <c r="E4322" s="2" t="s">
        <v>523</v>
      </c>
      <c r="F4322" s="2" t="s">
        <v>40</v>
      </c>
      <c r="G4322" s="2" t="s">
        <v>22</v>
      </c>
      <c r="H4322" s="2" t="s">
        <v>23</v>
      </c>
      <c r="I4322" s="2" t="s">
        <v>23</v>
      </c>
      <c r="J4322" s="2">
        <v>1</v>
      </c>
      <c r="K4322" s="2" t="s">
        <v>24</v>
      </c>
      <c r="L4322" s="2">
        <v>2521</v>
      </c>
      <c r="M4322" s="2" t="s">
        <v>82</v>
      </c>
      <c r="N4322" s="2">
        <v>120</v>
      </c>
      <c r="O4322" s="2">
        <v>2466447.37</v>
      </c>
      <c r="P4322" s="2">
        <v>20553.73</v>
      </c>
    </row>
    <row r="4323" spans="1:16" outlineLevel="1" x14ac:dyDescent="0.2">
      <c r="A4323" s="5"/>
      <c r="D4323" s="3" t="s">
        <v>775</v>
      </c>
      <c r="N4323" s="2">
        <f>SUBTOTAL(9,N4321:N4322)</f>
        <v>160</v>
      </c>
      <c r="O4323" s="2">
        <f>SUBTOTAL(9,O4321:O4322)</f>
        <v>3555825.37</v>
      </c>
      <c r="P4323" s="2">
        <f>+O4323/N4323</f>
        <v>22223.908562500001</v>
      </c>
    </row>
    <row r="4324" spans="1:16" outlineLevel="2" x14ac:dyDescent="0.2">
      <c r="A4324" s="5">
        <v>46202</v>
      </c>
      <c r="B4324" s="2">
        <v>160512</v>
      </c>
      <c r="C4324" s="2">
        <v>5</v>
      </c>
      <c r="D4324" s="2" t="s">
        <v>81</v>
      </c>
      <c r="E4324" s="2" t="s">
        <v>23</v>
      </c>
      <c r="F4324" s="2" t="s">
        <v>40</v>
      </c>
      <c r="G4324" s="2" t="s">
        <v>22</v>
      </c>
      <c r="H4324" s="2" t="s">
        <v>23</v>
      </c>
      <c r="I4324" s="2" t="s">
        <v>23</v>
      </c>
      <c r="J4324" s="2">
        <v>1</v>
      </c>
      <c r="K4324" s="2" t="s">
        <v>24</v>
      </c>
      <c r="L4324" s="2">
        <v>2521</v>
      </c>
      <c r="M4324" s="2" t="s">
        <v>82</v>
      </c>
      <c r="N4324" s="2">
        <v>60</v>
      </c>
      <c r="O4324" s="2">
        <v>2488243.31</v>
      </c>
      <c r="P4324" s="2">
        <v>41470.720000000001</v>
      </c>
    </row>
    <row r="4325" spans="1:16" outlineLevel="1" x14ac:dyDescent="0.2">
      <c r="A4325" s="5"/>
      <c r="D4325" s="3" t="s">
        <v>693</v>
      </c>
      <c r="N4325" s="2">
        <f>SUBTOTAL(9,N4324:N4324)</f>
        <v>60</v>
      </c>
      <c r="O4325" s="2">
        <f>SUBTOTAL(9,O4324:O4324)</f>
        <v>2488243.31</v>
      </c>
      <c r="P4325" s="2">
        <f>+O4325/N4325</f>
        <v>41470.721833333337</v>
      </c>
    </row>
    <row r="4326" spans="1:16" outlineLevel="2" x14ac:dyDescent="0.2">
      <c r="A4326" s="5">
        <v>46204</v>
      </c>
      <c r="B4326" s="2">
        <v>160512</v>
      </c>
      <c r="C4326" s="2">
        <v>306</v>
      </c>
      <c r="D4326" s="2" t="s">
        <v>451</v>
      </c>
      <c r="E4326" s="2" t="s">
        <v>523</v>
      </c>
      <c r="F4326" s="2" t="s">
        <v>23</v>
      </c>
      <c r="G4326" s="2" t="s">
        <v>22</v>
      </c>
      <c r="H4326" s="2" t="s">
        <v>23</v>
      </c>
      <c r="I4326" s="2" t="s">
        <v>23</v>
      </c>
      <c r="J4326" s="2">
        <v>1</v>
      </c>
      <c r="K4326" s="2" t="s">
        <v>24</v>
      </c>
      <c r="L4326" s="2">
        <v>2521</v>
      </c>
      <c r="M4326" s="2" t="s">
        <v>82</v>
      </c>
      <c r="N4326" s="2">
        <v>78</v>
      </c>
      <c r="O4326" s="2">
        <v>1515684.92</v>
      </c>
      <c r="P4326" s="2">
        <v>19431.86</v>
      </c>
    </row>
    <row r="4327" spans="1:16" outlineLevel="1" x14ac:dyDescent="0.2">
      <c r="A4327" s="5"/>
      <c r="D4327" s="3" t="s">
        <v>775</v>
      </c>
      <c r="N4327" s="2">
        <f>SUBTOTAL(9,N4326:N4326)</f>
        <v>78</v>
      </c>
      <c r="O4327" s="2">
        <f>SUBTOTAL(9,O4326:O4326)</f>
        <v>1515684.92</v>
      </c>
      <c r="P4327" s="2">
        <f>+O4327/N4327</f>
        <v>19431.857948717949</v>
      </c>
    </row>
    <row r="4328" spans="1:16" outlineLevel="2" x14ac:dyDescent="0.2">
      <c r="A4328" s="5">
        <v>46209</v>
      </c>
      <c r="B4328" s="2">
        <v>160513</v>
      </c>
      <c r="C4328" s="2">
        <v>1</v>
      </c>
      <c r="D4328" s="2" t="s">
        <v>75</v>
      </c>
      <c r="E4328" s="2" t="s">
        <v>23</v>
      </c>
      <c r="F4328" s="2" t="s">
        <v>108</v>
      </c>
      <c r="G4328" s="2" t="s">
        <v>22</v>
      </c>
      <c r="H4328" s="2" t="s">
        <v>23</v>
      </c>
      <c r="I4328" s="2" t="s">
        <v>455</v>
      </c>
      <c r="J4328" s="2">
        <v>1</v>
      </c>
      <c r="K4328" s="2" t="s">
        <v>24</v>
      </c>
      <c r="L4328" s="2">
        <v>2024</v>
      </c>
      <c r="M4328" s="2" t="s">
        <v>76</v>
      </c>
      <c r="N4328" s="2">
        <v>443</v>
      </c>
      <c r="O4328" s="2">
        <v>7238789.8200000003</v>
      </c>
      <c r="P4328" s="2">
        <v>16340.38</v>
      </c>
    </row>
    <row r="4329" spans="1:16" outlineLevel="2" x14ac:dyDescent="0.2">
      <c r="A4329" s="5">
        <v>46209</v>
      </c>
      <c r="B4329" s="2">
        <v>160513</v>
      </c>
      <c r="C4329" s="2">
        <v>2</v>
      </c>
      <c r="D4329" s="2" t="s">
        <v>75</v>
      </c>
      <c r="E4329" s="2" t="s">
        <v>23</v>
      </c>
      <c r="F4329" s="2" t="s">
        <v>108</v>
      </c>
      <c r="G4329" s="2" t="s">
        <v>22</v>
      </c>
      <c r="H4329" s="2" t="s">
        <v>23</v>
      </c>
      <c r="I4329" s="2" t="s">
        <v>273</v>
      </c>
      <c r="J4329" s="2">
        <v>1</v>
      </c>
      <c r="K4329" s="2" t="s">
        <v>24</v>
      </c>
      <c r="L4329" s="2">
        <v>2024</v>
      </c>
      <c r="M4329" s="2" t="s">
        <v>76</v>
      </c>
      <c r="N4329" s="2">
        <v>463</v>
      </c>
      <c r="O4329" s="2">
        <v>9001232.2100000009</v>
      </c>
      <c r="P4329" s="2">
        <v>19441.11</v>
      </c>
    </row>
    <row r="4330" spans="1:16" outlineLevel="2" x14ac:dyDescent="0.2">
      <c r="A4330" s="5">
        <v>46223</v>
      </c>
      <c r="B4330" s="2">
        <v>160514</v>
      </c>
      <c r="C4330" s="2">
        <v>1</v>
      </c>
      <c r="D4330" s="2" t="s">
        <v>75</v>
      </c>
      <c r="E4330" s="2" t="s">
        <v>23</v>
      </c>
      <c r="F4330" s="2" t="s">
        <v>108</v>
      </c>
      <c r="G4330" s="2" t="s">
        <v>22</v>
      </c>
      <c r="H4330" s="2" t="s">
        <v>23</v>
      </c>
      <c r="I4330" s="2" t="s">
        <v>100</v>
      </c>
      <c r="J4330" s="2">
        <v>1</v>
      </c>
      <c r="K4330" s="2" t="s">
        <v>24</v>
      </c>
      <c r="L4330" s="2">
        <v>2024</v>
      </c>
      <c r="M4330" s="2" t="s">
        <v>76</v>
      </c>
      <c r="N4330" s="2">
        <v>400</v>
      </c>
      <c r="O4330" s="2">
        <v>9789961.5700000003</v>
      </c>
      <c r="P4330" s="2">
        <v>24474.9</v>
      </c>
    </row>
    <row r="4331" spans="1:16" outlineLevel="2" x14ac:dyDescent="0.2">
      <c r="A4331" s="5">
        <v>46223</v>
      </c>
      <c r="B4331" s="2">
        <v>160514</v>
      </c>
      <c r="C4331" s="2">
        <v>2</v>
      </c>
      <c r="D4331" s="2" t="s">
        <v>75</v>
      </c>
      <c r="E4331" s="2" t="s">
        <v>23</v>
      </c>
      <c r="F4331" s="2" t="s">
        <v>108</v>
      </c>
      <c r="G4331" s="2" t="s">
        <v>22</v>
      </c>
      <c r="H4331" s="2" t="s">
        <v>23</v>
      </c>
      <c r="I4331" s="2" t="s">
        <v>109</v>
      </c>
      <c r="J4331" s="2">
        <v>1</v>
      </c>
      <c r="K4331" s="2" t="s">
        <v>24</v>
      </c>
      <c r="L4331" s="2">
        <v>2024</v>
      </c>
      <c r="M4331" s="2" t="s">
        <v>76</v>
      </c>
      <c r="N4331" s="2">
        <v>482</v>
      </c>
      <c r="O4331" s="2">
        <v>14494222.869999999</v>
      </c>
      <c r="P4331" s="2">
        <v>30071</v>
      </c>
    </row>
    <row r="4332" spans="1:16" outlineLevel="1" x14ac:dyDescent="0.2">
      <c r="A4332" s="5"/>
      <c r="D4332" s="3" t="s">
        <v>729</v>
      </c>
      <c r="N4332" s="2">
        <f>SUBTOTAL(9,N4328:N4331)</f>
        <v>1788</v>
      </c>
      <c r="O4332" s="2">
        <f>SUBTOTAL(9,O4328:O4331)</f>
        <v>40524206.469999999</v>
      </c>
      <c r="P4332" s="2">
        <f>+O4332/N4332</f>
        <v>22664.545005592841</v>
      </c>
    </row>
    <row r="4333" spans="1:16" outlineLevel="2" x14ac:dyDescent="0.2">
      <c r="A4333" s="5">
        <v>46202</v>
      </c>
      <c r="B4333" s="2">
        <v>160555</v>
      </c>
      <c r="C4333" s="2">
        <v>1</v>
      </c>
      <c r="D4333" s="2" t="s">
        <v>45</v>
      </c>
      <c r="E4333" s="2" t="s">
        <v>125</v>
      </c>
      <c r="F4333" s="2" t="s">
        <v>63</v>
      </c>
      <c r="G4333" s="2" t="s">
        <v>22</v>
      </c>
      <c r="H4333" s="2" t="s">
        <v>23</v>
      </c>
      <c r="I4333" s="2" t="s">
        <v>23</v>
      </c>
      <c r="J4333" s="2">
        <v>40</v>
      </c>
      <c r="K4333" s="2" t="s">
        <v>43</v>
      </c>
      <c r="L4333" s="2">
        <v>21</v>
      </c>
      <c r="M4333" s="2" t="s">
        <v>118</v>
      </c>
      <c r="N4333" s="2">
        <v>294</v>
      </c>
      <c r="O4333" s="2">
        <v>12176324.560000001</v>
      </c>
      <c r="P4333" s="2">
        <v>41416.07</v>
      </c>
    </row>
    <row r="4334" spans="1:16" outlineLevel="1" x14ac:dyDescent="0.2">
      <c r="A4334" s="5"/>
      <c r="D4334" s="3" t="s">
        <v>733</v>
      </c>
      <c r="N4334" s="2">
        <f>SUBTOTAL(9,N4333:N4333)</f>
        <v>294</v>
      </c>
      <c r="O4334" s="2">
        <f>SUBTOTAL(9,O4333:O4333)</f>
        <v>12176324.560000001</v>
      </c>
      <c r="P4334" s="2">
        <f>+O4334/N4334</f>
        <v>41416.069931972794</v>
      </c>
    </row>
    <row r="4335" spans="1:16" outlineLevel="2" x14ac:dyDescent="0.2">
      <c r="A4335" s="5">
        <v>46213</v>
      </c>
      <c r="B4335" s="2">
        <v>160557</v>
      </c>
      <c r="C4335" s="2">
        <v>1</v>
      </c>
      <c r="D4335" s="2" t="s">
        <v>197</v>
      </c>
      <c r="E4335" s="2" t="s">
        <v>533</v>
      </c>
      <c r="F4335" s="2" t="s">
        <v>40</v>
      </c>
      <c r="G4335" s="2" t="s">
        <v>22</v>
      </c>
      <c r="H4335" s="2" t="s">
        <v>23</v>
      </c>
      <c r="I4335" s="2" t="s">
        <v>23</v>
      </c>
      <c r="J4335" s="2">
        <v>1</v>
      </c>
      <c r="K4335" s="2" t="s">
        <v>24</v>
      </c>
      <c r="L4335" s="2">
        <v>2541</v>
      </c>
      <c r="M4335" s="2" t="s">
        <v>534</v>
      </c>
      <c r="N4335" s="2">
        <v>90</v>
      </c>
      <c r="O4335" s="2">
        <v>5572794.8499999996</v>
      </c>
      <c r="P4335" s="2">
        <v>61919.94</v>
      </c>
    </row>
    <row r="4336" spans="1:16" outlineLevel="2" x14ac:dyDescent="0.2">
      <c r="A4336" s="5">
        <v>46209</v>
      </c>
      <c r="B4336" s="2">
        <v>160557</v>
      </c>
      <c r="C4336" s="2">
        <v>2</v>
      </c>
      <c r="D4336" s="2" t="s">
        <v>197</v>
      </c>
      <c r="E4336" s="2" t="s">
        <v>538</v>
      </c>
      <c r="F4336" s="2" t="s">
        <v>40</v>
      </c>
      <c r="G4336" s="2" t="s">
        <v>22</v>
      </c>
      <c r="H4336" s="2" t="s">
        <v>23</v>
      </c>
      <c r="I4336" s="2" t="s">
        <v>23</v>
      </c>
      <c r="J4336" s="2">
        <v>1</v>
      </c>
      <c r="K4336" s="2" t="s">
        <v>24</v>
      </c>
      <c r="L4336" s="2">
        <v>2541</v>
      </c>
      <c r="M4336" s="2" t="s">
        <v>534</v>
      </c>
      <c r="N4336" s="2">
        <v>97</v>
      </c>
      <c r="O4336" s="2">
        <v>3595853.51</v>
      </c>
      <c r="P4336" s="2">
        <v>37070.65</v>
      </c>
    </row>
    <row r="4337" spans="1:16" outlineLevel="2" x14ac:dyDescent="0.2">
      <c r="A4337" s="5">
        <v>46202</v>
      </c>
      <c r="B4337" s="2">
        <v>160557</v>
      </c>
      <c r="C4337" s="2">
        <v>3</v>
      </c>
      <c r="D4337" s="2" t="s">
        <v>197</v>
      </c>
      <c r="E4337" s="2" t="s">
        <v>584</v>
      </c>
      <c r="F4337" s="2" t="s">
        <v>40</v>
      </c>
      <c r="G4337" s="2" t="s">
        <v>22</v>
      </c>
      <c r="H4337" s="2" t="s">
        <v>23</v>
      </c>
      <c r="I4337" s="2" t="s">
        <v>23</v>
      </c>
      <c r="J4337" s="2">
        <v>1</v>
      </c>
      <c r="K4337" s="2" t="s">
        <v>24</v>
      </c>
      <c r="L4337" s="2">
        <v>2541</v>
      </c>
      <c r="M4337" s="2" t="s">
        <v>534</v>
      </c>
      <c r="N4337" s="2">
        <v>720</v>
      </c>
      <c r="O4337" s="2">
        <v>54211907.740000002</v>
      </c>
      <c r="P4337" s="2">
        <v>75294.320000000007</v>
      </c>
    </row>
    <row r="4338" spans="1:16" outlineLevel="1" x14ac:dyDescent="0.2">
      <c r="A4338" s="5"/>
      <c r="D4338" s="3" t="s">
        <v>734</v>
      </c>
      <c r="N4338" s="2">
        <f>SUBTOTAL(9,N4335:N4337)</f>
        <v>907</v>
      </c>
      <c r="O4338" s="2">
        <f>SUBTOTAL(9,O4335:O4337)</f>
        <v>63380556.100000001</v>
      </c>
      <c r="P4338" s="2">
        <f>+O4338/N4338</f>
        <v>69879.334178610807</v>
      </c>
    </row>
    <row r="4339" spans="1:16" outlineLevel="2" x14ac:dyDescent="0.2">
      <c r="A4339" s="5">
        <v>46202</v>
      </c>
      <c r="B4339" s="2">
        <v>160563</v>
      </c>
      <c r="C4339" s="2">
        <v>2</v>
      </c>
      <c r="D4339" s="2" t="s">
        <v>226</v>
      </c>
      <c r="E4339" s="2" t="s">
        <v>585</v>
      </c>
      <c r="F4339" s="2" t="s">
        <v>289</v>
      </c>
      <c r="G4339" s="2" t="s">
        <v>22</v>
      </c>
      <c r="H4339" s="2" t="s">
        <v>23</v>
      </c>
      <c r="I4339" s="2" t="s">
        <v>23</v>
      </c>
      <c r="J4339" s="2">
        <v>2</v>
      </c>
      <c r="K4339" s="2" t="s">
        <v>48</v>
      </c>
      <c r="L4339" s="2">
        <v>106</v>
      </c>
      <c r="M4339" s="2" t="s">
        <v>486</v>
      </c>
      <c r="N4339" s="2">
        <v>16</v>
      </c>
      <c r="O4339" s="2">
        <v>250875.36</v>
      </c>
      <c r="P4339" s="2">
        <v>15679.71</v>
      </c>
    </row>
    <row r="4340" spans="1:16" outlineLevel="1" x14ac:dyDescent="0.2">
      <c r="A4340" s="5"/>
      <c r="D4340" s="3" t="s">
        <v>736</v>
      </c>
      <c r="N4340" s="2">
        <f>SUBTOTAL(9,N4339:N4339)</f>
        <v>16</v>
      </c>
      <c r="O4340" s="2">
        <f>SUBTOTAL(9,O4339:O4339)</f>
        <v>250875.36</v>
      </c>
      <c r="P4340" s="2">
        <f>+O4340/N4340</f>
        <v>15679.71</v>
      </c>
    </row>
    <row r="4341" spans="1:16" outlineLevel="2" x14ac:dyDescent="0.2">
      <c r="A4341" s="5">
        <v>46202</v>
      </c>
      <c r="B4341" s="2">
        <v>160564</v>
      </c>
      <c r="C4341" s="2">
        <v>12</v>
      </c>
      <c r="D4341" s="2" t="s">
        <v>45</v>
      </c>
      <c r="E4341" s="2" t="s">
        <v>590</v>
      </c>
      <c r="F4341" s="2" t="s">
        <v>289</v>
      </c>
      <c r="G4341" s="2" t="s">
        <v>22</v>
      </c>
      <c r="H4341" s="2" t="s">
        <v>23</v>
      </c>
      <c r="I4341" s="2" t="s">
        <v>23</v>
      </c>
      <c r="J4341" s="2">
        <v>2</v>
      </c>
      <c r="K4341" s="2" t="s">
        <v>48</v>
      </c>
      <c r="L4341" s="2">
        <v>801</v>
      </c>
      <c r="M4341" s="2" t="s">
        <v>56</v>
      </c>
      <c r="N4341" s="2">
        <v>34</v>
      </c>
      <c r="O4341" s="2">
        <v>1097175</v>
      </c>
      <c r="P4341" s="2">
        <v>32269.85</v>
      </c>
    </row>
    <row r="4342" spans="1:16" outlineLevel="2" x14ac:dyDescent="0.2">
      <c r="A4342" s="5">
        <v>46202</v>
      </c>
      <c r="B4342" s="2">
        <v>160564</v>
      </c>
      <c r="C4342" s="2">
        <v>13</v>
      </c>
      <c r="D4342" s="2" t="s">
        <v>45</v>
      </c>
      <c r="E4342" s="2" t="s">
        <v>590</v>
      </c>
      <c r="F4342" s="2" t="s">
        <v>289</v>
      </c>
      <c r="G4342" s="2" t="s">
        <v>22</v>
      </c>
      <c r="H4342" s="2" t="s">
        <v>23</v>
      </c>
      <c r="I4342" s="2" t="s">
        <v>23</v>
      </c>
      <c r="J4342" s="2">
        <v>2</v>
      </c>
      <c r="K4342" s="2" t="s">
        <v>48</v>
      </c>
      <c r="L4342" s="2">
        <v>801</v>
      </c>
      <c r="M4342" s="2" t="s">
        <v>56</v>
      </c>
      <c r="N4342" s="2">
        <v>64</v>
      </c>
      <c r="O4342" s="2">
        <v>1259109.79</v>
      </c>
      <c r="P4342" s="2">
        <v>19673.59</v>
      </c>
    </row>
    <row r="4343" spans="1:16" outlineLevel="2" x14ac:dyDescent="0.2">
      <c r="A4343" s="5">
        <v>46202</v>
      </c>
      <c r="B4343" s="2">
        <v>160564</v>
      </c>
      <c r="C4343" s="2">
        <v>14</v>
      </c>
      <c r="D4343" s="2" t="s">
        <v>45</v>
      </c>
      <c r="E4343" s="2" t="s">
        <v>591</v>
      </c>
      <c r="F4343" s="2" t="s">
        <v>289</v>
      </c>
      <c r="G4343" s="2" t="s">
        <v>276</v>
      </c>
      <c r="H4343" s="2" t="s">
        <v>23</v>
      </c>
      <c r="I4343" s="2" t="s">
        <v>23</v>
      </c>
      <c r="J4343" s="2">
        <v>2</v>
      </c>
      <c r="K4343" s="2" t="s">
        <v>48</v>
      </c>
      <c r="L4343" s="2">
        <v>801</v>
      </c>
      <c r="M4343" s="2" t="s">
        <v>56</v>
      </c>
      <c r="N4343" s="2">
        <v>34</v>
      </c>
      <c r="O4343" s="2">
        <v>663043.53</v>
      </c>
      <c r="P4343" s="2">
        <v>19501.28</v>
      </c>
    </row>
    <row r="4344" spans="1:16" outlineLevel="2" x14ac:dyDescent="0.2">
      <c r="A4344" s="5">
        <v>46202</v>
      </c>
      <c r="B4344" s="2">
        <v>160564</v>
      </c>
      <c r="C4344" s="2">
        <v>15</v>
      </c>
      <c r="D4344" s="2" t="s">
        <v>45</v>
      </c>
      <c r="E4344" s="2" t="s">
        <v>598</v>
      </c>
      <c r="F4344" s="2" t="s">
        <v>289</v>
      </c>
      <c r="G4344" s="2" t="s">
        <v>22</v>
      </c>
      <c r="H4344" s="2" t="s">
        <v>23</v>
      </c>
      <c r="I4344" s="2" t="s">
        <v>23</v>
      </c>
      <c r="J4344" s="2">
        <v>2</v>
      </c>
      <c r="K4344" s="2" t="s">
        <v>48</v>
      </c>
      <c r="L4344" s="2">
        <v>801</v>
      </c>
      <c r="M4344" s="2" t="s">
        <v>56</v>
      </c>
      <c r="N4344" s="2">
        <v>13</v>
      </c>
      <c r="O4344" s="2">
        <v>306579.77</v>
      </c>
      <c r="P4344" s="2">
        <v>23583.06</v>
      </c>
    </row>
    <row r="4345" spans="1:16" outlineLevel="2" x14ac:dyDescent="0.2">
      <c r="A4345" s="5">
        <v>46202</v>
      </c>
      <c r="B4345" s="2">
        <v>160564</v>
      </c>
      <c r="C4345" s="2">
        <v>16</v>
      </c>
      <c r="D4345" s="2" t="s">
        <v>45</v>
      </c>
      <c r="E4345" s="2" t="s">
        <v>558</v>
      </c>
      <c r="F4345" s="2" t="s">
        <v>289</v>
      </c>
      <c r="G4345" s="2" t="s">
        <v>22</v>
      </c>
      <c r="H4345" s="2" t="s">
        <v>23</v>
      </c>
      <c r="I4345" s="2" t="s">
        <v>23</v>
      </c>
      <c r="J4345" s="2">
        <v>2</v>
      </c>
      <c r="K4345" s="2" t="s">
        <v>48</v>
      </c>
      <c r="L4345" s="2">
        <v>801</v>
      </c>
      <c r="M4345" s="2" t="s">
        <v>56</v>
      </c>
      <c r="N4345" s="2">
        <v>37</v>
      </c>
      <c r="O4345" s="2">
        <v>888002.23</v>
      </c>
      <c r="P4345" s="2">
        <v>24000.06</v>
      </c>
    </row>
    <row r="4346" spans="1:16" outlineLevel="2" x14ac:dyDescent="0.2">
      <c r="A4346" s="5">
        <v>46204</v>
      </c>
      <c r="B4346" s="2">
        <v>160564</v>
      </c>
      <c r="C4346" s="2">
        <v>17</v>
      </c>
      <c r="D4346" s="2" t="s">
        <v>45</v>
      </c>
      <c r="E4346" s="2" t="s">
        <v>592</v>
      </c>
      <c r="F4346" s="2" t="s">
        <v>23</v>
      </c>
      <c r="G4346" s="2" t="s">
        <v>22</v>
      </c>
      <c r="H4346" s="2" t="s">
        <v>23</v>
      </c>
      <c r="I4346" s="2" t="s">
        <v>23</v>
      </c>
      <c r="J4346" s="2">
        <v>2</v>
      </c>
      <c r="K4346" s="2" t="s">
        <v>48</v>
      </c>
      <c r="L4346" s="2">
        <v>801</v>
      </c>
      <c r="M4346" s="2" t="s">
        <v>56</v>
      </c>
      <c r="N4346" s="2">
        <v>2</v>
      </c>
      <c r="O4346" s="2">
        <v>50405.7</v>
      </c>
      <c r="P4346" s="2">
        <v>25202.85</v>
      </c>
    </row>
    <row r="4347" spans="1:16" outlineLevel="2" x14ac:dyDescent="0.2">
      <c r="A4347" s="5">
        <v>46202</v>
      </c>
      <c r="B4347" s="2">
        <v>160564</v>
      </c>
      <c r="C4347" s="2">
        <v>19</v>
      </c>
      <c r="D4347" s="2" t="s">
        <v>45</v>
      </c>
      <c r="E4347" s="2" t="s">
        <v>46</v>
      </c>
      <c r="F4347" s="2" t="s">
        <v>289</v>
      </c>
      <c r="G4347" s="2" t="s">
        <v>22</v>
      </c>
      <c r="H4347" s="2" t="s">
        <v>23</v>
      </c>
      <c r="I4347" s="2" t="s">
        <v>23</v>
      </c>
      <c r="J4347" s="2">
        <v>2</v>
      </c>
      <c r="K4347" s="2" t="s">
        <v>48</v>
      </c>
      <c r="L4347" s="2">
        <v>801</v>
      </c>
      <c r="M4347" s="2" t="s">
        <v>56</v>
      </c>
      <c r="N4347" s="2">
        <v>1</v>
      </c>
      <c r="O4347" s="2">
        <v>13699.58</v>
      </c>
      <c r="P4347" s="2">
        <v>13699.58</v>
      </c>
    </row>
    <row r="4348" spans="1:16" outlineLevel="1" x14ac:dyDescent="0.2">
      <c r="A4348" s="5"/>
      <c r="D4348" s="3" t="s">
        <v>733</v>
      </c>
      <c r="N4348" s="2">
        <f>SUBTOTAL(9,N4341:N4347)</f>
        <v>185</v>
      </c>
      <c r="O4348" s="2">
        <f>SUBTOTAL(9,O4341:O4347)</f>
        <v>4278015.6000000006</v>
      </c>
      <c r="P4348" s="2">
        <f>+O4348/N4348</f>
        <v>23124.408648648652</v>
      </c>
    </row>
    <row r="4349" spans="1:16" outlineLevel="2" x14ac:dyDescent="0.2">
      <c r="A4349" s="5">
        <v>46202</v>
      </c>
      <c r="B4349" s="2">
        <v>160564</v>
      </c>
      <c r="C4349" s="2">
        <v>22</v>
      </c>
      <c r="D4349" s="2" t="s">
        <v>226</v>
      </c>
      <c r="E4349" s="2" t="s">
        <v>581</v>
      </c>
      <c r="F4349" s="2" t="s">
        <v>289</v>
      </c>
      <c r="G4349" s="2" t="s">
        <v>22</v>
      </c>
      <c r="H4349" s="2" t="s">
        <v>23</v>
      </c>
      <c r="I4349" s="2" t="s">
        <v>23</v>
      </c>
      <c r="J4349" s="2">
        <v>2</v>
      </c>
      <c r="K4349" s="2" t="s">
        <v>48</v>
      </c>
      <c r="L4349" s="2">
        <v>801</v>
      </c>
      <c r="M4349" s="2" t="s">
        <v>56</v>
      </c>
      <c r="N4349" s="2">
        <v>55</v>
      </c>
      <c r="O4349" s="2">
        <v>1246333.17</v>
      </c>
      <c r="P4349" s="2">
        <v>22660.6</v>
      </c>
    </row>
    <row r="4350" spans="1:16" outlineLevel="2" x14ac:dyDescent="0.2">
      <c r="A4350" s="5">
        <v>46202</v>
      </c>
      <c r="B4350" s="2">
        <v>160564</v>
      </c>
      <c r="C4350" s="2">
        <v>25</v>
      </c>
      <c r="D4350" s="2" t="s">
        <v>226</v>
      </c>
      <c r="E4350" s="2" t="s">
        <v>568</v>
      </c>
      <c r="F4350" s="2" t="s">
        <v>289</v>
      </c>
      <c r="G4350" s="2" t="s">
        <v>22</v>
      </c>
      <c r="H4350" s="2" t="s">
        <v>23</v>
      </c>
      <c r="I4350" s="2" t="s">
        <v>23</v>
      </c>
      <c r="J4350" s="2">
        <v>2</v>
      </c>
      <c r="K4350" s="2" t="s">
        <v>48</v>
      </c>
      <c r="L4350" s="2">
        <v>801</v>
      </c>
      <c r="M4350" s="2" t="s">
        <v>56</v>
      </c>
      <c r="N4350" s="2">
        <v>16</v>
      </c>
      <c r="O4350" s="2">
        <v>374116.87</v>
      </c>
      <c r="P4350" s="2">
        <v>23382.3</v>
      </c>
    </row>
    <row r="4351" spans="1:16" outlineLevel="2" x14ac:dyDescent="0.2">
      <c r="A4351" s="5">
        <v>46202</v>
      </c>
      <c r="B4351" s="2">
        <v>160564</v>
      </c>
      <c r="C4351" s="2">
        <v>27</v>
      </c>
      <c r="D4351" s="2" t="s">
        <v>226</v>
      </c>
      <c r="E4351" s="2" t="s">
        <v>586</v>
      </c>
      <c r="F4351" s="2" t="s">
        <v>289</v>
      </c>
      <c r="G4351" s="2" t="s">
        <v>22</v>
      </c>
      <c r="H4351" s="2" t="s">
        <v>23</v>
      </c>
      <c r="I4351" s="2" t="s">
        <v>23</v>
      </c>
      <c r="J4351" s="2">
        <v>2</v>
      </c>
      <c r="K4351" s="2" t="s">
        <v>48</v>
      </c>
      <c r="L4351" s="2">
        <v>801</v>
      </c>
      <c r="M4351" s="2" t="s">
        <v>56</v>
      </c>
      <c r="N4351" s="2">
        <v>32</v>
      </c>
      <c r="O4351" s="2">
        <v>686022.7</v>
      </c>
      <c r="P4351" s="2">
        <v>21438.21</v>
      </c>
    </row>
    <row r="4352" spans="1:16" outlineLevel="2" x14ac:dyDescent="0.2">
      <c r="A4352" s="5">
        <v>46202</v>
      </c>
      <c r="B4352" s="2">
        <v>160564</v>
      </c>
      <c r="C4352" s="2">
        <v>30</v>
      </c>
      <c r="D4352" s="2" t="s">
        <v>226</v>
      </c>
      <c r="E4352" s="2" t="s">
        <v>151</v>
      </c>
      <c r="F4352" s="2" t="s">
        <v>289</v>
      </c>
      <c r="G4352" s="2" t="s">
        <v>22</v>
      </c>
      <c r="H4352" s="2" t="s">
        <v>23</v>
      </c>
      <c r="I4352" s="2" t="s">
        <v>23</v>
      </c>
      <c r="J4352" s="2">
        <v>2</v>
      </c>
      <c r="K4352" s="2" t="s">
        <v>48</v>
      </c>
      <c r="L4352" s="2">
        <v>801</v>
      </c>
      <c r="M4352" s="2" t="s">
        <v>56</v>
      </c>
      <c r="N4352" s="2">
        <v>16</v>
      </c>
      <c r="O4352" s="2">
        <v>337383.28</v>
      </c>
      <c r="P4352" s="2">
        <v>21086.46</v>
      </c>
    </row>
    <row r="4353" spans="1:16" outlineLevel="1" x14ac:dyDescent="0.2">
      <c r="A4353" s="5"/>
      <c r="D4353" s="3" t="s">
        <v>736</v>
      </c>
      <c r="N4353" s="2">
        <f>SUBTOTAL(9,N4349:N4352)</f>
        <v>119</v>
      </c>
      <c r="O4353" s="2">
        <f>SUBTOTAL(9,O4349:O4352)</f>
        <v>2643856.0200000005</v>
      </c>
      <c r="P4353" s="2">
        <f>+O4353/N4353</f>
        <v>22217.2774789916</v>
      </c>
    </row>
    <row r="4354" spans="1:16" outlineLevel="2" x14ac:dyDescent="0.2">
      <c r="A4354" s="5">
        <v>46204</v>
      </c>
      <c r="B4354" s="2">
        <v>160564</v>
      </c>
      <c r="C4354" s="2">
        <v>311</v>
      </c>
      <c r="D4354" s="2" t="s">
        <v>54</v>
      </c>
      <c r="E4354" s="2" t="s">
        <v>30</v>
      </c>
      <c r="F4354" s="2" t="s">
        <v>23</v>
      </c>
      <c r="G4354" s="2" t="s">
        <v>22</v>
      </c>
      <c r="H4354" s="2" t="s">
        <v>23</v>
      </c>
      <c r="I4354" s="2" t="s">
        <v>23</v>
      </c>
      <c r="J4354" s="2">
        <v>2</v>
      </c>
      <c r="K4354" s="2" t="s">
        <v>48</v>
      </c>
      <c r="L4354" s="2">
        <v>801</v>
      </c>
      <c r="M4354" s="2" t="s">
        <v>56</v>
      </c>
      <c r="N4354" s="2">
        <v>13</v>
      </c>
      <c r="O4354" s="2">
        <v>112973.52</v>
      </c>
      <c r="P4354" s="2">
        <v>8690.27</v>
      </c>
    </row>
    <row r="4355" spans="1:16" outlineLevel="1" x14ac:dyDescent="0.2">
      <c r="A4355" s="5"/>
      <c r="D4355" s="3" t="s">
        <v>719</v>
      </c>
      <c r="N4355" s="2">
        <f>SUBTOTAL(9,N4354:N4354)</f>
        <v>13</v>
      </c>
      <c r="O4355" s="2">
        <f>SUBTOTAL(9,O4354:O4354)</f>
        <v>112973.52</v>
      </c>
      <c r="P4355" s="2">
        <f>+O4355/N4355</f>
        <v>8690.2707692307704</v>
      </c>
    </row>
    <row r="4356" spans="1:16" outlineLevel="2" x14ac:dyDescent="0.2">
      <c r="A4356" s="5">
        <v>46204</v>
      </c>
      <c r="B4356" s="2">
        <v>160564</v>
      </c>
      <c r="C4356" s="2">
        <v>315</v>
      </c>
      <c r="D4356" s="2" t="s">
        <v>45</v>
      </c>
      <c r="E4356" s="2" t="s">
        <v>598</v>
      </c>
      <c r="F4356" s="2" t="s">
        <v>55</v>
      </c>
      <c r="G4356" s="2" t="s">
        <v>22</v>
      </c>
      <c r="H4356" s="2" t="s">
        <v>23</v>
      </c>
      <c r="I4356" s="2" t="s">
        <v>23</v>
      </c>
      <c r="J4356" s="2">
        <v>2</v>
      </c>
      <c r="K4356" s="2" t="s">
        <v>48</v>
      </c>
      <c r="L4356" s="2">
        <v>801</v>
      </c>
      <c r="M4356" s="2" t="s">
        <v>56</v>
      </c>
      <c r="N4356" s="2">
        <v>3</v>
      </c>
      <c r="O4356" s="2">
        <v>49499.7</v>
      </c>
      <c r="P4356" s="2">
        <v>16499.900000000001</v>
      </c>
    </row>
    <row r="4357" spans="1:16" outlineLevel="2" x14ac:dyDescent="0.2">
      <c r="A4357" s="5">
        <v>46204</v>
      </c>
      <c r="B4357" s="2">
        <v>160564</v>
      </c>
      <c r="C4357" s="2">
        <v>316</v>
      </c>
      <c r="D4357" s="2" t="s">
        <v>45</v>
      </c>
      <c r="E4357" s="2" t="s">
        <v>604</v>
      </c>
      <c r="F4357" s="2" t="s">
        <v>55</v>
      </c>
      <c r="G4357" s="2" t="s">
        <v>22</v>
      </c>
      <c r="H4357" s="2" t="s">
        <v>23</v>
      </c>
      <c r="I4357" s="2" t="s">
        <v>23</v>
      </c>
      <c r="J4357" s="2">
        <v>2</v>
      </c>
      <c r="K4357" s="2" t="s">
        <v>48</v>
      </c>
      <c r="L4357" s="2">
        <v>801</v>
      </c>
      <c r="M4357" s="2" t="s">
        <v>56</v>
      </c>
      <c r="N4357" s="2">
        <v>3</v>
      </c>
      <c r="O4357" s="2">
        <v>55100.31</v>
      </c>
      <c r="P4357" s="2">
        <v>18366.77</v>
      </c>
    </row>
    <row r="4358" spans="1:16" outlineLevel="1" x14ac:dyDescent="0.2">
      <c r="A4358" s="5"/>
      <c r="D4358" s="3" t="s">
        <v>733</v>
      </c>
      <c r="N4358" s="2">
        <f>SUBTOTAL(9,N4356:N4357)</f>
        <v>6</v>
      </c>
      <c r="O4358" s="2">
        <f>SUBTOTAL(9,O4356:O4357)</f>
        <v>104600.01</v>
      </c>
      <c r="P4358" s="2">
        <f>+O4358/N4358</f>
        <v>17433.334999999999</v>
      </c>
    </row>
    <row r="4359" spans="1:16" outlineLevel="2" x14ac:dyDescent="0.2">
      <c r="A4359" s="5">
        <v>46211</v>
      </c>
      <c r="B4359" s="2">
        <v>160574</v>
      </c>
      <c r="C4359" s="2">
        <v>1</v>
      </c>
      <c r="D4359" s="2" t="s">
        <v>140</v>
      </c>
      <c r="E4359" s="2" t="s">
        <v>55</v>
      </c>
      <c r="F4359" s="2" t="s">
        <v>23</v>
      </c>
      <c r="G4359" s="2" t="s">
        <v>22</v>
      </c>
      <c r="H4359" s="2" t="s">
        <v>23</v>
      </c>
      <c r="I4359" s="2" t="s">
        <v>23</v>
      </c>
      <c r="J4359" s="2">
        <v>1</v>
      </c>
      <c r="K4359" s="2" t="s">
        <v>24</v>
      </c>
      <c r="L4359" s="2">
        <v>1833</v>
      </c>
      <c r="M4359" s="2" t="s">
        <v>142</v>
      </c>
      <c r="N4359" s="2">
        <v>3</v>
      </c>
      <c r="O4359" s="2">
        <v>27097.17</v>
      </c>
      <c r="P4359" s="2">
        <v>9032.39</v>
      </c>
    </row>
    <row r="4360" spans="1:16" outlineLevel="1" x14ac:dyDescent="0.2">
      <c r="A4360" s="5"/>
      <c r="D4360" s="3" t="s">
        <v>696</v>
      </c>
      <c r="N4360" s="2">
        <f>SUBTOTAL(9,N4359:N4359)</f>
        <v>3</v>
      </c>
      <c r="O4360" s="2">
        <f>SUBTOTAL(9,O4359:O4359)</f>
        <v>27097.17</v>
      </c>
      <c r="P4360" s="2">
        <f>+O4360/N4360</f>
        <v>9032.39</v>
      </c>
    </row>
    <row r="4361" spans="1:16" outlineLevel="2" x14ac:dyDescent="0.2">
      <c r="A4361" s="5">
        <v>46204</v>
      </c>
      <c r="B4361" s="2">
        <v>160576</v>
      </c>
      <c r="C4361" s="2">
        <v>1</v>
      </c>
      <c r="D4361" s="2" t="s">
        <v>57</v>
      </c>
      <c r="E4361" s="2" t="s">
        <v>493</v>
      </c>
      <c r="F4361" s="2" t="s">
        <v>23</v>
      </c>
      <c r="G4361" s="2" t="s">
        <v>22</v>
      </c>
      <c r="H4361" s="2" t="s">
        <v>23</v>
      </c>
      <c r="I4361" s="2" t="s">
        <v>345</v>
      </c>
      <c r="J4361" s="2">
        <v>1</v>
      </c>
      <c r="K4361" s="2" t="s">
        <v>24</v>
      </c>
      <c r="L4361" s="2">
        <v>226</v>
      </c>
      <c r="M4361" s="2" t="s">
        <v>59</v>
      </c>
      <c r="N4361" s="2">
        <v>42</v>
      </c>
      <c r="O4361" s="2">
        <v>1541163.89</v>
      </c>
      <c r="P4361" s="2">
        <v>36694.379999999997</v>
      </c>
    </row>
    <row r="4362" spans="1:16" outlineLevel="2" x14ac:dyDescent="0.2">
      <c r="A4362" s="5">
        <v>46204</v>
      </c>
      <c r="B4362" s="2">
        <v>160576</v>
      </c>
      <c r="C4362" s="2">
        <v>2</v>
      </c>
      <c r="D4362" s="2" t="s">
        <v>57</v>
      </c>
      <c r="E4362" s="2" t="s">
        <v>625</v>
      </c>
      <c r="F4362" s="2" t="s">
        <v>23</v>
      </c>
      <c r="G4362" s="2" t="s">
        <v>22</v>
      </c>
      <c r="H4362" s="2" t="s">
        <v>23</v>
      </c>
      <c r="I4362" s="2" t="s">
        <v>345</v>
      </c>
      <c r="J4362" s="2">
        <v>2</v>
      </c>
      <c r="K4362" s="2" t="s">
        <v>48</v>
      </c>
      <c r="L4362" s="2">
        <v>226</v>
      </c>
      <c r="M4362" s="2" t="s">
        <v>59</v>
      </c>
      <c r="N4362" s="2">
        <v>42</v>
      </c>
      <c r="O4362" s="2">
        <v>1771681.77</v>
      </c>
      <c r="P4362" s="2">
        <v>42182.9</v>
      </c>
    </row>
    <row r="4363" spans="1:16" outlineLevel="1" x14ac:dyDescent="0.2">
      <c r="A4363" s="5"/>
      <c r="D4363" s="3" t="s">
        <v>716</v>
      </c>
      <c r="N4363" s="2">
        <f>SUBTOTAL(9,N4361:N4362)</f>
        <v>84</v>
      </c>
      <c r="O4363" s="2">
        <f>SUBTOTAL(9,O4361:O4362)</f>
        <v>3312845.66</v>
      </c>
      <c r="P4363" s="2">
        <f>+O4363/N4363</f>
        <v>39438.638809523814</v>
      </c>
    </row>
    <row r="4364" spans="1:16" outlineLevel="2" x14ac:dyDescent="0.2">
      <c r="A4364" s="5">
        <v>46204</v>
      </c>
      <c r="B4364" s="2">
        <v>160577</v>
      </c>
      <c r="C4364" s="2">
        <v>1</v>
      </c>
      <c r="D4364" s="2" t="s">
        <v>140</v>
      </c>
      <c r="E4364" s="2" t="s">
        <v>23</v>
      </c>
      <c r="F4364" s="2" t="s">
        <v>108</v>
      </c>
      <c r="G4364" s="2" t="s">
        <v>22</v>
      </c>
      <c r="H4364" s="2" t="s">
        <v>23</v>
      </c>
      <c r="I4364" s="2" t="s">
        <v>23</v>
      </c>
      <c r="J4364" s="2">
        <v>1</v>
      </c>
      <c r="K4364" s="2" t="s">
        <v>24</v>
      </c>
      <c r="L4364" s="2">
        <v>1503</v>
      </c>
      <c r="M4364" s="2" t="s">
        <v>603</v>
      </c>
      <c r="N4364" s="2">
        <v>17</v>
      </c>
      <c r="O4364" s="2">
        <v>411481.83</v>
      </c>
      <c r="P4364" s="2">
        <v>24204.81</v>
      </c>
    </row>
    <row r="4365" spans="1:16" outlineLevel="1" x14ac:dyDescent="0.2">
      <c r="A4365" s="5"/>
      <c r="D4365" s="3" t="s">
        <v>696</v>
      </c>
      <c r="N4365" s="2">
        <f>SUBTOTAL(9,N4364:N4364)</f>
        <v>17</v>
      </c>
      <c r="O4365" s="2">
        <f>SUBTOTAL(9,O4364:O4364)</f>
        <v>411481.83</v>
      </c>
      <c r="P4365" s="2">
        <f>+O4365/N4365</f>
        <v>24204.813529411767</v>
      </c>
    </row>
    <row r="4366" spans="1:16" outlineLevel="2" x14ac:dyDescent="0.2">
      <c r="A4366" s="5">
        <v>46204</v>
      </c>
      <c r="B4366" s="2">
        <v>160578</v>
      </c>
      <c r="C4366" s="2">
        <v>1</v>
      </c>
      <c r="D4366" s="2" t="s">
        <v>579</v>
      </c>
      <c r="E4366" s="2" t="s">
        <v>23</v>
      </c>
      <c r="F4366" s="2" t="s">
        <v>23</v>
      </c>
      <c r="G4366" s="2" t="s">
        <v>22</v>
      </c>
      <c r="H4366" s="2" t="s">
        <v>23</v>
      </c>
      <c r="I4366" s="2" t="s">
        <v>23</v>
      </c>
      <c r="J4366" s="2">
        <v>41</v>
      </c>
      <c r="K4366" s="2" t="s">
        <v>129</v>
      </c>
      <c r="L4366" s="2">
        <v>2338</v>
      </c>
      <c r="M4366" s="2" t="s">
        <v>417</v>
      </c>
      <c r="N4366" s="2">
        <v>512</v>
      </c>
      <c r="O4366" s="2">
        <v>484128.74</v>
      </c>
      <c r="P4366" s="2">
        <v>945.56</v>
      </c>
    </row>
    <row r="4367" spans="1:16" outlineLevel="1" x14ac:dyDescent="0.2">
      <c r="A4367" s="5"/>
      <c r="D4367" s="3" t="s">
        <v>800</v>
      </c>
      <c r="N4367" s="2">
        <f>SUBTOTAL(9,N4366:N4366)</f>
        <v>512</v>
      </c>
      <c r="O4367" s="2">
        <f>SUBTOTAL(9,O4366:O4366)</f>
        <v>484128.74</v>
      </c>
      <c r="P4367" s="2">
        <f>+O4367/N4367</f>
        <v>945.56394531249998</v>
      </c>
    </row>
    <row r="4368" spans="1:16" outlineLevel="2" x14ac:dyDescent="0.2">
      <c r="A4368" s="5">
        <v>46204</v>
      </c>
      <c r="B4368" s="2">
        <v>160579</v>
      </c>
      <c r="C4368" s="2">
        <v>1</v>
      </c>
      <c r="D4368" s="2" t="s">
        <v>207</v>
      </c>
      <c r="E4368" s="2" t="s">
        <v>23</v>
      </c>
      <c r="F4368" s="2" t="s">
        <v>23</v>
      </c>
      <c r="G4368" s="2" t="s">
        <v>22</v>
      </c>
      <c r="H4368" s="2" t="s">
        <v>208</v>
      </c>
      <c r="I4368" s="2" t="s">
        <v>23</v>
      </c>
      <c r="J4368" s="2">
        <v>41</v>
      </c>
      <c r="K4368" s="2" t="s">
        <v>129</v>
      </c>
      <c r="L4368" s="2">
        <v>25213</v>
      </c>
      <c r="M4368" s="2" t="s">
        <v>130</v>
      </c>
      <c r="N4368" s="2">
        <v>50</v>
      </c>
      <c r="O4368" s="2">
        <v>171587.5</v>
      </c>
      <c r="P4368" s="2">
        <v>3431.75</v>
      </c>
    </row>
    <row r="4369" spans="1:16" outlineLevel="2" x14ac:dyDescent="0.2">
      <c r="A4369" s="5">
        <v>46204</v>
      </c>
      <c r="B4369" s="2">
        <v>160579</v>
      </c>
      <c r="C4369" s="2">
        <v>2</v>
      </c>
      <c r="D4369" s="2" t="s">
        <v>207</v>
      </c>
      <c r="E4369" s="2" t="s">
        <v>23</v>
      </c>
      <c r="F4369" s="2" t="s">
        <v>23</v>
      </c>
      <c r="G4369" s="2" t="s">
        <v>22</v>
      </c>
      <c r="H4369" s="2" t="s">
        <v>209</v>
      </c>
      <c r="I4369" s="2" t="s">
        <v>23</v>
      </c>
      <c r="J4369" s="2">
        <v>41</v>
      </c>
      <c r="K4369" s="2" t="s">
        <v>129</v>
      </c>
      <c r="L4369" s="2">
        <v>25213</v>
      </c>
      <c r="M4369" s="2" t="s">
        <v>130</v>
      </c>
      <c r="N4369" s="2">
        <v>50</v>
      </c>
      <c r="O4369" s="2">
        <v>148252</v>
      </c>
      <c r="P4369" s="2">
        <v>2965.04</v>
      </c>
    </row>
    <row r="4370" spans="1:16" outlineLevel="1" x14ac:dyDescent="0.2">
      <c r="A4370" s="5"/>
      <c r="D4370" s="3" t="s">
        <v>699</v>
      </c>
      <c r="N4370" s="2">
        <f>SUBTOTAL(9,N4368:N4369)</f>
        <v>100</v>
      </c>
      <c r="O4370" s="2">
        <f>SUBTOTAL(9,O4368:O4369)</f>
        <v>319839.5</v>
      </c>
      <c r="P4370" s="2">
        <f>+O4370/N4370</f>
        <v>3198.395</v>
      </c>
    </row>
    <row r="4371" spans="1:16" outlineLevel="2" x14ac:dyDescent="0.2">
      <c r="A4371" s="5">
        <v>46204</v>
      </c>
      <c r="B4371" s="2">
        <v>160579</v>
      </c>
      <c r="C4371" s="2">
        <v>3</v>
      </c>
      <c r="D4371" s="2" t="s">
        <v>128</v>
      </c>
      <c r="E4371" s="2" t="s">
        <v>23</v>
      </c>
      <c r="F4371" s="2" t="s">
        <v>23</v>
      </c>
      <c r="G4371" s="2" t="s">
        <v>22</v>
      </c>
      <c r="H4371" s="2" t="s">
        <v>23</v>
      </c>
      <c r="I4371" s="2" t="s">
        <v>23</v>
      </c>
      <c r="J4371" s="2">
        <v>41</v>
      </c>
      <c r="K4371" s="2" t="s">
        <v>129</v>
      </c>
      <c r="L4371" s="2">
        <v>25213</v>
      </c>
      <c r="M4371" s="2" t="s">
        <v>130</v>
      </c>
      <c r="N4371" s="2">
        <v>75</v>
      </c>
      <c r="O4371" s="2">
        <v>273623.39</v>
      </c>
      <c r="P4371" s="2">
        <v>3648.31</v>
      </c>
    </row>
    <row r="4372" spans="1:16" outlineLevel="1" x14ac:dyDescent="0.2">
      <c r="A4372" s="5"/>
      <c r="D4372" s="3" t="s">
        <v>732</v>
      </c>
      <c r="N4372" s="2">
        <f>SUBTOTAL(9,N4371:N4371)</f>
        <v>75</v>
      </c>
      <c r="O4372" s="2">
        <f>SUBTOTAL(9,O4371:O4371)</f>
        <v>273623.39</v>
      </c>
      <c r="P4372" s="2">
        <f>+O4372/N4372</f>
        <v>3648.3118666666669</v>
      </c>
    </row>
    <row r="4373" spans="1:16" outlineLevel="2" x14ac:dyDescent="0.2">
      <c r="A4373" s="5">
        <v>46204</v>
      </c>
      <c r="B4373" s="2">
        <v>160579</v>
      </c>
      <c r="C4373" s="2">
        <v>4</v>
      </c>
      <c r="D4373" s="2" t="s">
        <v>207</v>
      </c>
      <c r="E4373" s="2" t="s">
        <v>527</v>
      </c>
      <c r="F4373" s="2" t="s">
        <v>23</v>
      </c>
      <c r="G4373" s="2" t="s">
        <v>527</v>
      </c>
      <c r="H4373" s="2" t="s">
        <v>23</v>
      </c>
      <c r="I4373" s="2" t="s">
        <v>23</v>
      </c>
      <c r="J4373" s="2">
        <v>1</v>
      </c>
      <c r="K4373" s="2" t="s">
        <v>24</v>
      </c>
      <c r="L4373" s="2">
        <v>25213</v>
      </c>
      <c r="M4373" s="2" t="s">
        <v>130</v>
      </c>
      <c r="N4373" s="2">
        <v>4</v>
      </c>
      <c r="O4373" s="2">
        <v>261390.35</v>
      </c>
      <c r="P4373" s="2">
        <v>65347.59</v>
      </c>
    </row>
    <row r="4374" spans="1:16" outlineLevel="1" x14ac:dyDescent="0.2">
      <c r="A4374" s="5"/>
      <c r="D4374" s="3" t="s">
        <v>699</v>
      </c>
      <c r="N4374" s="2">
        <f>SUBTOTAL(9,N4373:N4373)</f>
        <v>4</v>
      </c>
      <c r="O4374" s="2">
        <f>SUBTOTAL(9,O4373:O4373)</f>
        <v>261390.35</v>
      </c>
      <c r="P4374" s="2">
        <f>+O4374/N4374</f>
        <v>65347.587500000001</v>
      </c>
    </row>
    <row r="4375" spans="1:16" outlineLevel="2" x14ac:dyDescent="0.2">
      <c r="A4375" s="5">
        <v>46204</v>
      </c>
      <c r="B4375" s="2">
        <v>160579</v>
      </c>
      <c r="C4375" s="2">
        <v>5</v>
      </c>
      <c r="D4375" s="2" t="s">
        <v>128</v>
      </c>
      <c r="E4375" s="2" t="s">
        <v>23</v>
      </c>
      <c r="F4375" s="2" t="s">
        <v>23</v>
      </c>
      <c r="G4375" s="2" t="s">
        <v>22</v>
      </c>
      <c r="H4375" s="2" t="s">
        <v>23</v>
      </c>
      <c r="I4375" s="2" t="s">
        <v>23</v>
      </c>
      <c r="J4375" s="2">
        <v>1</v>
      </c>
      <c r="K4375" s="2" t="s">
        <v>24</v>
      </c>
      <c r="L4375" s="2">
        <v>25213</v>
      </c>
      <c r="M4375" s="2" t="s">
        <v>130</v>
      </c>
      <c r="N4375" s="2">
        <v>5</v>
      </c>
      <c r="O4375" s="2">
        <v>449340.98</v>
      </c>
      <c r="P4375" s="2">
        <v>89868.2</v>
      </c>
    </row>
    <row r="4376" spans="1:16" outlineLevel="1" x14ac:dyDescent="0.2">
      <c r="A4376" s="5"/>
      <c r="D4376" s="3" t="s">
        <v>732</v>
      </c>
      <c r="N4376" s="2">
        <f>SUBTOTAL(9,N4375:N4375)</f>
        <v>5</v>
      </c>
      <c r="O4376" s="2">
        <f>SUBTOTAL(9,O4375:O4375)</f>
        <v>449340.98</v>
      </c>
      <c r="P4376" s="2">
        <f>+O4376/N4376</f>
        <v>89868.195999999996</v>
      </c>
    </row>
    <row r="4377" spans="1:16" outlineLevel="2" x14ac:dyDescent="0.2">
      <c r="A4377" s="5">
        <v>46206</v>
      </c>
      <c r="B4377" s="2">
        <v>160585</v>
      </c>
      <c r="C4377" s="2">
        <v>315</v>
      </c>
      <c r="D4377" s="2" t="s">
        <v>215</v>
      </c>
      <c r="E4377" s="2" t="s">
        <v>23</v>
      </c>
      <c r="F4377" s="2" t="s">
        <v>23</v>
      </c>
      <c r="G4377" s="2" t="s">
        <v>22</v>
      </c>
      <c r="H4377" s="2" t="s">
        <v>23</v>
      </c>
      <c r="I4377" s="2" t="s">
        <v>23</v>
      </c>
      <c r="J4377" s="2">
        <v>2</v>
      </c>
      <c r="K4377" s="2" t="s">
        <v>48</v>
      </c>
      <c r="L4377" s="2">
        <v>251</v>
      </c>
      <c r="M4377" s="2" t="s">
        <v>267</v>
      </c>
      <c r="N4377" s="2">
        <v>6</v>
      </c>
      <c r="O4377" s="2">
        <v>33603.78</v>
      </c>
      <c r="P4377" s="2">
        <v>5600.63</v>
      </c>
    </row>
    <row r="4378" spans="1:16" outlineLevel="1" x14ac:dyDescent="0.2">
      <c r="A4378" s="5"/>
      <c r="D4378" s="3" t="s">
        <v>727</v>
      </c>
      <c r="N4378" s="2">
        <f>SUBTOTAL(9,N4377:N4377)</f>
        <v>6</v>
      </c>
      <c r="O4378" s="2">
        <f>SUBTOTAL(9,O4377:O4377)</f>
        <v>33603.78</v>
      </c>
      <c r="P4378" s="2">
        <f>+O4378/N4378</f>
        <v>5600.63</v>
      </c>
    </row>
    <row r="4379" spans="1:16" outlineLevel="2" x14ac:dyDescent="0.2">
      <c r="A4379" s="5">
        <v>46216</v>
      </c>
      <c r="B4379" s="2">
        <v>160587</v>
      </c>
      <c r="C4379" s="2">
        <v>307</v>
      </c>
      <c r="D4379" s="2" t="s">
        <v>203</v>
      </c>
      <c r="E4379" s="2" t="s">
        <v>125</v>
      </c>
      <c r="F4379" s="2" t="s">
        <v>55</v>
      </c>
      <c r="G4379" s="2" t="s">
        <v>23</v>
      </c>
      <c r="H4379" s="2" t="s">
        <v>23</v>
      </c>
      <c r="I4379" s="2" t="s">
        <v>23</v>
      </c>
      <c r="J4379" s="2">
        <v>2</v>
      </c>
      <c r="K4379" s="2" t="s">
        <v>48</v>
      </c>
      <c r="L4379" s="2">
        <v>600</v>
      </c>
      <c r="M4379" s="2" t="s">
        <v>112</v>
      </c>
      <c r="N4379" s="2">
        <v>20</v>
      </c>
      <c r="O4379" s="2">
        <v>12628.8</v>
      </c>
      <c r="P4379" s="2">
        <v>631.44000000000005</v>
      </c>
    </row>
    <row r="4380" spans="1:16" outlineLevel="1" x14ac:dyDescent="0.2">
      <c r="A4380" s="5"/>
      <c r="D4380" s="3" t="s">
        <v>735</v>
      </c>
      <c r="N4380" s="2">
        <f>SUBTOTAL(9,N4379:N4379)</f>
        <v>20</v>
      </c>
      <c r="O4380" s="2">
        <f>SUBTOTAL(9,O4379:O4379)</f>
        <v>12628.8</v>
      </c>
      <c r="P4380" s="2">
        <f>+O4380/N4380</f>
        <v>631.43999999999994</v>
      </c>
    </row>
    <row r="4381" spans="1:16" outlineLevel="2" x14ac:dyDescent="0.2">
      <c r="A4381" s="5">
        <v>46211</v>
      </c>
      <c r="B4381" s="2">
        <v>160593</v>
      </c>
      <c r="C4381" s="2">
        <v>1</v>
      </c>
      <c r="D4381" s="2" t="s">
        <v>186</v>
      </c>
      <c r="E4381" s="2" t="s">
        <v>613</v>
      </c>
      <c r="F4381" s="2" t="s">
        <v>23</v>
      </c>
      <c r="G4381" s="2" t="s">
        <v>22</v>
      </c>
      <c r="H4381" s="2" t="s">
        <v>23</v>
      </c>
      <c r="I4381" s="2" t="s">
        <v>23</v>
      </c>
      <c r="J4381" s="2">
        <v>2</v>
      </c>
      <c r="K4381" s="2" t="s">
        <v>48</v>
      </c>
      <c r="L4381" s="2">
        <v>25092</v>
      </c>
      <c r="M4381" s="2" t="s">
        <v>96</v>
      </c>
      <c r="N4381" s="2">
        <v>14</v>
      </c>
      <c r="O4381" s="2">
        <v>74180.820000000007</v>
      </c>
      <c r="P4381" s="2">
        <v>5298.63</v>
      </c>
    </row>
    <row r="4382" spans="1:16" outlineLevel="1" x14ac:dyDescent="0.2">
      <c r="A4382" s="5"/>
      <c r="D4382" s="3" t="s">
        <v>731</v>
      </c>
      <c r="N4382" s="2">
        <f>SUBTOTAL(9,N4381:N4381)</f>
        <v>14</v>
      </c>
      <c r="O4382" s="2">
        <f>SUBTOTAL(9,O4381:O4381)</f>
        <v>74180.820000000007</v>
      </c>
      <c r="P4382" s="2">
        <f>+O4382/N4382</f>
        <v>5298.63</v>
      </c>
    </row>
    <row r="4383" spans="1:16" outlineLevel="2" x14ac:dyDescent="0.2">
      <c r="A4383" s="5">
        <v>46227</v>
      </c>
      <c r="B4383" s="2">
        <v>160593</v>
      </c>
      <c r="C4383" s="2">
        <v>2</v>
      </c>
      <c r="D4383" s="2" t="s">
        <v>57</v>
      </c>
      <c r="E4383" s="2" t="s">
        <v>259</v>
      </c>
      <c r="F4383" s="2" t="s">
        <v>31</v>
      </c>
      <c r="G4383" s="2" t="s">
        <v>22</v>
      </c>
      <c r="H4383" s="2" t="s">
        <v>23</v>
      </c>
      <c r="I4383" s="2" t="s">
        <v>23</v>
      </c>
      <c r="J4383" s="2">
        <v>1</v>
      </c>
      <c r="K4383" s="2" t="s">
        <v>24</v>
      </c>
      <c r="L4383" s="2">
        <v>25092</v>
      </c>
      <c r="M4383" s="2" t="s">
        <v>96</v>
      </c>
      <c r="N4383" s="2">
        <v>1</v>
      </c>
      <c r="O4383" s="2">
        <v>9032.39</v>
      </c>
      <c r="P4383" s="2">
        <v>9032.39</v>
      </c>
    </row>
    <row r="4384" spans="1:16" outlineLevel="1" x14ac:dyDescent="0.2">
      <c r="A4384" s="5"/>
      <c r="D4384" s="3" t="s">
        <v>716</v>
      </c>
      <c r="N4384" s="2">
        <f>SUBTOTAL(9,N4383:N4383)</f>
        <v>1</v>
      </c>
      <c r="O4384" s="2">
        <f>SUBTOTAL(9,O4383:O4383)</f>
        <v>9032.39</v>
      </c>
      <c r="P4384" s="2">
        <f>+O4384/N4384</f>
        <v>9032.39</v>
      </c>
    </row>
    <row r="4385" spans="1:16" outlineLevel="2" x14ac:dyDescent="0.2">
      <c r="A4385" s="5">
        <v>46210</v>
      </c>
      <c r="B4385" s="2">
        <v>160596</v>
      </c>
      <c r="C4385" s="2">
        <v>1</v>
      </c>
      <c r="D4385" s="2" t="s">
        <v>338</v>
      </c>
      <c r="E4385" s="2" t="s">
        <v>23</v>
      </c>
      <c r="F4385" s="2" t="s">
        <v>47</v>
      </c>
      <c r="G4385" s="2" t="s">
        <v>22</v>
      </c>
      <c r="H4385" s="2" t="s">
        <v>23</v>
      </c>
      <c r="I4385" s="2" t="s">
        <v>23</v>
      </c>
      <c r="J4385" s="2">
        <v>2</v>
      </c>
      <c r="K4385" s="2" t="s">
        <v>48</v>
      </c>
      <c r="L4385" s="2">
        <v>600</v>
      </c>
      <c r="M4385" s="2" t="s">
        <v>112</v>
      </c>
      <c r="N4385" s="2">
        <v>4</v>
      </c>
      <c r="O4385" s="2">
        <v>30528.92</v>
      </c>
      <c r="P4385" s="2">
        <v>7632.23</v>
      </c>
    </row>
    <row r="4386" spans="1:16" outlineLevel="1" x14ac:dyDescent="0.2">
      <c r="A4386" s="5"/>
      <c r="D4386" s="3" t="s">
        <v>754</v>
      </c>
      <c r="N4386" s="2">
        <f>SUBTOTAL(9,N4385:N4385)</f>
        <v>4</v>
      </c>
      <c r="O4386" s="2">
        <f>SUBTOTAL(9,O4385:O4385)</f>
        <v>30528.92</v>
      </c>
      <c r="P4386" s="2">
        <f>+O4386/N4386</f>
        <v>7632.23</v>
      </c>
    </row>
    <row r="4387" spans="1:16" outlineLevel="2" x14ac:dyDescent="0.2">
      <c r="A4387" s="5">
        <v>46211</v>
      </c>
      <c r="B4387" s="2">
        <v>160597</v>
      </c>
      <c r="C4387" s="2">
        <v>1</v>
      </c>
      <c r="D4387" s="2" t="s">
        <v>140</v>
      </c>
      <c r="E4387" s="2" t="s">
        <v>55</v>
      </c>
      <c r="F4387" s="2" t="s">
        <v>23</v>
      </c>
      <c r="G4387" s="2" t="s">
        <v>22</v>
      </c>
      <c r="H4387" s="2" t="s">
        <v>23</v>
      </c>
      <c r="I4387" s="2" t="s">
        <v>23</v>
      </c>
      <c r="J4387" s="2">
        <v>1</v>
      </c>
      <c r="K4387" s="2" t="s">
        <v>24</v>
      </c>
      <c r="L4387" s="2">
        <v>1833</v>
      </c>
      <c r="M4387" s="2" t="s">
        <v>142</v>
      </c>
      <c r="N4387" s="2">
        <v>2</v>
      </c>
      <c r="O4387" s="2">
        <v>18064.78</v>
      </c>
      <c r="P4387" s="2">
        <v>9032.39</v>
      </c>
    </row>
    <row r="4388" spans="1:16" outlineLevel="1" x14ac:dyDescent="0.2">
      <c r="A4388" s="5"/>
      <c r="D4388" s="3" t="s">
        <v>696</v>
      </c>
      <c r="N4388" s="2">
        <f>SUBTOTAL(9,N4387:N4387)</f>
        <v>2</v>
      </c>
      <c r="O4388" s="2">
        <f>SUBTOTAL(9,O4387:O4387)</f>
        <v>18064.78</v>
      </c>
      <c r="P4388" s="2">
        <f>+O4388/N4388</f>
        <v>9032.39</v>
      </c>
    </row>
    <row r="4389" spans="1:16" outlineLevel="2" x14ac:dyDescent="0.2">
      <c r="A4389" s="5">
        <v>46213</v>
      </c>
      <c r="B4389" s="2">
        <v>160599</v>
      </c>
      <c r="C4389" s="2">
        <v>305</v>
      </c>
      <c r="D4389" s="2" t="s">
        <v>203</v>
      </c>
      <c r="E4389" s="2" t="s">
        <v>238</v>
      </c>
      <c r="F4389" s="2" t="s">
        <v>23</v>
      </c>
      <c r="G4389" s="2" t="s">
        <v>22</v>
      </c>
      <c r="H4389" s="2" t="s">
        <v>23</v>
      </c>
      <c r="I4389" s="2" t="s">
        <v>23</v>
      </c>
      <c r="J4389" s="2">
        <v>2</v>
      </c>
      <c r="K4389" s="2" t="s">
        <v>48</v>
      </c>
      <c r="L4389" s="2">
        <v>1974</v>
      </c>
      <c r="M4389" s="2" t="s">
        <v>95</v>
      </c>
      <c r="N4389" s="2">
        <v>4</v>
      </c>
      <c r="O4389" s="2">
        <v>20261.080000000002</v>
      </c>
      <c r="P4389" s="2">
        <v>5065.2700000000004</v>
      </c>
    </row>
    <row r="4390" spans="1:16" outlineLevel="2" x14ac:dyDescent="0.2">
      <c r="A4390" s="5">
        <v>46213</v>
      </c>
      <c r="B4390" s="2">
        <v>160599</v>
      </c>
      <c r="C4390" s="2">
        <v>315</v>
      </c>
      <c r="D4390" s="2" t="s">
        <v>203</v>
      </c>
      <c r="E4390" s="2" t="s">
        <v>125</v>
      </c>
      <c r="F4390" s="2" t="s">
        <v>23</v>
      </c>
      <c r="G4390" s="2" t="s">
        <v>22</v>
      </c>
      <c r="H4390" s="2" t="s">
        <v>23</v>
      </c>
      <c r="I4390" s="2" t="s">
        <v>23</v>
      </c>
      <c r="J4390" s="2">
        <v>2</v>
      </c>
      <c r="K4390" s="2" t="s">
        <v>48</v>
      </c>
      <c r="L4390" s="2">
        <v>1974</v>
      </c>
      <c r="M4390" s="2" t="s">
        <v>95</v>
      </c>
      <c r="N4390" s="2">
        <v>3</v>
      </c>
      <c r="O4390" s="2">
        <v>21496.53</v>
      </c>
      <c r="P4390" s="2">
        <v>7165.51</v>
      </c>
    </row>
    <row r="4391" spans="1:16" outlineLevel="2" x14ac:dyDescent="0.2">
      <c r="A4391" s="5">
        <v>46213</v>
      </c>
      <c r="B4391" s="2">
        <v>160600</v>
      </c>
      <c r="C4391" s="2">
        <v>500</v>
      </c>
      <c r="D4391" s="2" t="s">
        <v>203</v>
      </c>
      <c r="E4391" s="2" t="s">
        <v>125</v>
      </c>
      <c r="F4391" s="2" t="s">
        <v>23</v>
      </c>
      <c r="G4391" s="2" t="s">
        <v>22</v>
      </c>
      <c r="H4391" s="2" t="s">
        <v>23</v>
      </c>
      <c r="I4391" s="2" t="s">
        <v>23</v>
      </c>
      <c r="J4391" s="2">
        <v>2</v>
      </c>
      <c r="K4391" s="2" t="s">
        <v>48</v>
      </c>
      <c r="L4391" s="2">
        <v>626</v>
      </c>
      <c r="M4391" s="2" t="s">
        <v>49</v>
      </c>
      <c r="N4391" s="2">
        <v>19</v>
      </c>
      <c r="O4391" s="2">
        <v>87907.81</v>
      </c>
      <c r="P4391" s="2">
        <v>4626.7299999999996</v>
      </c>
    </row>
    <row r="4392" spans="1:16" outlineLevel="2" x14ac:dyDescent="0.2">
      <c r="A4392" s="5">
        <v>46216</v>
      </c>
      <c r="B4392" s="2">
        <v>160605</v>
      </c>
      <c r="C4392" s="2">
        <v>302</v>
      </c>
      <c r="D4392" s="2" t="s">
        <v>203</v>
      </c>
      <c r="E4392" s="2" t="s">
        <v>125</v>
      </c>
      <c r="F4392" s="2" t="s">
        <v>55</v>
      </c>
      <c r="G4392" s="2" t="s">
        <v>23</v>
      </c>
      <c r="H4392" s="2" t="s">
        <v>23</v>
      </c>
      <c r="I4392" s="2" t="s">
        <v>23</v>
      </c>
      <c r="J4392" s="2">
        <v>2</v>
      </c>
      <c r="K4392" s="2" t="s">
        <v>48</v>
      </c>
      <c r="L4392" s="2">
        <v>600</v>
      </c>
      <c r="M4392" s="2" t="s">
        <v>112</v>
      </c>
      <c r="N4392" s="2">
        <v>9</v>
      </c>
      <c r="O4392" s="2">
        <v>17817.650000000001</v>
      </c>
      <c r="P4392" s="2">
        <v>1979.74</v>
      </c>
    </row>
    <row r="4393" spans="1:16" outlineLevel="1" x14ac:dyDescent="0.2">
      <c r="A4393" s="5"/>
      <c r="D4393" s="3" t="s">
        <v>735</v>
      </c>
      <c r="N4393" s="2">
        <f>SUBTOTAL(9,N4389:N4392)</f>
        <v>35</v>
      </c>
      <c r="O4393" s="2">
        <f>SUBTOTAL(9,O4389:O4392)</f>
        <v>147483.07</v>
      </c>
      <c r="P4393" s="2">
        <f>+O4393/N4393</f>
        <v>4213.8020000000006</v>
      </c>
    </row>
    <row r="4394" spans="1:16" outlineLevel="2" x14ac:dyDescent="0.2">
      <c r="A4394" s="5">
        <v>46206</v>
      </c>
      <c r="B4394" s="2">
        <v>160606</v>
      </c>
      <c r="C4394" s="2">
        <v>1</v>
      </c>
      <c r="D4394" s="2" t="s">
        <v>579</v>
      </c>
      <c r="E4394" s="2" t="s">
        <v>23</v>
      </c>
      <c r="F4394" s="2" t="s">
        <v>23</v>
      </c>
      <c r="G4394" s="2" t="s">
        <v>22</v>
      </c>
      <c r="H4394" s="2" t="s">
        <v>23</v>
      </c>
      <c r="I4394" s="2" t="s">
        <v>23</v>
      </c>
      <c r="J4394" s="2">
        <v>41</v>
      </c>
      <c r="K4394" s="2" t="s">
        <v>129</v>
      </c>
      <c r="L4394" s="2">
        <v>2338</v>
      </c>
      <c r="M4394" s="2" t="s">
        <v>417</v>
      </c>
      <c r="N4394" s="2">
        <v>448</v>
      </c>
      <c r="O4394" s="2">
        <v>394272.87</v>
      </c>
      <c r="P4394" s="2">
        <v>880.07</v>
      </c>
    </row>
    <row r="4395" spans="1:16" outlineLevel="1" x14ac:dyDescent="0.2">
      <c r="A4395" s="5"/>
      <c r="D4395" s="3" t="s">
        <v>800</v>
      </c>
      <c r="N4395" s="2">
        <f>SUBTOTAL(9,N4394:N4394)</f>
        <v>448</v>
      </c>
      <c r="O4395" s="2">
        <f>SUBTOTAL(9,O4394:O4394)</f>
        <v>394272.87</v>
      </c>
      <c r="P4395" s="2">
        <f>+O4395/N4395</f>
        <v>880.07337053571428</v>
      </c>
    </row>
    <row r="4396" spans="1:16" outlineLevel="2" x14ac:dyDescent="0.2">
      <c r="A4396" s="5">
        <v>46206</v>
      </c>
      <c r="B4396" s="2">
        <v>160607</v>
      </c>
      <c r="C4396" s="2">
        <v>1</v>
      </c>
      <c r="D4396" s="2" t="s">
        <v>207</v>
      </c>
      <c r="E4396" s="2" t="s">
        <v>23</v>
      </c>
      <c r="F4396" s="2" t="s">
        <v>23</v>
      </c>
      <c r="G4396" s="2" t="s">
        <v>22</v>
      </c>
      <c r="H4396" s="2" t="s">
        <v>208</v>
      </c>
      <c r="I4396" s="2" t="s">
        <v>23</v>
      </c>
      <c r="J4396" s="2">
        <v>41</v>
      </c>
      <c r="K4396" s="2" t="s">
        <v>129</v>
      </c>
      <c r="L4396" s="2">
        <v>25213</v>
      </c>
      <c r="M4396" s="2" t="s">
        <v>130</v>
      </c>
      <c r="N4396" s="2">
        <v>75</v>
      </c>
      <c r="O4396" s="2">
        <v>257381.25</v>
      </c>
      <c r="P4396" s="2">
        <v>3431.75</v>
      </c>
    </row>
    <row r="4397" spans="1:16" outlineLevel="2" x14ac:dyDescent="0.2">
      <c r="A4397" s="5">
        <v>46206</v>
      </c>
      <c r="B4397" s="2">
        <v>160607</v>
      </c>
      <c r="C4397" s="2">
        <v>2</v>
      </c>
      <c r="D4397" s="2" t="s">
        <v>207</v>
      </c>
      <c r="E4397" s="2" t="s">
        <v>23</v>
      </c>
      <c r="F4397" s="2" t="s">
        <v>23</v>
      </c>
      <c r="G4397" s="2" t="s">
        <v>22</v>
      </c>
      <c r="H4397" s="2" t="s">
        <v>209</v>
      </c>
      <c r="I4397" s="2" t="s">
        <v>23</v>
      </c>
      <c r="J4397" s="2">
        <v>41</v>
      </c>
      <c r="K4397" s="2" t="s">
        <v>129</v>
      </c>
      <c r="L4397" s="2">
        <v>25213</v>
      </c>
      <c r="M4397" s="2" t="s">
        <v>130</v>
      </c>
      <c r="N4397" s="2">
        <v>25</v>
      </c>
      <c r="O4397" s="2">
        <v>50790</v>
      </c>
      <c r="P4397" s="2">
        <v>2031.6</v>
      </c>
    </row>
    <row r="4398" spans="1:16" outlineLevel="1" x14ac:dyDescent="0.2">
      <c r="A4398" s="5"/>
      <c r="D4398" s="3" t="s">
        <v>699</v>
      </c>
      <c r="N4398" s="2">
        <f>SUBTOTAL(9,N4396:N4397)</f>
        <v>100</v>
      </c>
      <c r="O4398" s="2">
        <f>SUBTOTAL(9,O4396:O4397)</f>
        <v>308171.25</v>
      </c>
      <c r="P4398" s="2">
        <f>+O4398/N4398</f>
        <v>3081.7125000000001</v>
      </c>
    </row>
    <row r="4399" spans="1:16" outlineLevel="2" x14ac:dyDescent="0.2">
      <c r="A4399" s="5">
        <v>46206</v>
      </c>
      <c r="B4399" s="2">
        <v>160607</v>
      </c>
      <c r="C4399" s="2">
        <v>3</v>
      </c>
      <c r="D4399" s="2" t="s">
        <v>128</v>
      </c>
      <c r="E4399" s="2" t="s">
        <v>23</v>
      </c>
      <c r="F4399" s="2" t="s">
        <v>23</v>
      </c>
      <c r="G4399" s="2" t="s">
        <v>22</v>
      </c>
      <c r="H4399" s="2" t="s">
        <v>23</v>
      </c>
      <c r="I4399" s="2" t="s">
        <v>23</v>
      </c>
      <c r="J4399" s="2">
        <v>41</v>
      </c>
      <c r="K4399" s="2" t="s">
        <v>129</v>
      </c>
      <c r="L4399" s="2">
        <v>25213</v>
      </c>
      <c r="M4399" s="2" t="s">
        <v>130</v>
      </c>
      <c r="N4399" s="2">
        <v>75</v>
      </c>
      <c r="O4399" s="2">
        <v>280437.7</v>
      </c>
      <c r="P4399" s="2">
        <v>3739.17</v>
      </c>
    </row>
    <row r="4400" spans="1:16" outlineLevel="1" x14ac:dyDescent="0.2">
      <c r="A4400" s="5"/>
      <c r="D4400" s="3" t="s">
        <v>732</v>
      </c>
      <c r="N4400" s="2">
        <f>SUBTOTAL(9,N4399:N4399)</f>
        <v>75</v>
      </c>
      <c r="O4400" s="2">
        <f>SUBTOTAL(9,O4399:O4399)</f>
        <v>280437.7</v>
      </c>
      <c r="P4400" s="2">
        <f>+O4400/N4400</f>
        <v>3739.1693333333333</v>
      </c>
    </row>
    <row r="4401" spans="1:16" outlineLevel="2" x14ac:dyDescent="0.2">
      <c r="A4401" s="5">
        <v>46206</v>
      </c>
      <c r="B4401" s="2">
        <v>160607</v>
      </c>
      <c r="C4401" s="2">
        <v>4</v>
      </c>
      <c r="D4401" s="2" t="s">
        <v>207</v>
      </c>
      <c r="E4401" s="2" t="s">
        <v>23</v>
      </c>
      <c r="F4401" s="2" t="s">
        <v>23</v>
      </c>
      <c r="G4401" s="2" t="s">
        <v>22</v>
      </c>
      <c r="H4401" s="2" t="s">
        <v>23</v>
      </c>
      <c r="I4401" s="2" t="s">
        <v>23</v>
      </c>
      <c r="J4401" s="2">
        <v>1</v>
      </c>
      <c r="K4401" s="2" t="s">
        <v>24</v>
      </c>
      <c r="L4401" s="2">
        <v>25213</v>
      </c>
      <c r="M4401" s="2" t="s">
        <v>130</v>
      </c>
      <c r="N4401" s="2">
        <v>5</v>
      </c>
      <c r="O4401" s="2">
        <v>414803.74</v>
      </c>
      <c r="P4401" s="2">
        <v>82960.75</v>
      </c>
    </row>
    <row r="4402" spans="1:16" outlineLevel="2" x14ac:dyDescent="0.2">
      <c r="A4402" s="5">
        <v>46206</v>
      </c>
      <c r="B4402" s="2">
        <v>160607</v>
      </c>
      <c r="C4402" s="2">
        <v>5</v>
      </c>
      <c r="D4402" s="2" t="s">
        <v>207</v>
      </c>
      <c r="E4402" s="2" t="s">
        <v>527</v>
      </c>
      <c r="F4402" s="2" t="s">
        <v>23</v>
      </c>
      <c r="G4402" s="2" t="s">
        <v>527</v>
      </c>
      <c r="H4402" s="2" t="s">
        <v>23</v>
      </c>
      <c r="I4402" s="2" t="s">
        <v>23</v>
      </c>
      <c r="J4402" s="2">
        <v>1</v>
      </c>
      <c r="K4402" s="2" t="s">
        <v>24</v>
      </c>
      <c r="L4402" s="2">
        <v>25213</v>
      </c>
      <c r="M4402" s="2" t="s">
        <v>130</v>
      </c>
      <c r="N4402" s="2">
        <v>3</v>
      </c>
      <c r="O4402" s="2">
        <v>208788.34</v>
      </c>
      <c r="P4402" s="2">
        <v>69596.11</v>
      </c>
    </row>
    <row r="4403" spans="1:16" outlineLevel="1" x14ac:dyDescent="0.2">
      <c r="A4403" s="5"/>
      <c r="D4403" s="3" t="s">
        <v>699</v>
      </c>
      <c r="N4403" s="2">
        <f>SUBTOTAL(9,N4401:N4402)</f>
        <v>8</v>
      </c>
      <c r="O4403" s="2">
        <f>SUBTOTAL(9,O4401:O4402)</f>
        <v>623592.07999999996</v>
      </c>
      <c r="P4403" s="2">
        <f>+O4403/N4403</f>
        <v>77949.009999999995</v>
      </c>
    </row>
    <row r="4404" spans="1:16" outlineLevel="2" x14ac:dyDescent="0.2">
      <c r="A4404" s="5">
        <v>46206</v>
      </c>
      <c r="B4404" s="2">
        <v>160607</v>
      </c>
      <c r="C4404" s="2">
        <v>6</v>
      </c>
      <c r="D4404" s="2" t="s">
        <v>128</v>
      </c>
      <c r="E4404" s="2" t="s">
        <v>23</v>
      </c>
      <c r="F4404" s="2" t="s">
        <v>23</v>
      </c>
      <c r="G4404" s="2" t="s">
        <v>22</v>
      </c>
      <c r="H4404" s="2" t="s">
        <v>23</v>
      </c>
      <c r="I4404" s="2" t="s">
        <v>23</v>
      </c>
      <c r="J4404" s="2">
        <v>1</v>
      </c>
      <c r="K4404" s="2" t="s">
        <v>24</v>
      </c>
      <c r="L4404" s="2">
        <v>25213</v>
      </c>
      <c r="M4404" s="2" t="s">
        <v>130</v>
      </c>
      <c r="N4404" s="2">
        <v>6</v>
      </c>
      <c r="O4404" s="2">
        <v>524647.53</v>
      </c>
      <c r="P4404" s="2">
        <v>87441.26</v>
      </c>
    </row>
    <row r="4405" spans="1:16" outlineLevel="1" x14ac:dyDescent="0.2">
      <c r="A4405" s="5"/>
      <c r="D4405" s="3" t="s">
        <v>732</v>
      </c>
      <c r="N4405" s="2">
        <f>SUBTOTAL(9,N4404:N4404)</f>
        <v>6</v>
      </c>
      <c r="O4405" s="2">
        <f>SUBTOTAL(9,O4404:O4404)</f>
        <v>524647.53</v>
      </c>
      <c r="P4405" s="2">
        <f>+O4405/N4405</f>
        <v>87441.255000000005</v>
      </c>
    </row>
    <row r="4406" spans="1:16" outlineLevel="2" x14ac:dyDescent="0.2">
      <c r="A4406" s="5">
        <v>46206</v>
      </c>
      <c r="B4406" s="2">
        <v>160608</v>
      </c>
      <c r="C4406" s="2">
        <v>1</v>
      </c>
      <c r="D4406" s="2" t="s">
        <v>38</v>
      </c>
      <c r="E4406" s="2" t="s">
        <v>39</v>
      </c>
      <c r="F4406" s="2" t="s">
        <v>144</v>
      </c>
      <c r="G4406" s="2" t="s">
        <v>22</v>
      </c>
      <c r="H4406" s="2" t="s">
        <v>23</v>
      </c>
      <c r="I4406" s="2" t="s">
        <v>23</v>
      </c>
      <c r="J4406" s="2">
        <v>1</v>
      </c>
      <c r="K4406" s="2" t="s">
        <v>24</v>
      </c>
      <c r="L4406" s="2">
        <v>25101</v>
      </c>
      <c r="M4406" s="2" t="s">
        <v>473</v>
      </c>
      <c r="N4406" s="2">
        <v>160</v>
      </c>
      <c r="O4406" s="2">
        <v>4177577.54</v>
      </c>
      <c r="P4406" s="2">
        <v>26109.86</v>
      </c>
    </row>
    <row r="4407" spans="1:16" outlineLevel="1" x14ac:dyDescent="0.2">
      <c r="A4407" s="5"/>
      <c r="D4407" s="3" t="s">
        <v>721</v>
      </c>
      <c r="N4407" s="2">
        <f>SUBTOTAL(9,N4406:N4406)</f>
        <v>160</v>
      </c>
      <c r="O4407" s="2">
        <f>SUBTOTAL(9,O4406:O4406)</f>
        <v>4177577.54</v>
      </c>
      <c r="P4407" s="2">
        <f>+O4407/N4407</f>
        <v>26109.859625000001</v>
      </c>
    </row>
    <row r="4408" spans="1:16" outlineLevel="2" x14ac:dyDescent="0.2">
      <c r="A4408" s="5">
        <v>46206</v>
      </c>
      <c r="B4408" s="2">
        <v>160609</v>
      </c>
      <c r="C4408" s="2">
        <v>1</v>
      </c>
      <c r="D4408" s="2" t="s">
        <v>19</v>
      </c>
      <c r="E4408" s="2" t="s">
        <v>611</v>
      </c>
      <c r="F4408" s="2" t="s">
        <v>23</v>
      </c>
      <c r="G4408" s="2" t="s">
        <v>22</v>
      </c>
      <c r="H4408" s="2" t="s">
        <v>23</v>
      </c>
      <c r="I4408" s="2" t="s">
        <v>23</v>
      </c>
      <c r="J4408" s="2">
        <v>39</v>
      </c>
      <c r="K4408" s="2" t="s">
        <v>172</v>
      </c>
      <c r="L4408" s="2">
        <v>8</v>
      </c>
      <c r="M4408" s="2" t="s">
        <v>626</v>
      </c>
      <c r="N4408" s="2">
        <v>99</v>
      </c>
      <c r="O4408" s="2">
        <v>546171.02</v>
      </c>
      <c r="P4408" s="2">
        <v>5516.88</v>
      </c>
    </row>
    <row r="4409" spans="1:16" outlineLevel="1" x14ac:dyDescent="0.2">
      <c r="A4409" s="5"/>
      <c r="D4409" s="3" t="s">
        <v>704</v>
      </c>
      <c r="N4409" s="2">
        <f>SUBTOTAL(9,N4408:N4408)</f>
        <v>99</v>
      </c>
      <c r="O4409" s="2">
        <f>SUBTOTAL(9,O4408:O4408)</f>
        <v>546171.02</v>
      </c>
      <c r="P4409" s="2">
        <f>+O4409/N4409</f>
        <v>5516.8789898989899</v>
      </c>
    </row>
    <row r="4410" spans="1:16" outlineLevel="2" x14ac:dyDescent="0.2">
      <c r="A4410" s="5">
        <v>46220</v>
      </c>
      <c r="B4410" s="2">
        <v>160616</v>
      </c>
      <c r="C4410" s="2">
        <v>1</v>
      </c>
      <c r="D4410" s="2" t="s">
        <v>45</v>
      </c>
      <c r="E4410" s="2" t="s">
        <v>125</v>
      </c>
      <c r="F4410" s="2" t="s">
        <v>55</v>
      </c>
      <c r="G4410" s="2" t="s">
        <v>210</v>
      </c>
      <c r="H4410" s="2" t="s">
        <v>23</v>
      </c>
      <c r="I4410" s="2" t="s">
        <v>23</v>
      </c>
      <c r="J4410" s="2">
        <v>2</v>
      </c>
      <c r="K4410" s="2" t="s">
        <v>48</v>
      </c>
      <c r="L4410" s="2">
        <v>492</v>
      </c>
      <c r="M4410" s="2" t="s">
        <v>269</v>
      </c>
      <c r="N4410" s="2">
        <v>20</v>
      </c>
      <c r="O4410" s="2">
        <v>139576.44</v>
      </c>
      <c r="P4410" s="2">
        <v>6978.82</v>
      </c>
    </row>
    <row r="4411" spans="1:16" outlineLevel="1" x14ac:dyDescent="0.2">
      <c r="A4411" s="5"/>
      <c r="D4411" s="3" t="s">
        <v>733</v>
      </c>
      <c r="N4411" s="2">
        <f>SUBTOTAL(9,N4410:N4410)</f>
        <v>20</v>
      </c>
      <c r="O4411" s="2">
        <f>SUBTOTAL(9,O4410:O4410)</f>
        <v>139576.44</v>
      </c>
      <c r="P4411" s="2">
        <f>+O4411/N4411</f>
        <v>6978.8220000000001</v>
      </c>
    </row>
    <row r="4412" spans="1:16" outlineLevel="2" x14ac:dyDescent="0.2">
      <c r="A4412" s="5">
        <v>46209</v>
      </c>
      <c r="B4412" s="2">
        <v>160625</v>
      </c>
      <c r="C4412" s="2">
        <v>1</v>
      </c>
      <c r="D4412" s="2" t="s">
        <v>579</v>
      </c>
      <c r="E4412" s="2" t="s">
        <v>23</v>
      </c>
      <c r="F4412" s="2" t="s">
        <v>23</v>
      </c>
      <c r="G4412" s="2" t="s">
        <v>22</v>
      </c>
      <c r="H4412" s="2" t="s">
        <v>23</v>
      </c>
      <c r="I4412" s="2" t="s">
        <v>23</v>
      </c>
      <c r="J4412" s="2">
        <v>41</v>
      </c>
      <c r="K4412" s="2" t="s">
        <v>129</v>
      </c>
      <c r="L4412" s="2">
        <v>2338</v>
      </c>
      <c r="M4412" s="2" t="s">
        <v>417</v>
      </c>
      <c r="N4412" s="2">
        <v>544</v>
      </c>
      <c r="O4412" s="2">
        <v>497838.14</v>
      </c>
      <c r="P4412" s="2">
        <v>915.14</v>
      </c>
    </row>
    <row r="4413" spans="1:16" outlineLevel="1" x14ac:dyDescent="0.2">
      <c r="A4413" s="5"/>
      <c r="D4413" s="3" t="s">
        <v>800</v>
      </c>
      <c r="N4413" s="2">
        <f>SUBTOTAL(9,N4412:N4412)</f>
        <v>544</v>
      </c>
      <c r="O4413" s="2">
        <f>SUBTOTAL(9,O4412:O4412)</f>
        <v>497838.14</v>
      </c>
      <c r="P4413" s="2">
        <f>+O4413/N4413</f>
        <v>915.14363970588238</v>
      </c>
    </row>
    <row r="4414" spans="1:16" outlineLevel="2" x14ac:dyDescent="0.2">
      <c r="A4414" s="5">
        <v>46204</v>
      </c>
      <c r="B4414" s="2">
        <v>160626</v>
      </c>
      <c r="C4414" s="2">
        <v>1</v>
      </c>
      <c r="D4414" s="2" t="s">
        <v>119</v>
      </c>
      <c r="E4414" s="2" t="s">
        <v>151</v>
      </c>
      <c r="F4414" s="2" t="s">
        <v>627</v>
      </c>
      <c r="G4414" s="2" t="s">
        <v>22</v>
      </c>
      <c r="H4414" s="2" t="s">
        <v>23</v>
      </c>
      <c r="I4414" s="2" t="s">
        <v>113</v>
      </c>
      <c r="J4414" s="2">
        <v>1</v>
      </c>
      <c r="K4414" s="2" t="s">
        <v>24</v>
      </c>
      <c r="L4414" s="2">
        <v>2535</v>
      </c>
      <c r="M4414" s="2" t="s">
        <v>628</v>
      </c>
      <c r="N4414" s="2">
        <v>370</v>
      </c>
      <c r="O4414" s="2">
        <v>17788899.190000001</v>
      </c>
      <c r="P4414" s="2">
        <v>48078.11</v>
      </c>
    </row>
    <row r="4415" spans="1:16" outlineLevel="2" x14ac:dyDescent="0.2">
      <c r="A4415" s="5">
        <v>46208</v>
      </c>
      <c r="B4415" s="2">
        <v>160626</v>
      </c>
      <c r="C4415" s="2">
        <v>2</v>
      </c>
      <c r="D4415" s="2" t="s">
        <v>119</v>
      </c>
      <c r="E4415" s="2" t="s">
        <v>151</v>
      </c>
      <c r="F4415" s="2" t="s">
        <v>627</v>
      </c>
      <c r="G4415" s="2" t="s">
        <v>22</v>
      </c>
      <c r="H4415" s="2" t="s">
        <v>23</v>
      </c>
      <c r="I4415" s="2" t="s">
        <v>122</v>
      </c>
      <c r="J4415" s="2">
        <v>1</v>
      </c>
      <c r="K4415" s="2" t="s">
        <v>24</v>
      </c>
      <c r="L4415" s="2">
        <v>2535</v>
      </c>
      <c r="M4415" s="2" t="s">
        <v>628</v>
      </c>
      <c r="N4415" s="2">
        <v>370</v>
      </c>
      <c r="O4415" s="2">
        <v>17139635.02</v>
      </c>
      <c r="P4415" s="2">
        <v>46323.34</v>
      </c>
    </row>
    <row r="4416" spans="1:16" outlineLevel="2" x14ac:dyDescent="0.2">
      <c r="A4416" s="5">
        <v>46227</v>
      </c>
      <c r="B4416" s="2">
        <v>160626</v>
      </c>
      <c r="C4416" s="2">
        <v>3</v>
      </c>
      <c r="D4416" s="2" t="s">
        <v>119</v>
      </c>
      <c r="E4416" s="2" t="s">
        <v>151</v>
      </c>
      <c r="F4416" s="2" t="s">
        <v>627</v>
      </c>
      <c r="G4416" s="2" t="s">
        <v>22</v>
      </c>
      <c r="H4416" s="2" t="s">
        <v>23</v>
      </c>
      <c r="I4416" s="2" t="s">
        <v>124</v>
      </c>
      <c r="J4416" s="2">
        <v>1</v>
      </c>
      <c r="K4416" s="2" t="s">
        <v>24</v>
      </c>
      <c r="L4416" s="2">
        <v>2535</v>
      </c>
      <c r="M4416" s="2" t="s">
        <v>628</v>
      </c>
      <c r="N4416" s="2">
        <v>264</v>
      </c>
      <c r="O4416" s="2">
        <v>12189455.33</v>
      </c>
      <c r="P4416" s="2">
        <v>46172.18</v>
      </c>
    </row>
    <row r="4417" spans="1:16" outlineLevel="2" x14ac:dyDescent="0.2">
      <c r="A4417" s="5">
        <v>46234</v>
      </c>
      <c r="B4417" s="2">
        <v>160626</v>
      </c>
      <c r="C4417" s="2">
        <v>4</v>
      </c>
      <c r="D4417" s="2" t="s">
        <v>119</v>
      </c>
      <c r="E4417" s="2" t="s">
        <v>370</v>
      </c>
      <c r="F4417" s="2" t="s">
        <v>627</v>
      </c>
      <c r="G4417" s="2" t="s">
        <v>22</v>
      </c>
      <c r="H4417" s="2" t="s">
        <v>23</v>
      </c>
      <c r="I4417" s="2" t="s">
        <v>333</v>
      </c>
      <c r="J4417" s="2">
        <v>1</v>
      </c>
      <c r="K4417" s="2" t="s">
        <v>24</v>
      </c>
      <c r="L4417" s="2">
        <v>2535</v>
      </c>
      <c r="M4417" s="2" t="s">
        <v>628</v>
      </c>
      <c r="N4417" s="2">
        <v>184</v>
      </c>
      <c r="O4417" s="2">
        <v>8355307.4699999997</v>
      </c>
      <c r="P4417" s="2">
        <v>45409.279999999999</v>
      </c>
    </row>
    <row r="4418" spans="1:16" outlineLevel="1" x14ac:dyDescent="0.2">
      <c r="A4418" s="5"/>
      <c r="D4418" s="3" t="s">
        <v>708</v>
      </c>
      <c r="N4418" s="2">
        <f>SUBTOTAL(9,N4414:N4417)</f>
        <v>1188</v>
      </c>
      <c r="O4418" s="2">
        <f>SUBTOTAL(9,O4414:O4417)</f>
        <v>55473297.009999998</v>
      </c>
      <c r="P4418" s="2">
        <f>+O4418/N4418</f>
        <v>46694.69445286195</v>
      </c>
    </row>
    <row r="4419" spans="1:16" outlineLevel="2" x14ac:dyDescent="0.2">
      <c r="A4419" s="5">
        <v>46204</v>
      </c>
      <c r="B4419" s="2">
        <v>160628</v>
      </c>
      <c r="C4419" s="2">
        <v>7</v>
      </c>
      <c r="D4419" s="2" t="s">
        <v>226</v>
      </c>
      <c r="E4419" s="2" t="s">
        <v>585</v>
      </c>
      <c r="F4419" s="2" t="s">
        <v>289</v>
      </c>
      <c r="G4419" s="2" t="s">
        <v>22</v>
      </c>
      <c r="H4419" s="2" t="s">
        <v>23</v>
      </c>
      <c r="I4419" s="2" t="s">
        <v>23</v>
      </c>
      <c r="J4419" s="2">
        <v>2</v>
      </c>
      <c r="K4419" s="2" t="s">
        <v>48</v>
      </c>
      <c r="L4419" s="2">
        <v>106</v>
      </c>
      <c r="M4419" s="2" t="s">
        <v>486</v>
      </c>
      <c r="N4419" s="2">
        <v>16</v>
      </c>
      <c r="O4419" s="2">
        <v>243435.28</v>
      </c>
      <c r="P4419" s="2">
        <v>15214.71</v>
      </c>
    </row>
    <row r="4420" spans="1:16" outlineLevel="1" x14ac:dyDescent="0.2">
      <c r="A4420" s="5"/>
      <c r="D4420" s="3" t="s">
        <v>736</v>
      </c>
      <c r="N4420" s="2">
        <f>SUBTOTAL(9,N4419:N4419)</f>
        <v>16</v>
      </c>
      <c r="O4420" s="2">
        <f>SUBTOTAL(9,O4419:O4419)</f>
        <v>243435.28</v>
      </c>
      <c r="P4420" s="2">
        <f>+O4420/N4420</f>
        <v>15214.705</v>
      </c>
    </row>
    <row r="4421" spans="1:16" outlineLevel="2" x14ac:dyDescent="0.2">
      <c r="A4421" s="5">
        <v>46204</v>
      </c>
      <c r="B4421" s="2">
        <v>160629</v>
      </c>
      <c r="C4421" s="2">
        <v>315</v>
      </c>
      <c r="D4421" s="2" t="s">
        <v>54</v>
      </c>
      <c r="E4421" s="2" t="s">
        <v>30</v>
      </c>
      <c r="F4421" s="2" t="s">
        <v>23</v>
      </c>
      <c r="G4421" s="2" t="s">
        <v>22</v>
      </c>
      <c r="H4421" s="2" t="s">
        <v>23</v>
      </c>
      <c r="I4421" s="2" t="s">
        <v>23</v>
      </c>
      <c r="J4421" s="2">
        <v>2</v>
      </c>
      <c r="K4421" s="2" t="s">
        <v>48</v>
      </c>
      <c r="L4421" s="2">
        <v>811</v>
      </c>
      <c r="M4421" s="2" t="s">
        <v>575</v>
      </c>
      <c r="N4421" s="2">
        <v>7</v>
      </c>
      <c r="O4421" s="2">
        <v>89362.98</v>
      </c>
      <c r="P4421" s="2">
        <v>12766.14</v>
      </c>
    </row>
    <row r="4422" spans="1:16" outlineLevel="1" x14ac:dyDescent="0.2">
      <c r="A4422" s="5"/>
      <c r="D4422" s="3" t="s">
        <v>719</v>
      </c>
      <c r="N4422" s="2">
        <f>SUBTOTAL(9,N4421:N4421)</f>
        <v>7</v>
      </c>
      <c r="O4422" s="2">
        <f>SUBTOTAL(9,O4421:O4421)</f>
        <v>89362.98</v>
      </c>
      <c r="P4422" s="2">
        <f>+O4422/N4422</f>
        <v>12766.14</v>
      </c>
    </row>
    <row r="4423" spans="1:16" outlineLevel="2" x14ac:dyDescent="0.2">
      <c r="A4423" s="5">
        <v>46209</v>
      </c>
      <c r="B4423" s="2">
        <v>160641</v>
      </c>
      <c r="C4423" s="2">
        <v>1</v>
      </c>
      <c r="D4423" s="2" t="s">
        <v>38</v>
      </c>
      <c r="E4423" s="2" t="s">
        <v>39</v>
      </c>
      <c r="F4423" s="2" t="s">
        <v>40</v>
      </c>
      <c r="G4423" s="2" t="s">
        <v>22</v>
      </c>
      <c r="H4423" s="2" t="s">
        <v>23</v>
      </c>
      <c r="I4423" s="2" t="s">
        <v>184</v>
      </c>
      <c r="J4423" s="2">
        <v>40</v>
      </c>
      <c r="K4423" s="2" t="s">
        <v>43</v>
      </c>
      <c r="L4423" s="2">
        <v>1502</v>
      </c>
      <c r="M4423" s="2" t="s">
        <v>114</v>
      </c>
      <c r="N4423" s="2">
        <v>714</v>
      </c>
      <c r="O4423" s="2">
        <v>21798955.149999999</v>
      </c>
      <c r="P4423" s="2">
        <v>30530.75</v>
      </c>
    </row>
    <row r="4424" spans="1:16" outlineLevel="2" x14ac:dyDescent="0.2">
      <c r="A4424" s="5">
        <v>46209</v>
      </c>
      <c r="B4424" s="2">
        <v>160641</v>
      </c>
      <c r="C4424" s="2">
        <v>2</v>
      </c>
      <c r="D4424" s="2" t="s">
        <v>38</v>
      </c>
      <c r="E4424" s="2" t="s">
        <v>39</v>
      </c>
      <c r="F4424" s="2" t="s">
        <v>40</v>
      </c>
      <c r="G4424" s="2" t="s">
        <v>22</v>
      </c>
      <c r="H4424" s="2" t="s">
        <v>23</v>
      </c>
      <c r="I4424" s="2" t="s">
        <v>614</v>
      </c>
      <c r="J4424" s="2">
        <v>40</v>
      </c>
      <c r="K4424" s="2" t="s">
        <v>43</v>
      </c>
      <c r="L4424" s="2">
        <v>1502</v>
      </c>
      <c r="M4424" s="2" t="s">
        <v>114</v>
      </c>
      <c r="N4424" s="2">
        <v>964</v>
      </c>
      <c r="O4424" s="2">
        <v>30403429.579999998</v>
      </c>
      <c r="P4424" s="2">
        <v>31538.83</v>
      </c>
    </row>
    <row r="4425" spans="1:16" outlineLevel="1" x14ac:dyDescent="0.2">
      <c r="A4425" s="5"/>
      <c r="D4425" s="3" t="s">
        <v>721</v>
      </c>
      <c r="N4425" s="2">
        <f>SUBTOTAL(9,N4423:N4424)</f>
        <v>1678</v>
      </c>
      <c r="O4425" s="2">
        <f>SUBTOTAL(9,O4423:O4424)</f>
        <v>52202384.729999997</v>
      </c>
      <c r="P4425" s="2">
        <f>+O4425/N4425</f>
        <v>31109.883629320619</v>
      </c>
    </row>
    <row r="4426" spans="1:16" outlineLevel="2" x14ac:dyDescent="0.2">
      <c r="A4426" s="5">
        <v>46204</v>
      </c>
      <c r="B4426" s="2">
        <v>160643</v>
      </c>
      <c r="C4426" s="2">
        <v>4</v>
      </c>
      <c r="D4426" s="2" t="s">
        <v>45</v>
      </c>
      <c r="E4426" s="2" t="s">
        <v>598</v>
      </c>
      <c r="F4426" s="2" t="s">
        <v>289</v>
      </c>
      <c r="G4426" s="2" t="s">
        <v>22</v>
      </c>
      <c r="H4426" s="2" t="s">
        <v>23</v>
      </c>
      <c r="I4426" s="2" t="s">
        <v>23</v>
      </c>
      <c r="J4426" s="2">
        <v>2</v>
      </c>
      <c r="K4426" s="2" t="s">
        <v>48</v>
      </c>
      <c r="L4426" s="2">
        <v>801</v>
      </c>
      <c r="M4426" s="2" t="s">
        <v>56</v>
      </c>
      <c r="N4426" s="2">
        <v>18</v>
      </c>
      <c r="O4426" s="2">
        <v>382874.67</v>
      </c>
      <c r="P4426" s="2">
        <v>21270.82</v>
      </c>
    </row>
    <row r="4427" spans="1:16" outlineLevel="2" x14ac:dyDescent="0.2">
      <c r="A4427" s="5">
        <v>46204</v>
      </c>
      <c r="B4427" s="2">
        <v>160643</v>
      </c>
      <c r="C4427" s="2">
        <v>5</v>
      </c>
      <c r="D4427" s="2" t="s">
        <v>45</v>
      </c>
      <c r="E4427" s="2" t="s">
        <v>558</v>
      </c>
      <c r="F4427" s="2" t="s">
        <v>289</v>
      </c>
      <c r="G4427" s="2" t="s">
        <v>22</v>
      </c>
      <c r="H4427" s="2" t="s">
        <v>23</v>
      </c>
      <c r="I4427" s="2" t="s">
        <v>23</v>
      </c>
      <c r="J4427" s="2">
        <v>2</v>
      </c>
      <c r="K4427" s="2" t="s">
        <v>48</v>
      </c>
      <c r="L4427" s="2">
        <v>801</v>
      </c>
      <c r="M4427" s="2" t="s">
        <v>56</v>
      </c>
      <c r="N4427" s="2">
        <v>37</v>
      </c>
      <c r="O4427" s="2">
        <v>911063.64</v>
      </c>
      <c r="P4427" s="2">
        <v>24623.34</v>
      </c>
    </row>
    <row r="4428" spans="1:16" outlineLevel="2" x14ac:dyDescent="0.2">
      <c r="A4428" s="5">
        <v>46204</v>
      </c>
      <c r="B4428" s="2">
        <v>160643</v>
      </c>
      <c r="C4428" s="2">
        <v>8</v>
      </c>
      <c r="D4428" s="2" t="s">
        <v>45</v>
      </c>
      <c r="E4428" s="2" t="s">
        <v>604</v>
      </c>
      <c r="F4428" s="2" t="s">
        <v>289</v>
      </c>
      <c r="G4428" s="2" t="s">
        <v>22</v>
      </c>
      <c r="H4428" s="2" t="s">
        <v>23</v>
      </c>
      <c r="I4428" s="2" t="s">
        <v>23</v>
      </c>
      <c r="J4428" s="2">
        <v>2</v>
      </c>
      <c r="K4428" s="2" t="s">
        <v>48</v>
      </c>
      <c r="L4428" s="2">
        <v>801</v>
      </c>
      <c r="M4428" s="2" t="s">
        <v>56</v>
      </c>
      <c r="N4428" s="2">
        <v>14</v>
      </c>
      <c r="O4428" s="2">
        <v>249969.38</v>
      </c>
      <c r="P4428" s="2">
        <v>17854.96</v>
      </c>
    </row>
    <row r="4429" spans="1:16" outlineLevel="1" x14ac:dyDescent="0.2">
      <c r="A4429" s="5"/>
      <c r="D4429" s="3" t="s">
        <v>733</v>
      </c>
      <c r="N4429" s="2">
        <f>SUBTOTAL(9,N4426:N4428)</f>
        <v>69</v>
      </c>
      <c r="O4429" s="2">
        <f>SUBTOTAL(9,O4426:O4428)</f>
        <v>1543907.69</v>
      </c>
      <c r="P4429" s="2">
        <f>+O4429/N4429</f>
        <v>22375.473768115942</v>
      </c>
    </row>
    <row r="4430" spans="1:16" outlineLevel="2" x14ac:dyDescent="0.2">
      <c r="A4430" s="5">
        <v>46204</v>
      </c>
      <c r="B4430" s="2">
        <v>160643</v>
      </c>
      <c r="C4430" s="2">
        <v>10</v>
      </c>
      <c r="D4430" s="2" t="s">
        <v>226</v>
      </c>
      <c r="E4430" s="2" t="s">
        <v>581</v>
      </c>
      <c r="F4430" s="2" t="s">
        <v>289</v>
      </c>
      <c r="G4430" s="2" t="s">
        <v>22</v>
      </c>
      <c r="H4430" s="2" t="s">
        <v>23</v>
      </c>
      <c r="I4430" s="2" t="s">
        <v>23</v>
      </c>
      <c r="J4430" s="2">
        <v>2</v>
      </c>
      <c r="K4430" s="2" t="s">
        <v>48</v>
      </c>
      <c r="L4430" s="2">
        <v>801</v>
      </c>
      <c r="M4430" s="2" t="s">
        <v>56</v>
      </c>
      <c r="N4430" s="2">
        <v>5</v>
      </c>
      <c r="O4430" s="2">
        <v>122939.39</v>
      </c>
      <c r="P4430" s="2">
        <v>24587.88</v>
      </c>
    </row>
    <row r="4431" spans="1:16" outlineLevel="2" x14ac:dyDescent="0.2">
      <c r="A4431" s="5">
        <v>46204</v>
      </c>
      <c r="B4431" s="2">
        <v>160643</v>
      </c>
      <c r="C4431" s="2">
        <v>12</v>
      </c>
      <c r="D4431" s="2" t="s">
        <v>226</v>
      </c>
      <c r="E4431" s="2" t="s">
        <v>581</v>
      </c>
      <c r="F4431" s="2" t="s">
        <v>289</v>
      </c>
      <c r="G4431" s="2" t="s">
        <v>22</v>
      </c>
      <c r="H4431" s="2" t="s">
        <v>23</v>
      </c>
      <c r="I4431" s="2" t="s">
        <v>23</v>
      </c>
      <c r="J4431" s="2">
        <v>2</v>
      </c>
      <c r="K4431" s="2" t="s">
        <v>48</v>
      </c>
      <c r="L4431" s="2">
        <v>801</v>
      </c>
      <c r="M4431" s="2" t="s">
        <v>56</v>
      </c>
      <c r="N4431" s="2">
        <v>3</v>
      </c>
      <c r="O4431" s="2">
        <v>66301.62</v>
      </c>
      <c r="P4431" s="2">
        <v>22100.54</v>
      </c>
    </row>
    <row r="4432" spans="1:16" outlineLevel="2" x14ac:dyDescent="0.2">
      <c r="A4432" s="5">
        <v>46204</v>
      </c>
      <c r="B4432" s="2">
        <v>160643</v>
      </c>
      <c r="C4432" s="2">
        <v>14</v>
      </c>
      <c r="D4432" s="2" t="s">
        <v>226</v>
      </c>
      <c r="E4432" s="2" t="s">
        <v>581</v>
      </c>
      <c r="F4432" s="2" t="s">
        <v>289</v>
      </c>
      <c r="G4432" s="2" t="s">
        <v>22</v>
      </c>
      <c r="H4432" s="2" t="s">
        <v>23</v>
      </c>
      <c r="I4432" s="2" t="s">
        <v>23</v>
      </c>
      <c r="J4432" s="2">
        <v>2</v>
      </c>
      <c r="K4432" s="2" t="s">
        <v>48</v>
      </c>
      <c r="L4432" s="2">
        <v>801</v>
      </c>
      <c r="M4432" s="2" t="s">
        <v>56</v>
      </c>
      <c r="N4432" s="2">
        <v>16</v>
      </c>
      <c r="O4432" s="2">
        <v>377878.07</v>
      </c>
      <c r="P4432" s="2">
        <v>23617.38</v>
      </c>
    </row>
    <row r="4433" spans="1:16" outlineLevel="2" x14ac:dyDescent="0.2">
      <c r="A4433" s="5">
        <v>46204</v>
      </c>
      <c r="B4433" s="2">
        <v>160643</v>
      </c>
      <c r="C4433" s="2">
        <v>19</v>
      </c>
      <c r="D4433" s="2" t="s">
        <v>226</v>
      </c>
      <c r="E4433" s="2" t="s">
        <v>151</v>
      </c>
      <c r="F4433" s="2" t="s">
        <v>289</v>
      </c>
      <c r="G4433" s="2" t="s">
        <v>22</v>
      </c>
      <c r="H4433" s="2" t="s">
        <v>23</v>
      </c>
      <c r="I4433" s="2" t="s">
        <v>23</v>
      </c>
      <c r="J4433" s="2">
        <v>2</v>
      </c>
      <c r="K4433" s="2" t="s">
        <v>48</v>
      </c>
      <c r="L4433" s="2">
        <v>801</v>
      </c>
      <c r="M4433" s="2" t="s">
        <v>56</v>
      </c>
      <c r="N4433" s="2">
        <v>16</v>
      </c>
      <c r="O4433" s="2">
        <v>291370.2</v>
      </c>
      <c r="P4433" s="2">
        <v>18210.64</v>
      </c>
    </row>
    <row r="4434" spans="1:16" outlineLevel="1" x14ac:dyDescent="0.2">
      <c r="A4434" s="5"/>
      <c r="D4434" s="3" t="s">
        <v>736</v>
      </c>
      <c r="N4434" s="2">
        <f>SUBTOTAL(9,N4430:N4433)</f>
        <v>40</v>
      </c>
      <c r="O4434" s="2">
        <f>SUBTOTAL(9,O4430:O4433)</f>
        <v>858489.28</v>
      </c>
      <c r="P4434" s="2">
        <f>+O4434/N4434</f>
        <v>21462.232</v>
      </c>
    </row>
    <row r="4435" spans="1:16" outlineLevel="2" x14ac:dyDescent="0.2">
      <c r="A4435" s="5">
        <v>46206</v>
      </c>
      <c r="B4435" s="2">
        <v>160650</v>
      </c>
      <c r="C4435" s="2">
        <v>1</v>
      </c>
      <c r="D4435" s="2" t="s">
        <v>19</v>
      </c>
      <c r="E4435" s="2" t="s">
        <v>20</v>
      </c>
      <c r="F4435" s="2" t="s">
        <v>21</v>
      </c>
      <c r="G4435" s="2" t="s">
        <v>22</v>
      </c>
      <c r="H4435" s="2" t="s">
        <v>23</v>
      </c>
      <c r="I4435" s="2" t="s">
        <v>496</v>
      </c>
      <c r="J4435" s="2">
        <v>1</v>
      </c>
      <c r="K4435" s="2" t="s">
        <v>24</v>
      </c>
      <c r="L4435" s="2">
        <v>25205</v>
      </c>
      <c r="M4435" s="2" t="s">
        <v>171</v>
      </c>
      <c r="N4435" s="2">
        <v>158</v>
      </c>
      <c r="O4435" s="2">
        <v>14099208.869999999</v>
      </c>
      <c r="P4435" s="2">
        <v>89235.5</v>
      </c>
    </row>
    <row r="4436" spans="1:16" outlineLevel="2" x14ac:dyDescent="0.2">
      <c r="A4436" s="5">
        <v>46209</v>
      </c>
      <c r="B4436" s="2">
        <v>160650</v>
      </c>
      <c r="C4436" s="2">
        <v>3</v>
      </c>
      <c r="D4436" s="2" t="s">
        <v>19</v>
      </c>
      <c r="E4436" s="2" t="s">
        <v>20</v>
      </c>
      <c r="F4436" s="2" t="s">
        <v>21</v>
      </c>
      <c r="G4436" s="2" t="s">
        <v>22</v>
      </c>
      <c r="H4436" s="2" t="s">
        <v>23</v>
      </c>
      <c r="I4436" s="2" t="s">
        <v>23</v>
      </c>
      <c r="J4436" s="2">
        <v>40</v>
      </c>
      <c r="K4436" s="2" t="s">
        <v>43</v>
      </c>
      <c r="L4436" s="2">
        <v>25205</v>
      </c>
      <c r="M4436" s="2" t="s">
        <v>171</v>
      </c>
      <c r="N4436" s="2">
        <v>2</v>
      </c>
      <c r="O4436" s="2">
        <v>186083.78</v>
      </c>
      <c r="P4436" s="2">
        <v>93041.89</v>
      </c>
    </row>
    <row r="4437" spans="1:16" outlineLevel="1" x14ac:dyDescent="0.2">
      <c r="A4437" s="5"/>
      <c r="D4437" s="3" t="s">
        <v>704</v>
      </c>
      <c r="N4437" s="2">
        <f>SUBTOTAL(9,N4435:N4436)</f>
        <v>160</v>
      </c>
      <c r="O4437" s="2">
        <f>SUBTOTAL(9,O4435:O4436)</f>
        <v>14285292.649999999</v>
      </c>
      <c r="P4437" s="2">
        <f>+O4437/N4437</f>
        <v>89283.079062499994</v>
      </c>
    </row>
    <row r="4438" spans="1:16" outlineLevel="2" x14ac:dyDescent="0.2">
      <c r="A4438" s="5">
        <v>46213</v>
      </c>
      <c r="B4438" s="2">
        <v>160651</v>
      </c>
      <c r="C4438" s="2">
        <v>1</v>
      </c>
      <c r="D4438" s="2" t="s">
        <v>38</v>
      </c>
      <c r="E4438" s="2" t="s">
        <v>39</v>
      </c>
      <c r="F4438" s="2" t="s">
        <v>40</v>
      </c>
      <c r="G4438" s="2" t="s">
        <v>22</v>
      </c>
      <c r="H4438" s="2" t="s">
        <v>23</v>
      </c>
      <c r="I4438" s="2" t="s">
        <v>182</v>
      </c>
      <c r="J4438" s="2">
        <v>40</v>
      </c>
      <c r="K4438" s="2" t="s">
        <v>43</v>
      </c>
      <c r="L4438" s="2">
        <v>25243</v>
      </c>
      <c r="M4438" s="2" t="s">
        <v>617</v>
      </c>
      <c r="N4438" s="2">
        <v>522</v>
      </c>
      <c r="O4438" s="2">
        <v>15978908.140000001</v>
      </c>
      <c r="P4438" s="2">
        <v>30610.94</v>
      </c>
    </row>
    <row r="4439" spans="1:16" outlineLevel="2" x14ac:dyDescent="0.2">
      <c r="A4439" s="5">
        <v>46213</v>
      </c>
      <c r="B4439" s="2">
        <v>160651</v>
      </c>
      <c r="C4439" s="2">
        <v>2</v>
      </c>
      <c r="D4439" s="2" t="s">
        <v>38</v>
      </c>
      <c r="E4439" s="2" t="s">
        <v>39</v>
      </c>
      <c r="F4439" s="2" t="s">
        <v>40</v>
      </c>
      <c r="G4439" s="2" t="s">
        <v>22</v>
      </c>
      <c r="H4439" s="2" t="s">
        <v>23</v>
      </c>
      <c r="I4439" s="2" t="s">
        <v>184</v>
      </c>
      <c r="J4439" s="2">
        <v>40</v>
      </c>
      <c r="K4439" s="2" t="s">
        <v>43</v>
      </c>
      <c r="L4439" s="2">
        <v>25243</v>
      </c>
      <c r="M4439" s="2" t="s">
        <v>617</v>
      </c>
      <c r="N4439" s="2">
        <v>528</v>
      </c>
      <c r="O4439" s="2">
        <v>15876258.83</v>
      </c>
      <c r="P4439" s="2">
        <v>30068.67</v>
      </c>
    </row>
    <row r="4440" spans="1:16" outlineLevel="2" x14ac:dyDescent="0.2">
      <c r="A4440" s="5">
        <v>46216</v>
      </c>
      <c r="B4440" s="2">
        <v>160651</v>
      </c>
      <c r="C4440" s="2">
        <v>4</v>
      </c>
      <c r="D4440" s="2" t="s">
        <v>38</v>
      </c>
      <c r="E4440" s="2" t="s">
        <v>39</v>
      </c>
      <c r="F4440" s="2" t="s">
        <v>40</v>
      </c>
      <c r="G4440" s="2" t="s">
        <v>41</v>
      </c>
      <c r="H4440" s="2" t="s">
        <v>23</v>
      </c>
      <c r="I4440" s="2" t="s">
        <v>394</v>
      </c>
      <c r="J4440" s="2">
        <v>40</v>
      </c>
      <c r="K4440" s="2" t="s">
        <v>43</v>
      </c>
      <c r="L4440" s="2">
        <v>25243</v>
      </c>
      <c r="M4440" s="2" t="s">
        <v>617</v>
      </c>
      <c r="N4440" s="2">
        <v>128</v>
      </c>
      <c r="O4440" s="2">
        <v>3752918.16</v>
      </c>
      <c r="P4440" s="2">
        <v>29319.67</v>
      </c>
    </row>
    <row r="4441" spans="1:16" outlineLevel="1" x14ac:dyDescent="0.2">
      <c r="A4441" s="5"/>
      <c r="D4441" s="3" t="s">
        <v>721</v>
      </c>
      <c r="N4441" s="2">
        <f>SUBTOTAL(9,N4438:N4440)</f>
        <v>1178</v>
      </c>
      <c r="O4441" s="2">
        <f>SUBTOTAL(9,O4438:O4440)</f>
        <v>35608085.129999995</v>
      </c>
      <c r="P4441" s="2">
        <f>+O4441/N4441</f>
        <v>30227.576511035648</v>
      </c>
    </row>
    <row r="4442" spans="1:16" outlineLevel="2" x14ac:dyDescent="0.2">
      <c r="A4442" s="5">
        <v>46206</v>
      </c>
      <c r="B4442" s="2">
        <v>160653</v>
      </c>
      <c r="C4442" s="2">
        <v>7</v>
      </c>
      <c r="D4442" s="2" t="s">
        <v>45</v>
      </c>
      <c r="E4442" s="2" t="s">
        <v>590</v>
      </c>
      <c r="F4442" s="2" t="s">
        <v>289</v>
      </c>
      <c r="G4442" s="2" t="s">
        <v>22</v>
      </c>
      <c r="H4442" s="2" t="s">
        <v>23</v>
      </c>
      <c r="I4442" s="2" t="s">
        <v>23</v>
      </c>
      <c r="J4442" s="2">
        <v>2</v>
      </c>
      <c r="K4442" s="2" t="s">
        <v>48</v>
      </c>
      <c r="L4442" s="2">
        <v>801</v>
      </c>
      <c r="M4442" s="2" t="s">
        <v>56</v>
      </c>
      <c r="N4442" s="2">
        <v>32</v>
      </c>
      <c r="O4442" s="2">
        <v>618540.29</v>
      </c>
      <c r="P4442" s="2">
        <v>19329.38</v>
      </c>
    </row>
    <row r="4443" spans="1:16" outlineLevel="2" x14ac:dyDescent="0.2">
      <c r="A4443" s="5">
        <v>46206</v>
      </c>
      <c r="B4443" s="2">
        <v>160653</v>
      </c>
      <c r="C4443" s="2">
        <v>8</v>
      </c>
      <c r="D4443" s="2" t="s">
        <v>45</v>
      </c>
      <c r="E4443" s="2" t="s">
        <v>598</v>
      </c>
      <c r="F4443" s="2" t="s">
        <v>289</v>
      </c>
      <c r="G4443" s="2" t="s">
        <v>22</v>
      </c>
      <c r="H4443" s="2" t="s">
        <v>23</v>
      </c>
      <c r="I4443" s="2" t="s">
        <v>23</v>
      </c>
      <c r="J4443" s="2">
        <v>2</v>
      </c>
      <c r="K4443" s="2" t="s">
        <v>48</v>
      </c>
      <c r="L4443" s="2">
        <v>801</v>
      </c>
      <c r="M4443" s="2" t="s">
        <v>56</v>
      </c>
      <c r="N4443" s="2">
        <v>32</v>
      </c>
      <c r="O4443" s="2">
        <v>580269.30000000005</v>
      </c>
      <c r="P4443" s="2">
        <v>18133.419999999998</v>
      </c>
    </row>
    <row r="4444" spans="1:16" outlineLevel="2" x14ac:dyDescent="0.2">
      <c r="A4444" s="5">
        <v>46206</v>
      </c>
      <c r="B4444" s="2">
        <v>160653</v>
      </c>
      <c r="C4444" s="2">
        <v>9</v>
      </c>
      <c r="D4444" s="2" t="s">
        <v>45</v>
      </c>
      <c r="E4444" s="2" t="s">
        <v>598</v>
      </c>
      <c r="F4444" s="2" t="s">
        <v>289</v>
      </c>
      <c r="G4444" s="2" t="s">
        <v>22</v>
      </c>
      <c r="H4444" s="2" t="s">
        <v>23</v>
      </c>
      <c r="I4444" s="2" t="s">
        <v>23</v>
      </c>
      <c r="J4444" s="2">
        <v>2</v>
      </c>
      <c r="K4444" s="2" t="s">
        <v>48</v>
      </c>
      <c r="L4444" s="2">
        <v>801</v>
      </c>
      <c r="M4444" s="2" t="s">
        <v>56</v>
      </c>
      <c r="N4444" s="2">
        <v>3</v>
      </c>
      <c r="O4444" s="2">
        <v>69101.94</v>
      </c>
      <c r="P4444" s="2">
        <v>23033.98</v>
      </c>
    </row>
    <row r="4445" spans="1:16" outlineLevel="2" x14ac:dyDescent="0.2">
      <c r="A4445" s="5">
        <v>46206</v>
      </c>
      <c r="B4445" s="2">
        <v>160653</v>
      </c>
      <c r="C4445" s="2">
        <v>10</v>
      </c>
      <c r="D4445" s="2" t="s">
        <v>45</v>
      </c>
      <c r="E4445" s="2" t="s">
        <v>598</v>
      </c>
      <c r="F4445" s="2" t="s">
        <v>289</v>
      </c>
      <c r="G4445" s="2" t="s">
        <v>22</v>
      </c>
      <c r="H4445" s="2" t="s">
        <v>23</v>
      </c>
      <c r="I4445" s="2" t="s">
        <v>23</v>
      </c>
      <c r="J4445" s="2">
        <v>2</v>
      </c>
      <c r="K4445" s="2" t="s">
        <v>48</v>
      </c>
      <c r="L4445" s="2">
        <v>801</v>
      </c>
      <c r="M4445" s="2" t="s">
        <v>56</v>
      </c>
      <c r="N4445" s="2">
        <v>1</v>
      </c>
      <c r="O4445" s="2">
        <v>18668.77</v>
      </c>
      <c r="P4445" s="2">
        <v>18668.77</v>
      </c>
    </row>
    <row r="4446" spans="1:16" outlineLevel="2" x14ac:dyDescent="0.2">
      <c r="A4446" s="5">
        <v>46206</v>
      </c>
      <c r="B4446" s="2">
        <v>160653</v>
      </c>
      <c r="C4446" s="2">
        <v>11</v>
      </c>
      <c r="D4446" s="2" t="s">
        <v>45</v>
      </c>
      <c r="E4446" s="2" t="s">
        <v>558</v>
      </c>
      <c r="F4446" s="2" t="s">
        <v>289</v>
      </c>
      <c r="G4446" s="2" t="s">
        <v>22</v>
      </c>
      <c r="H4446" s="2" t="s">
        <v>23</v>
      </c>
      <c r="I4446" s="2" t="s">
        <v>23</v>
      </c>
      <c r="J4446" s="2">
        <v>2</v>
      </c>
      <c r="K4446" s="2" t="s">
        <v>48</v>
      </c>
      <c r="L4446" s="2">
        <v>801</v>
      </c>
      <c r="M4446" s="2" t="s">
        <v>56</v>
      </c>
      <c r="N4446" s="2">
        <v>8</v>
      </c>
      <c r="O4446" s="2">
        <v>168705.36</v>
      </c>
      <c r="P4446" s="2">
        <v>21088.17</v>
      </c>
    </row>
    <row r="4447" spans="1:16" outlineLevel="2" x14ac:dyDescent="0.2">
      <c r="A4447" s="5">
        <v>46206</v>
      </c>
      <c r="B4447" s="2">
        <v>160653</v>
      </c>
      <c r="C4447" s="2">
        <v>12</v>
      </c>
      <c r="D4447" s="2" t="s">
        <v>45</v>
      </c>
      <c r="E4447" s="2" t="s">
        <v>558</v>
      </c>
      <c r="F4447" s="2" t="s">
        <v>289</v>
      </c>
      <c r="G4447" s="2" t="s">
        <v>22</v>
      </c>
      <c r="H4447" s="2" t="s">
        <v>23</v>
      </c>
      <c r="I4447" s="2" t="s">
        <v>23</v>
      </c>
      <c r="J4447" s="2">
        <v>2</v>
      </c>
      <c r="K4447" s="2" t="s">
        <v>48</v>
      </c>
      <c r="L4447" s="2">
        <v>801</v>
      </c>
      <c r="M4447" s="2" t="s">
        <v>56</v>
      </c>
      <c r="N4447" s="2">
        <v>7</v>
      </c>
      <c r="O4447" s="2">
        <v>162171.29999999999</v>
      </c>
      <c r="P4447" s="2">
        <v>23167.33</v>
      </c>
    </row>
    <row r="4448" spans="1:16" outlineLevel="2" x14ac:dyDescent="0.2">
      <c r="A4448" s="5">
        <v>46206</v>
      </c>
      <c r="B4448" s="2">
        <v>160653</v>
      </c>
      <c r="C4448" s="2">
        <v>13</v>
      </c>
      <c r="D4448" s="2" t="s">
        <v>45</v>
      </c>
      <c r="E4448" s="2" t="s">
        <v>592</v>
      </c>
      <c r="F4448" s="2" t="s">
        <v>289</v>
      </c>
      <c r="G4448" s="2" t="s">
        <v>22</v>
      </c>
      <c r="H4448" s="2" t="s">
        <v>23</v>
      </c>
      <c r="I4448" s="2" t="s">
        <v>23</v>
      </c>
      <c r="J4448" s="2">
        <v>2</v>
      </c>
      <c r="K4448" s="2" t="s">
        <v>48</v>
      </c>
      <c r="L4448" s="2">
        <v>801</v>
      </c>
      <c r="M4448" s="2" t="s">
        <v>56</v>
      </c>
      <c r="N4448" s="2">
        <v>3</v>
      </c>
      <c r="O4448" s="2">
        <v>55100.31</v>
      </c>
      <c r="P4448" s="2">
        <v>18366.77</v>
      </c>
    </row>
    <row r="4449" spans="1:16" outlineLevel="2" x14ac:dyDescent="0.2">
      <c r="A4449" s="5">
        <v>46206</v>
      </c>
      <c r="B4449" s="2">
        <v>160653</v>
      </c>
      <c r="C4449" s="2">
        <v>14</v>
      </c>
      <c r="D4449" s="2" t="s">
        <v>45</v>
      </c>
      <c r="E4449" s="2" t="s">
        <v>604</v>
      </c>
      <c r="F4449" s="2" t="s">
        <v>289</v>
      </c>
      <c r="G4449" s="2" t="s">
        <v>22</v>
      </c>
      <c r="H4449" s="2" t="s">
        <v>23</v>
      </c>
      <c r="I4449" s="2" t="s">
        <v>23</v>
      </c>
      <c r="J4449" s="2">
        <v>2</v>
      </c>
      <c r="K4449" s="2" t="s">
        <v>48</v>
      </c>
      <c r="L4449" s="2">
        <v>801</v>
      </c>
      <c r="M4449" s="2" t="s">
        <v>56</v>
      </c>
      <c r="N4449" s="2">
        <v>6</v>
      </c>
      <c r="O4449" s="2">
        <v>110200.62</v>
      </c>
      <c r="P4449" s="2">
        <v>18366.77</v>
      </c>
    </row>
    <row r="4450" spans="1:16" outlineLevel="1" x14ac:dyDescent="0.2">
      <c r="A4450" s="5"/>
      <c r="D4450" s="3" t="s">
        <v>733</v>
      </c>
      <c r="N4450" s="2">
        <f>SUBTOTAL(9,N4442:N4449)</f>
        <v>92</v>
      </c>
      <c r="O4450" s="2">
        <f>SUBTOTAL(9,O4442:O4449)</f>
        <v>1782757.8900000001</v>
      </c>
      <c r="P4450" s="2">
        <f>+O4450/N4450</f>
        <v>19377.803152173914</v>
      </c>
    </row>
    <row r="4451" spans="1:16" outlineLevel="2" x14ac:dyDescent="0.2">
      <c r="A4451" s="5">
        <v>46206</v>
      </c>
      <c r="B4451" s="2">
        <v>160653</v>
      </c>
      <c r="C4451" s="2">
        <v>18</v>
      </c>
      <c r="D4451" s="2" t="s">
        <v>226</v>
      </c>
      <c r="E4451" s="2" t="s">
        <v>581</v>
      </c>
      <c r="F4451" s="2" t="s">
        <v>289</v>
      </c>
      <c r="G4451" s="2" t="s">
        <v>22</v>
      </c>
      <c r="H4451" s="2" t="s">
        <v>23</v>
      </c>
      <c r="I4451" s="2" t="s">
        <v>23</v>
      </c>
      <c r="J4451" s="2">
        <v>2</v>
      </c>
      <c r="K4451" s="2" t="s">
        <v>48</v>
      </c>
      <c r="L4451" s="2">
        <v>801</v>
      </c>
      <c r="M4451" s="2" t="s">
        <v>56</v>
      </c>
      <c r="N4451" s="2">
        <v>4</v>
      </c>
      <c r="O4451" s="2">
        <v>97709.11</v>
      </c>
      <c r="P4451" s="2">
        <v>24427.279999999999</v>
      </c>
    </row>
    <row r="4452" spans="1:16" outlineLevel="2" x14ac:dyDescent="0.2">
      <c r="A4452" s="5">
        <v>46206</v>
      </c>
      <c r="B4452" s="2">
        <v>160653</v>
      </c>
      <c r="C4452" s="2">
        <v>21</v>
      </c>
      <c r="D4452" s="2" t="s">
        <v>226</v>
      </c>
      <c r="E4452" s="2" t="s">
        <v>568</v>
      </c>
      <c r="F4452" s="2" t="s">
        <v>289</v>
      </c>
      <c r="G4452" s="2" t="s">
        <v>22</v>
      </c>
      <c r="H4452" s="2" t="s">
        <v>23</v>
      </c>
      <c r="I4452" s="2" t="s">
        <v>23</v>
      </c>
      <c r="J4452" s="2">
        <v>2</v>
      </c>
      <c r="K4452" s="2" t="s">
        <v>48</v>
      </c>
      <c r="L4452" s="2">
        <v>801</v>
      </c>
      <c r="M4452" s="2" t="s">
        <v>56</v>
      </c>
      <c r="N4452" s="2">
        <v>24</v>
      </c>
      <c r="O4452" s="2">
        <v>522011.96</v>
      </c>
      <c r="P4452" s="2">
        <v>21750.5</v>
      </c>
    </row>
    <row r="4453" spans="1:16" outlineLevel="2" x14ac:dyDescent="0.2">
      <c r="A4453" s="5">
        <v>46206</v>
      </c>
      <c r="B4453" s="2">
        <v>160653</v>
      </c>
      <c r="C4453" s="2">
        <v>23</v>
      </c>
      <c r="D4453" s="2" t="s">
        <v>226</v>
      </c>
      <c r="E4453" s="2" t="s">
        <v>581</v>
      </c>
      <c r="F4453" s="2" t="s">
        <v>289</v>
      </c>
      <c r="G4453" s="2" t="s">
        <v>22</v>
      </c>
      <c r="H4453" s="2" t="s">
        <v>23</v>
      </c>
      <c r="I4453" s="2" t="s">
        <v>23</v>
      </c>
      <c r="J4453" s="2">
        <v>2</v>
      </c>
      <c r="K4453" s="2" t="s">
        <v>48</v>
      </c>
      <c r="L4453" s="2">
        <v>801</v>
      </c>
      <c r="M4453" s="2" t="s">
        <v>56</v>
      </c>
      <c r="N4453" s="2">
        <v>49</v>
      </c>
      <c r="O4453" s="2">
        <v>1198672.82</v>
      </c>
      <c r="P4453" s="2">
        <v>24462.71</v>
      </c>
    </row>
    <row r="4454" spans="1:16" outlineLevel="2" x14ac:dyDescent="0.2">
      <c r="A4454" s="5">
        <v>46206</v>
      </c>
      <c r="B4454" s="2">
        <v>160653</v>
      </c>
      <c r="C4454" s="2">
        <v>25</v>
      </c>
      <c r="D4454" s="2" t="s">
        <v>226</v>
      </c>
      <c r="E4454" s="2" t="s">
        <v>586</v>
      </c>
      <c r="F4454" s="2" t="s">
        <v>289</v>
      </c>
      <c r="G4454" s="2" t="s">
        <v>22</v>
      </c>
      <c r="H4454" s="2" t="s">
        <v>23</v>
      </c>
      <c r="I4454" s="2" t="s">
        <v>23</v>
      </c>
      <c r="J4454" s="2">
        <v>2</v>
      </c>
      <c r="K4454" s="2" t="s">
        <v>48</v>
      </c>
      <c r="L4454" s="2">
        <v>801</v>
      </c>
      <c r="M4454" s="2" t="s">
        <v>56</v>
      </c>
      <c r="N4454" s="2">
        <v>32</v>
      </c>
      <c r="O4454" s="2">
        <v>716551.63</v>
      </c>
      <c r="P4454" s="2">
        <v>22392.240000000002</v>
      </c>
    </row>
    <row r="4455" spans="1:16" outlineLevel="1" x14ac:dyDescent="0.2">
      <c r="A4455" s="5"/>
      <c r="D4455" s="3" t="s">
        <v>736</v>
      </c>
      <c r="N4455" s="2">
        <f>SUBTOTAL(9,N4451:N4454)</f>
        <v>109</v>
      </c>
      <c r="O4455" s="2">
        <f>SUBTOTAL(9,O4451:O4454)</f>
        <v>2534945.52</v>
      </c>
      <c r="P4455" s="2">
        <f>+O4455/N4455</f>
        <v>23256.380917431194</v>
      </c>
    </row>
    <row r="4456" spans="1:16" outlineLevel="2" x14ac:dyDescent="0.2">
      <c r="A4456" s="5">
        <v>46213</v>
      </c>
      <c r="B4456" s="2">
        <v>160653</v>
      </c>
      <c r="C4456" s="2">
        <v>318</v>
      </c>
      <c r="D4456" s="2" t="s">
        <v>54</v>
      </c>
      <c r="E4456" s="2" t="s">
        <v>30</v>
      </c>
      <c r="F4456" s="2" t="s">
        <v>23</v>
      </c>
      <c r="G4456" s="2" t="s">
        <v>22</v>
      </c>
      <c r="H4456" s="2" t="s">
        <v>23</v>
      </c>
      <c r="I4456" s="2" t="s">
        <v>23</v>
      </c>
      <c r="J4456" s="2">
        <v>2</v>
      </c>
      <c r="K4456" s="2" t="s">
        <v>48</v>
      </c>
      <c r="L4456" s="2">
        <v>801</v>
      </c>
      <c r="M4456" s="2" t="s">
        <v>56</v>
      </c>
      <c r="N4456" s="2">
        <v>24</v>
      </c>
      <c r="O4456" s="2">
        <v>668561.81999999995</v>
      </c>
      <c r="P4456" s="2">
        <v>27856.74</v>
      </c>
    </row>
    <row r="4457" spans="1:16" outlineLevel="2" x14ac:dyDescent="0.2">
      <c r="A4457" s="5">
        <v>46218</v>
      </c>
      <c r="B4457" s="2">
        <v>160653</v>
      </c>
      <c r="C4457" s="2">
        <v>320</v>
      </c>
      <c r="D4457" s="2" t="s">
        <v>54</v>
      </c>
      <c r="E4457" s="2" t="s">
        <v>30</v>
      </c>
      <c r="F4457" s="2" t="s">
        <v>289</v>
      </c>
      <c r="G4457" s="2" t="s">
        <v>22</v>
      </c>
      <c r="H4457" s="2" t="s">
        <v>23</v>
      </c>
      <c r="I4457" s="2" t="s">
        <v>23</v>
      </c>
      <c r="J4457" s="2">
        <v>2</v>
      </c>
      <c r="K4457" s="2" t="s">
        <v>48</v>
      </c>
      <c r="L4457" s="2">
        <v>801</v>
      </c>
      <c r="M4457" s="2" t="s">
        <v>56</v>
      </c>
      <c r="N4457" s="2">
        <v>22</v>
      </c>
      <c r="O4457" s="2">
        <v>395640.77</v>
      </c>
      <c r="P4457" s="2">
        <v>17983.669999999998</v>
      </c>
    </row>
    <row r="4458" spans="1:16" outlineLevel="1" x14ac:dyDescent="0.2">
      <c r="A4458" s="5"/>
      <c r="D4458" s="3" t="s">
        <v>719</v>
      </c>
      <c r="N4458" s="2">
        <f>SUBTOTAL(9,N4456:N4457)</f>
        <v>46</v>
      </c>
      <c r="O4458" s="2">
        <f>SUBTOTAL(9,O4456:O4457)</f>
        <v>1064202.5899999999</v>
      </c>
      <c r="P4458" s="2">
        <f>+O4458/N4458</f>
        <v>23134.838913043473</v>
      </c>
    </row>
    <row r="4459" spans="1:16" outlineLevel="2" x14ac:dyDescent="0.2">
      <c r="A4459" s="5">
        <v>46209</v>
      </c>
      <c r="B4459" s="2">
        <v>160662</v>
      </c>
      <c r="C4459" s="2">
        <v>1</v>
      </c>
      <c r="D4459" s="2" t="s">
        <v>38</v>
      </c>
      <c r="E4459" s="2" t="s">
        <v>39</v>
      </c>
      <c r="F4459" s="2" t="s">
        <v>52</v>
      </c>
      <c r="G4459" s="2" t="s">
        <v>22</v>
      </c>
      <c r="H4459" s="2" t="s">
        <v>23</v>
      </c>
      <c r="I4459" s="2" t="s">
        <v>445</v>
      </c>
      <c r="J4459" s="2">
        <v>1</v>
      </c>
      <c r="K4459" s="2" t="s">
        <v>24</v>
      </c>
      <c r="L4459" s="2">
        <v>206</v>
      </c>
      <c r="M4459" s="2" t="s">
        <v>516</v>
      </c>
      <c r="N4459" s="2">
        <v>143</v>
      </c>
      <c r="O4459" s="2">
        <v>2400380.88</v>
      </c>
      <c r="P4459" s="2">
        <v>16785.88</v>
      </c>
    </row>
    <row r="4460" spans="1:16" outlineLevel="2" x14ac:dyDescent="0.2">
      <c r="A4460" s="5">
        <v>46209</v>
      </c>
      <c r="B4460" s="2">
        <v>160662</v>
      </c>
      <c r="C4460" s="2">
        <v>2</v>
      </c>
      <c r="D4460" s="2" t="s">
        <v>38</v>
      </c>
      <c r="E4460" s="2" t="s">
        <v>39</v>
      </c>
      <c r="F4460" s="2" t="s">
        <v>52</v>
      </c>
      <c r="G4460" s="2" t="s">
        <v>22</v>
      </c>
      <c r="H4460" s="2" t="s">
        <v>23</v>
      </c>
      <c r="I4460" s="2" t="s">
        <v>42</v>
      </c>
      <c r="J4460" s="2">
        <v>1</v>
      </c>
      <c r="K4460" s="2" t="s">
        <v>24</v>
      </c>
      <c r="L4460" s="2">
        <v>206</v>
      </c>
      <c r="M4460" s="2" t="s">
        <v>516</v>
      </c>
      <c r="N4460" s="2">
        <v>236</v>
      </c>
      <c r="O4460" s="2">
        <v>3001553.76</v>
      </c>
      <c r="P4460" s="2">
        <v>12718.45</v>
      </c>
    </row>
    <row r="4461" spans="1:16" outlineLevel="1" x14ac:dyDescent="0.2">
      <c r="A4461" s="5"/>
      <c r="D4461" s="3" t="s">
        <v>721</v>
      </c>
      <c r="N4461" s="2">
        <f>SUBTOTAL(9,N4459:N4460)</f>
        <v>379</v>
      </c>
      <c r="O4461" s="2">
        <f>SUBTOTAL(9,O4459:O4460)</f>
        <v>5401934.6399999997</v>
      </c>
      <c r="P4461" s="2">
        <f>+O4461/N4461</f>
        <v>14253.125699208442</v>
      </c>
    </row>
    <row r="4462" spans="1:16" outlineLevel="2" x14ac:dyDescent="0.2">
      <c r="A4462" s="5">
        <v>46209</v>
      </c>
      <c r="B4462" s="2">
        <v>160664</v>
      </c>
      <c r="C4462" s="2">
        <v>1</v>
      </c>
      <c r="D4462" s="2" t="s">
        <v>60</v>
      </c>
      <c r="E4462" s="2" t="s">
        <v>387</v>
      </c>
      <c r="F4462" s="2" t="s">
        <v>23</v>
      </c>
      <c r="G4462" s="2" t="s">
        <v>22</v>
      </c>
      <c r="H4462" s="2" t="s">
        <v>23</v>
      </c>
      <c r="I4462" s="2" t="s">
        <v>23</v>
      </c>
      <c r="J4462" s="2">
        <v>78</v>
      </c>
      <c r="K4462" s="2" t="s">
        <v>212</v>
      </c>
      <c r="L4462" s="2">
        <v>226</v>
      </c>
      <c r="M4462" s="2" t="s">
        <v>59</v>
      </c>
      <c r="N4462" s="2">
        <v>91</v>
      </c>
      <c r="O4462" s="2">
        <v>1667011.19</v>
      </c>
      <c r="P4462" s="2">
        <v>18318.8</v>
      </c>
    </row>
    <row r="4463" spans="1:16" outlineLevel="1" x14ac:dyDescent="0.2">
      <c r="A4463" s="5"/>
      <c r="D4463" s="3" t="s">
        <v>728</v>
      </c>
      <c r="N4463" s="2">
        <f>SUBTOTAL(9,N4462:N4462)</f>
        <v>91</v>
      </c>
      <c r="O4463" s="2">
        <f>SUBTOTAL(9,O4462:O4462)</f>
        <v>1667011.19</v>
      </c>
      <c r="P4463" s="2">
        <f>+O4463/N4463</f>
        <v>18318.804285714286</v>
      </c>
    </row>
    <row r="4464" spans="1:16" outlineLevel="2" x14ac:dyDescent="0.2">
      <c r="A4464" s="5">
        <v>46209</v>
      </c>
      <c r="B4464" s="2">
        <v>160669</v>
      </c>
      <c r="C4464" s="2">
        <v>1</v>
      </c>
      <c r="D4464" s="2" t="s">
        <v>207</v>
      </c>
      <c r="E4464" s="2" t="s">
        <v>23</v>
      </c>
      <c r="F4464" s="2" t="s">
        <v>23</v>
      </c>
      <c r="G4464" s="2" t="s">
        <v>22</v>
      </c>
      <c r="H4464" s="2" t="s">
        <v>23</v>
      </c>
      <c r="I4464" s="2" t="s">
        <v>23</v>
      </c>
      <c r="J4464" s="2">
        <v>41</v>
      </c>
      <c r="K4464" s="2" t="s">
        <v>129</v>
      </c>
      <c r="L4464" s="2">
        <v>25213</v>
      </c>
      <c r="M4464" s="2" t="s">
        <v>130</v>
      </c>
      <c r="N4464" s="2">
        <v>50</v>
      </c>
      <c r="O4464" s="2">
        <v>171587.5</v>
      </c>
      <c r="P4464" s="2">
        <v>3431.75</v>
      </c>
    </row>
    <row r="4465" spans="1:16" outlineLevel="2" x14ac:dyDescent="0.2">
      <c r="A4465" s="5">
        <v>46209</v>
      </c>
      <c r="B4465" s="2">
        <v>160669</v>
      </c>
      <c r="C4465" s="2">
        <v>2</v>
      </c>
      <c r="D4465" s="2" t="s">
        <v>207</v>
      </c>
      <c r="E4465" s="2" t="s">
        <v>527</v>
      </c>
      <c r="F4465" s="2" t="s">
        <v>23</v>
      </c>
      <c r="G4465" s="2" t="s">
        <v>527</v>
      </c>
      <c r="H4465" s="2" t="s">
        <v>23</v>
      </c>
      <c r="I4465" s="2" t="s">
        <v>23</v>
      </c>
      <c r="J4465" s="2">
        <v>1</v>
      </c>
      <c r="K4465" s="2" t="s">
        <v>24</v>
      </c>
      <c r="L4465" s="2">
        <v>25213</v>
      </c>
      <c r="M4465" s="2" t="s">
        <v>130</v>
      </c>
      <c r="N4465" s="2">
        <v>4</v>
      </c>
      <c r="O4465" s="2">
        <v>267622.44</v>
      </c>
      <c r="P4465" s="2">
        <v>66905.61</v>
      </c>
    </row>
    <row r="4466" spans="1:16" outlineLevel="1" x14ac:dyDescent="0.2">
      <c r="A4466" s="5"/>
      <c r="D4466" s="3" t="s">
        <v>699</v>
      </c>
      <c r="N4466" s="2">
        <f>SUBTOTAL(9,N4464:N4465)</f>
        <v>54</v>
      </c>
      <c r="O4466" s="2">
        <f>SUBTOTAL(9,O4464:O4465)</f>
        <v>439209.94</v>
      </c>
      <c r="P4466" s="2">
        <f>+O4466/N4466</f>
        <v>8133.5174074074075</v>
      </c>
    </row>
    <row r="4467" spans="1:16" outlineLevel="2" x14ac:dyDescent="0.2">
      <c r="A4467" s="5">
        <v>46209</v>
      </c>
      <c r="B4467" s="2">
        <v>160669</v>
      </c>
      <c r="C4467" s="2">
        <v>3</v>
      </c>
      <c r="D4467" s="2" t="s">
        <v>128</v>
      </c>
      <c r="E4467" s="2" t="s">
        <v>527</v>
      </c>
      <c r="F4467" s="2" t="s">
        <v>23</v>
      </c>
      <c r="G4467" s="2" t="s">
        <v>527</v>
      </c>
      <c r="H4467" s="2" t="s">
        <v>23</v>
      </c>
      <c r="I4467" s="2" t="s">
        <v>23</v>
      </c>
      <c r="J4467" s="2">
        <v>1</v>
      </c>
      <c r="K4467" s="2" t="s">
        <v>24</v>
      </c>
      <c r="L4467" s="2">
        <v>25213</v>
      </c>
      <c r="M4467" s="2" t="s">
        <v>130</v>
      </c>
      <c r="N4467" s="2">
        <v>2</v>
      </c>
      <c r="O4467" s="2">
        <v>182350.02</v>
      </c>
      <c r="P4467" s="2">
        <v>91175.01</v>
      </c>
    </row>
    <row r="4468" spans="1:16" outlineLevel="1" x14ac:dyDescent="0.2">
      <c r="A4468" s="5"/>
      <c r="D4468" s="3" t="s">
        <v>732</v>
      </c>
      <c r="N4468" s="2">
        <f>SUBTOTAL(9,N4467:N4467)</f>
        <v>2</v>
      </c>
      <c r="O4468" s="2">
        <f>SUBTOTAL(9,O4467:O4467)</f>
        <v>182350.02</v>
      </c>
      <c r="P4468" s="2">
        <f>+O4468/N4468</f>
        <v>91175.01</v>
      </c>
    </row>
    <row r="4469" spans="1:16" outlineLevel="2" x14ac:dyDescent="0.2">
      <c r="A4469" s="5">
        <v>46216</v>
      </c>
      <c r="B4469" s="2">
        <v>160681</v>
      </c>
      <c r="C4469" s="2">
        <v>1</v>
      </c>
      <c r="D4469" s="2" t="s">
        <v>140</v>
      </c>
      <c r="E4469" s="2" t="s">
        <v>55</v>
      </c>
      <c r="F4469" s="2" t="s">
        <v>23</v>
      </c>
      <c r="G4469" s="2" t="s">
        <v>23</v>
      </c>
      <c r="H4469" s="2" t="s">
        <v>23</v>
      </c>
      <c r="I4469" s="2" t="s">
        <v>23</v>
      </c>
      <c r="J4469" s="2">
        <v>1</v>
      </c>
      <c r="K4469" s="2" t="s">
        <v>24</v>
      </c>
      <c r="L4469" s="2">
        <v>1503</v>
      </c>
      <c r="M4469" s="2" t="s">
        <v>603</v>
      </c>
      <c r="N4469" s="2">
        <v>8</v>
      </c>
      <c r="O4469" s="2">
        <v>72259.12</v>
      </c>
      <c r="P4469" s="2">
        <v>9032.39</v>
      </c>
    </row>
    <row r="4470" spans="1:16" outlineLevel="2" x14ac:dyDescent="0.2">
      <c r="A4470" s="5">
        <v>46211</v>
      </c>
      <c r="B4470" s="2">
        <v>160689</v>
      </c>
      <c r="C4470" s="2">
        <v>1</v>
      </c>
      <c r="D4470" s="2" t="s">
        <v>140</v>
      </c>
      <c r="E4470" s="2" t="s">
        <v>23</v>
      </c>
      <c r="F4470" s="2" t="s">
        <v>23</v>
      </c>
      <c r="G4470" s="2" t="s">
        <v>22</v>
      </c>
      <c r="H4470" s="2" t="s">
        <v>23</v>
      </c>
      <c r="I4470" s="2" t="s">
        <v>23</v>
      </c>
      <c r="J4470" s="2">
        <v>1</v>
      </c>
      <c r="K4470" s="2" t="s">
        <v>24</v>
      </c>
      <c r="L4470" s="2">
        <v>1503</v>
      </c>
      <c r="M4470" s="2" t="s">
        <v>603</v>
      </c>
      <c r="N4470" s="2">
        <v>61</v>
      </c>
      <c r="O4470" s="2">
        <v>1529192.42</v>
      </c>
      <c r="P4470" s="2">
        <v>25068.73</v>
      </c>
    </row>
    <row r="4471" spans="1:16" outlineLevel="1" x14ac:dyDescent="0.2">
      <c r="A4471" s="5"/>
      <c r="D4471" s="3" t="s">
        <v>696</v>
      </c>
      <c r="N4471" s="2">
        <f>SUBTOTAL(9,N4469:N4470)</f>
        <v>69</v>
      </c>
      <c r="O4471" s="2">
        <f>SUBTOTAL(9,O4469:O4470)</f>
        <v>1601451.54</v>
      </c>
      <c r="P4471" s="2">
        <f>+O4471/N4471</f>
        <v>23209.442608695652</v>
      </c>
    </row>
    <row r="4472" spans="1:16" outlineLevel="2" x14ac:dyDescent="0.2">
      <c r="A4472" s="5">
        <v>46211</v>
      </c>
      <c r="B4472" s="2">
        <v>160690</v>
      </c>
      <c r="C4472" s="2">
        <v>1</v>
      </c>
      <c r="D4472" s="2" t="s">
        <v>207</v>
      </c>
      <c r="E4472" s="2" t="s">
        <v>23</v>
      </c>
      <c r="F4472" s="2" t="s">
        <v>23</v>
      </c>
      <c r="G4472" s="2" t="s">
        <v>22</v>
      </c>
      <c r="H4472" s="2" t="s">
        <v>208</v>
      </c>
      <c r="I4472" s="2" t="s">
        <v>23</v>
      </c>
      <c r="J4472" s="2">
        <v>41</v>
      </c>
      <c r="K4472" s="2" t="s">
        <v>129</v>
      </c>
      <c r="L4472" s="2">
        <v>25213</v>
      </c>
      <c r="M4472" s="2" t="s">
        <v>130</v>
      </c>
      <c r="N4472" s="2">
        <v>75</v>
      </c>
      <c r="O4472" s="2">
        <v>261576.32000000001</v>
      </c>
      <c r="P4472" s="2">
        <v>3487.68</v>
      </c>
    </row>
    <row r="4473" spans="1:16" outlineLevel="1" x14ac:dyDescent="0.2">
      <c r="A4473" s="5"/>
      <c r="D4473" s="3" t="s">
        <v>699</v>
      </c>
      <c r="N4473" s="2">
        <f>SUBTOTAL(9,N4472:N4472)</f>
        <v>75</v>
      </c>
      <c r="O4473" s="2">
        <f>SUBTOTAL(9,O4472:O4472)</f>
        <v>261576.32000000001</v>
      </c>
      <c r="P4473" s="2">
        <f>+O4473/N4473</f>
        <v>3487.6842666666666</v>
      </c>
    </row>
    <row r="4474" spans="1:16" outlineLevel="2" x14ac:dyDescent="0.2">
      <c r="A4474" s="5">
        <v>46211</v>
      </c>
      <c r="B4474" s="2">
        <v>160690</v>
      </c>
      <c r="C4474" s="2">
        <v>2</v>
      </c>
      <c r="D4474" s="2" t="s">
        <v>128</v>
      </c>
      <c r="E4474" s="2" t="s">
        <v>23</v>
      </c>
      <c r="F4474" s="2" t="s">
        <v>23</v>
      </c>
      <c r="G4474" s="2" t="s">
        <v>22</v>
      </c>
      <c r="H4474" s="2" t="s">
        <v>23</v>
      </c>
      <c r="I4474" s="2" t="s">
        <v>23</v>
      </c>
      <c r="J4474" s="2">
        <v>41</v>
      </c>
      <c r="K4474" s="2" t="s">
        <v>129</v>
      </c>
      <c r="L4474" s="2">
        <v>25213</v>
      </c>
      <c r="M4474" s="2" t="s">
        <v>130</v>
      </c>
      <c r="N4474" s="2">
        <v>50</v>
      </c>
      <c r="O4474" s="2">
        <v>187923</v>
      </c>
      <c r="P4474" s="2">
        <v>3758.46</v>
      </c>
    </row>
    <row r="4475" spans="1:16" outlineLevel="1" x14ac:dyDescent="0.2">
      <c r="A4475" s="5"/>
      <c r="D4475" s="3" t="s">
        <v>732</v>
      </c>
      <c r="N4475" s="2">
        <f>SUBTOTAL(9,N4474:N4474)</f>
        <v>50</v>
      </c>
      <c r="O4475" s="2">
        <f>SUBTOTAL(9,O4474:O4474)</f>
        <v>187923</v>
      </c>
      <c r="P4475" s="2">
        <f>+O4475/N4475</f>
        <v>3758.46</v>
      </c>
    </row>
    <row r="4476" spans="1:16" outlineLevel="2" x14ac:dyDescent="0.2">
      <c r="A4476" s="5">
        <v>46211</v>
      </c>
      <c r="B4476" s="2">
        <v>160690</v>
      </c>
      <c r="C4476" s="2">
        <v>3</v>
      </c>
      <c r="D4476" s="2" t="s">
        <v>207</v>
      </c>
      <c r="E4476" s="2" t="s">
        <v>23</v>
      </c>
      <c r="F4476" s="2" t="s">
        <v>23</v>
      </c>
      <c r="G4476" s="2" t="s">
        <v>22</v>
      </c>
      <c r="H4476" s="2" t="s">
        <v>209</v>
      </c>
      <c r="I4476" s="2" t="s">
        <v>23</v>
      </c>
      <c r="J4476" s="2">
        <v>41</v>
      </c>
      <c r="K4476" s="2" t="s">
        <v>129</v>
      </c>
      <c r="L4476" s="2">
        <v>25213</v>
      </c>
      <c r="M4476" s="2" t="s">
        <v>130</v>
      </c>
      <c r="N4476" s="2">
        <v>25</v>
      </c>
      <c r="O4476" s="2">
        <v>49362.400000000001</v>
      </c>
      <c r="P4476" s="2">
        <v>1974.5</v>
      </c>
    </row>
    <row r="4477" spans="1:16" outlineLevel="2" x14ac:dyDescent="0.2">
      <c r="A4477" s="5">
        <v>46211</v>
      </c>
      <c r="B4477" s="2">
        <v>160690</v>
      </c>
      <c r="C4477" s="2">
        <v>4</v>
      </c>
      <c r="D4477" s="2" t="s">
        <v>207</v>
      </c>
      <c r="E4477" s="2" t="s">
        <v>527</v>
      </c>
      <c r="F4477" s="2" t="s">
        <v>23</v>
      </c>
      <c r="G4477" s="2" t="s">
        <v>527</v>
      </c>
      <c r="H4477" s="2" t="s">
        <v>23</v>
      </c>
      <c r="I4477" s="2" t="s">
        <v>23</v>
      </c>
      <c r="J4477" s="2">
        <v>1</v>
      </c>
      <c r="K4477" s="2" t="s">
        <v>24</v>
      </c>
      <c r="L4477" s="2">
        <v>25213</v>
      </c>
      <c r="M4477" s="2" t="s">
        <v>130</v>
      </c>
      <c r="N4477" s="2">
        <v>2</v>
      </c>
      <c r="O4477" s="2">
        <v>137544.95999999999</v>
      </c>
      <c r="P4477" s="2">
        <v>68772.479999999996</v>
      </c>
    </row>
    <row r="4478" spans="1:16" outlineLevel="1" x14ac:dyDescent="0.2">
      <c r="A4478" s="5"/>
      <c r="D4478" s="3" t="s">
        <v>699</v>
      </c>
      <c r="N4478" s="2">
        <f>SUBTOTAL(9,N4476:N4477)</f>
        <v>27</v>
      </c>
      <c r="O4478" s="2">
        <f>SUBTOTAL(9,O4476:O4477)</f>
        <v>186907.36</v>
      </c>
      <c r="P4478" s="2">
        <f>+O4478/N4478</f>
        <v>6922.4948148148142</v>
      </c>
    </row>
    <row r="4479" spans="1:16" outlineLevel="2" x14ac:dyDescent="0.2">
      <c r="A4479" s="5">
        <v>46211</v>
      </c>
      <c r="B4479" s="2">
        <v>160691</v>
      </c>
      <c r="C4479" s="2">
        <v>1</v>
      </c>
      <c r="D4479" s="2" t="s">
        <v>579</v>
      </c>
      <c r="E4479" s="2" t="s">
        <v>23</v>
      </c>
      <c r="F4479" s="2" t="s">
        <v>23</v>
      </c>
      <c r="G4479" s="2" t="s">
        <v>22</v>
      </c>
      <c r="H4479" s="2" t="s">
        <v>23</v>
      </c>
      <c r="I4479" s="2" t="s">
        <v>23</v>
      </c>
      <c r="J4479" s="2">
        <v>41</v>
      </c>
      <c r="K4479" s="2" t="s">
        <v>129</v>
      </c>
      <c r="L4479" s="2">
        <v>2338</v>
      </c>
      <c r="M4479" s="2" t="s">
        <v>417</v>
      </c>
      <c r="N4479" s="2">
        <v>320</v>
      </c>
      <c r="O4479" s="2">
        <v>263471.34000000003</v>
      </c>
      <c r="P4479" s="2">
        <v>823.35</v>
      </c>
    </row>
    <row r="4480" spans="1:16" outlineLevel="1" x14ac:dyDescent="0.2">
      <c r="A4480" s="5"/>
      <c r="D4480" s="3" t="s">
        <v>800</v>
      </c>
      <c r="N4480" s="2">
        <f>SUBTOTAL(9,N4479:N4479)</f>
        <v>320</v>
      </c>
      <c r="O4480" s="2">
        <f>SUBTOTAL(9,O4479:O4479)</f>
        <v>263471.34000000003</v>
      </c>
      <c r="P4480" s="2">
        <f>+O4480/N4480</f>
        <v>823.34793750000006</v>
      </c>
    </row>
    <row r="4481" spans="1:16" outlineLevel="2" x14ac:dyDescent="0.2">
      <c r="A4481" s="5">
        <v>46213</v>
      </c>
      <c r="B4481" s="2">
        <v>160699</v>
      </c>
      <c r="C4481" s="2">
        <v>315</v>
      </c>
      <c r="D4481" s="2" t="s">
        <v>54</v>
      </c>
      <c r="E4481" s="2" t="s">
        <v>20</v>
      </c>
      <c r="F4481" s="2" t="s">
        <v>23</v>
      </c>
      <c r="G4481" s="2" t="s">
        <v>22</v>
      </c>
      <c r="H4481" s="2" t="s">
        <v>23</v>
      </c>
      <c r="I4481" s="2" t="s">
        <v>23</v>
      </c>
      <c r="J4481" s="2">
        <v>2</v>
      </c>
      <c r="K4481" s="2" t="s">
        <v>48</v>
      </c>
      <c r="L4481" s="2">
        <v>2252</v>
      </c>
      <c r="M4481" s="2" t="s">
        <v>629</v>
      </c>
      <c r="N4481" s="2">
        <v>3</v>
      </c>
      <c r="O4481" s="2">
        <v>55100.31</v>
      </c>
      <c r="P4481" s="2">
        <v>18366.77</v>
      </c>
    </row>
    <row r="4482" spans="1:16" outlineLevel="1" x14ac:dyDescent="0.2">
      <c r="A4482" s="5"/>
      <c r="D4482" s="3" t="s">
        <v>719</v>
      </c>
      <c r="N4482" s="2">
        <f>SUBTOTAL(9,N4481:N4481)</f>
        <v>3</v>
      </c>
      <c r="O4482" s="2">
        <f>SUBTOTAL(9,O4481:O4481)</f>
        <v>55100.31</v>
      </c>
      <c r="P4482" s="2">
        <f>+O4482/N4482</f>
        <v>18366.77</v>
      </c>
    </row>
    <row r="4483" spans="1:16" outlineLevel="2" x14ac:dyDescent="0.2">
      <c r="A4483" s="5">
        <v>46211</v>
      </c>
      <c r="B4483" s="2">
        <v>160710</v>
      </c>
      <c r="C4483" s="2">
        <v>1</v>
      </c>
      <c r="D4483" s="2" t="s">
        <v>140</v>
      </c>
      <c r="E4483" s="2" t="s">
        <v>55</v>
      </c>
      <c r="F4483" s="2" t="s">
        <v>23</v>
      </c>
      <c r="G4483" s="2" t="s">
        <v>22</v>
      </c>
      <c r="H4483" s="2" t="s">
        <v>23</v>
      </c>
      <c r="I4483" s="2" t="s">
        <v>23</v>
      </c>
      <c r="J4483" s="2">
        <v>1</v>
      </c>
      <c r="K4483" s="2" t="s">
        <v>24</v>
      </c>
      <c r="L4483" s="2">
        <v>1833</v>
      </c>
      <c r="M4483" s="2" t="s">
        <v>142</v>
      </c>
      <c r="N4483" s="2">
        <v>6</v>
      </c>
      <c r="O4483" s="2">
        <v>53837.46</v>
      </c>
      <c r="P4483" s="2">
        <v>8972.91</v>
      </c>
    </row>
    <row r="4484" spans="1:16" outlineLevel="1" x14ac:dyDescent="0.2">
      <c r="A4484" s="5"/>
      <c r="D4484" s="3" t="s">
        <v>696</v>
      </c>
      <c r="N4484" s="2">
        <f>SUBTOTAL(9,N4483:N4483)</f>
        <v>6</v>
      </c>
      <c r="O4484" s="2">
        <f>SUBTOTAL(9,O4483:O4483)</f>
        <v>53837.46</v>
      </c>
      <c r="P4484" s="2">
        <f>+O4484/N4484</f>
        <v>8972.91</v>
      </c>
    </row>
    <row r="4485" spans="1:16" outlineLevel="2" x14ac:dyDescent="0.2">
      <c r="A4485" s="5">
        <v>46209</v>
      </c>
      <c r="B4485" s="2">
        <v>160712</v>
      </c>
      <c r="C4485" s="2">
        <v>1</v>
      </c>
      <c r="D4485" s="2" t="s">
        <v>38</v>
      </c>
      <c r="E4485" s="2" t="s">
        <v>39</v>
      </c>
      <c r="F4485" s="2" t="s">
        <v>63</v>
      </c>
      <c r="G4485" s="2" t="s">
        <v>22</v>
      </c>
      <c r="H4485" s="2" t="s">
        <v>23</v>
      </c>
      <c r="I4485" s="2" t="s">
        <v>116</v>
      </c>
      <c r="J4485" s="2">
        <v>1</v>
      </c>
      <c r="K4485" s="2" t="s">
        <v>24</v>
      </c>
      <c r="L4485" s="2">
        <v>1846</v>
      </c>
      <c r="M4485" s="2" t="s">
        <v>134</v>
      </c>
      <c r="N4485" s="2">
        <v>899</v>
      </c>
      <c r="O4485" s="2">
        <v>95077377.849999994</v>
      </c>
      <c r="P4485" s="2">
        <v>105759.03999999999</v>
      </c>
    </row>
    <row r="4486" spans="1:16" outlineLevel="2" x14ac:dyDescent="0.2">
      <c r="A4486" s="5">
        <v>46209</v>
      </c>
      <c r="B4486" s="2">
        <v>160712</v>
      </c>
      <c r="C4486" s="2">
        <v>2</v>
      </c>
      <c r="D4486" s="2" t="s">
        <v>38</v>
      </c>
      <c r="E4486" s="2" t="s">
        <v>39</v>
      </c>
      <c r="F4486" s="2" t="s">
        <v>63</v>
      </c>
      <c r="G4486" s="2" t="s">
        <v>22</v>
      </c>
      <c r="H4486" s="2" t="s">
        <v>23</v>
      </c>
      <c r="I4486" s="2" t="s">
        <v>135</v>
      </c>
      <c r="J4486" s="2">
        <v>1</v>
      </c>
      <c r="K4486" s="2" t="s">
        <v>24</v>
      </c>
      <c r="L4486" s="2">
        <v>1846</v>
      </c>
      <c r="M4486" s="2" t="s">
        <v>134</v>
      </c>
      <c r="N4486" s="2">
        <v>386</v>
      </c>
      <c r="O4486" s="2">
        <v>48970700.799999997</v>
      </c>
      <c r="P4486" s="2">
        <v>126867.1</v>
      </c>
    </row>
    <row r="4487" spans="1:16" outlineLevel="1" x14ac:dyDescent="0.2">
      <c r="A4487" s="5"/>
      <c r="D4487" s="3" t="s">
        <v>721</v>
      </c>
      <c r="N4487" s="2">
        <f>SUBTOTAL(9,N4485:N4486)</f>
        <v>1285</v>
      </c>
      <c r="O4487" s="2">
        <f>SUBTOTAL(9,O4485:O4486)</f>
        <v>144048078.64999998</v>
      </c>
      <c r="P4487" s="2">
        <f>+O4487/N4487</f>
        <v>112099.67210116729</v>
      </c>
    </row>
    <row r="4488" spans="1:16" outlineLevel="2" x14ac:dyDescent="0.2">
      <c r="A4488" s="5">
        <v>46210</v>
      </c>
      <c r="B4488" s="2">
        <v>160713</v>
      </c>
      <c r="C4488" s="2">
        <v>2</v>
      </c>
      <c r="D4488" s="2" t="s">
        <v>150</v>
      </c>
      <c r="E4488" s="2" t="s">
        <v>606</v>
      </c>
      <c r="F4488" s="2" t="s">
        <v>40</v>
      </c>
      <c r="G4488" s="2" t="s">
        <v>22</v>
      </c>
      <c r="H4488" s="2" t="s">
        <v>23</v>
      </c>
      <c r="I4488" s="2" t="s">
        <v>455</v>
      </c>
      <c r="J4488" s="2">
        <v>1</v>
      </c>
      <c r="K4488" s="2" t="s">
        <v>24</v>
      </c>
      <c r="L4488" s="2">
        <v>2120</v>
      </c>
      <c r="M4488" s="2" t="s">
        <v>196</v>
      </c>
      <c r="N4488" s="2">
        <v>168</v>
      </c>
      <c r="O4488" s="2">
        <v>5190614.17</v>
      </c>
      <c r="P4488" s="2">
        <v>30896.51</v>
      </c>
    </row>
    <row r="4489" spans="1:16" outlineLevel="2" x14ac:dyDescent="0.2">
      <c r="A4489" s="5">
        <v>46209</v>
      </c>
      <c r="B4489" s="2">
        <v>160713</v>
      </c>
      <c r="C4489" s="2">
        <v>3</v>
      </c>
      <c r="D4489" s="2" t="s">
        <v>150</v>
      </c>
      <c r="E4489" s="2" t="s">
        <v>608</v>
      </c>
      <c r="F4489" s="2" t="s">
        <v>40</v>
      </c>
      <c r="G4489" s="2" t="s">
        <v>22</v>
      </c>
      <c r="H4489" s="2" t="s">
        <v>23</v>
      </c>
      <c r="I4489" s="2" t="s">
        <v>36</v>
      </c>
      <c r="J4489" s="2">
        <v>1</v>
      </c>
      <c r="K4489" s="2" t="s">
        <v>24</v>
      </c>
      <c r="L4489" s="2">
        <v>2120</v>
      </c>
      <c r="M4489" s="2" t="s">
        <v>196</v>
      </c>
      <c r="N4489" s="2">
        <v>194</v>
      </c>
      <c r="O4489" s="2">
        <v>6620475.3899999997</v>
      </c>
      <c r="P4489" s="2">
        <v>34126.160000000003</v>
      </c>
    </row>
    <row r="4490" spans="1:16" outlineLevel="1" x14ac:dyDescent="0.2">
      <c r="A4490" s="5"/>
      <c r="D4490" s="3" t="s">
        <v>718</v>
      </c>
      <c r="N4490" s="2">
        <f>SUBTOTAL(9,N4488:N4489)</f>
        <v>362</v>
      </c>
      <c r="O4490" s="2">
        <f>SUBTOTAL(9,O4488:O4489)</f>
        <v>11811089.559999999</v>
      </c>
      <c r="P4490" s="2">
        <f>+O4490/N4490</f>
        <v>32627.319226519332</v>
      </c>
    </row>
    <row r="4491" spans="1:16" outlineLevel="2" x14ac:dyDescent="0.2">
      <c r="A4491" s="5">
        <v>46211</v>
      </c>
      <c r="B4491" s="2">
        <v>160713</v>
      </c>
      <c r="C4491" s="2">
        <v>5</v>
      </c>
      <c r="D4491" s="2" t="s">
        <v>630</v>
      </c>
      <c r="E4491" s="2" t="s">
        <v>151</v>
      </c>
      <c r="F4491" s="2" t="s">
        <v>23</v>
      </c>
      <c r="G4491" s="2" t="s">
        <v>22</v>
      </c>
      <c r="H4491" s="2" t="s">
        <v>23</v>
      </c>
      <c r="I4491" s="2" t="s">
        <v>180</v>
      </c>
      <c r="J4491" s="2">
        <v>1</v>
      </c>
      <c r="K4491" s="2" t="s">
        <v>24</v>
      </c>
      <c r="L4491" s="2">
        <v>2120</v>
      </c>
      <c r="M4491" s="2" t="s">
        <v>196</v>
      </c>
      <c r="N4491" s="2">
        <v>71</v>
      </c>
      <c r="O4491" s="2">
        <v>2205830.42</v>
      </c>
      <c r="P4491" s="2">
        <v>31068.03</v>
      </c>
    </row>
    <row r="4492" spans="1:16" outlineLevel="1" x14ac:dyDescent="0.2">
      <c r="A4492" s="5"/>
      <c r="D4492" s="3" t="s">
        <v>805</v>
      </c>
      <c r="N4492" s="2">
        <f>SUBTOTAL(9,N4491:N4491)</f>
        <v>71</v>
      </c>
      <c r="O4492" s="2">
        <f>SUBTOTAL(9,O4491:O4491)</f>
        <v>2205830.42</v>
      </c>
      <c r="P4492" s="2">
        <f>+O4492/N4492</f>
        <v>31068.034084507042</v>
      </c>
    </row>
    <row r="4493" spans="1:16" outlineLevel="2" x14ac:dyDescent="0.2">
      <c r="A4493" s="5">
        <v>46208</v>
      </c>
      <c r="B4493" s="2">
        <v>160714</v>
      </c>
      <c r="C4493" s="2">
        <v>1</v>
      </c>
      <c r="D4493" s="2" t="s">
        <v>150</v>
      </c>
      <c r="E4493" s="2" t="s">
        <v>606</v>
      </c>
      <c r="F4493" s="2" t="s">
        <v>40</v>
      </c>
      <c r="G4493" s="2" t="s">
        <v>22</v>
      </c>
      <c r="H4493" s="2" t="s">
        <v>23</v>
      </c>
      <c r="I4493" s="2" t="s">
        <v>320</v>
      </c>
      <c r="J4493" s="2">
        <v>1</v>
      </c>
      <c r="K4493" s="2" t="s">
        <v>24</v>
      </c>
      <c r="L4493" s="2">
        <v>25077</v>
      </c>
      <c r="M4493" s="2" t="s">
        <v>607</v>
      </c>
      <c r="N4493" s="2">
        <v>253</v>
      </c>
      <c r="O4493" s="2">
        <v>5554236.3600000003</v>
      </c>
      <c r="P4493" s="2">
        <v>21953.5</v>
      </c>
    </row>
    <row r="4494" spans="1:16" outlineLevel="2" x14ac:dyDescent="0.2">
      <c r="A4494" s="5">
        <v>46208</v>
      </c>
      <c r="B4494" s="2">
        <v>160714</v>
      </c>
      <c r="C4494" s="2">
        <v>2</v>
      </c>
      <c r="D4494" s="2" t="s">
        <v>150</v>
      </c>
      <c r="E4494" s="2" t="s">
        <v>631</v>
      </c>
      <c r="F4494" s="2" t="s">
        <v>40</v>
      </c>
      <c r="G4494" s="2" t="s">
        <v>22</v>
      </c>
      <c r="H4494" s="2" t="s">
        <v>23</v>
      </c>
      <c r="I4494" s="2" t="s">
        <v>455</v>
      </c>
      <c r="J4494" s="2">
        <v>1</v>
      </c>
      <c r="K4494" s="2" t="s">
        <v>24</v>
      </c>
      <c r="L4494" s="2">
        <v>25077</v>
      </c>
      <c r="M4494" s="2" t="s">
        <v>607</v>
      </c>
      <c r="N4494" s="2">
        <v>324</v>
      </c>
      <c r="O4494" s="2">
        <v>9204944.6300000008</v>
      </c>
      <c r="P4494" s="2">
        <v>28410.32</v>
      </c>
    </row>
    <row r="4495" spans="1:16" outlineLevel="2" x14ac:dyDescent="0.2">
      <c r="A4495" s="5">
        <v>46210</v>
      </c>
      <c r="B4495" s="2">
        <v>160714</v>
      </c>
      <c r="C4495" s="2">
        <v>3</v>
      </c>
      <c r="D4495" s="2" t="s">
        <v>150</v>
      </c>
      <c r="E4495" s="2" t="s">
        <v>608</v>
      </c>
      <c r="F4495" s="2" t="s">
        <v>40</v>
      </c>
      <c r="G4495" s="2" t="s">
        <v>22</v>
      </c>
      <c r="H4495" s="2" t="s">
        <v>23</v>
      </c>
      <c r="I4495" s="2" t="s">
        <v>36</v>
      </c>
      <c r="J4495" s="2">
        <v>1</v>
      </c>
      <c r="K4495" s="2" t="s">
        <v>24</v>
      </c>
      <c r="L4495" s="2">
        <v>25077</v>
      </c>
      <c r="M4495" s="2" t="s">
        <v>607</v>
      </c>
      <c r="N4495" s="2">
        <v>196</v>
      </c>
      <c r="O4495" s="2">
        <v>4819536.37</v>
      </c>
      <c r="P4495" s="2">
        <v>24589.47</v>
      </c>
    </row>
    <row r="4496" spans="1:16" outlineLevel="2" x14ac:dyDescent="0.2">
      <c r="A4496" s="5">
        <v>46246</v>
      </c>
      <c r="B4496" s="2">
        <v>160714</v>
      </c>
      <c r="C4496" s="2">
        <v>4</v>
      </c>
      <c r="D4496" s="2" t="s">
        <v>150</v>
      </c>
      <c r="E4496" s="2" t="s">
        <v>151</v>
      </c>
      <c r="F4496" s="2" t="s">
        <v>40</v>
      </c>
      <c r="G4496" s="2" t="s">
        <v>41</v>
      </c>
      <c r="H4496" s="2" t="s">
        <v>23</v>
      </c>
      <c r="I4496" s="2" t="s">
        <v>152</v>
      </c>
      <c r="J4496" s="2">
        <v>1</v>
      </c>
      <c r="K4496" s="2" t="s">
        <v>24</v>
      </c>
      <c r="L4496" s="2">
        <v>25077</v>
      </c>
      <c r="M4496" s="2" t="s">
        <v>607</v>
      </c>
      <c r="N4496" s="2">
        <v>58</v>
      </c>
      <c r="O4496" s="2">
        <v>428203.67</v>
      </c>
      <c r="P4496" s="2">
        <v>7382.82</v>
      </c>
    </row>
    <row r="4497" spans="1:16" outlineLevel="2" x14ac:dyDescent="0.2">
      <c r="A4497" s="5">
        <v>46227</v>
      </c>
      <c r="B4497" s="2">
        <v>160714</v>
      </c>
      <c r="C4497" s="2">
        <v>5</v>
      </c>
      <c r="D4497" s="2" t="s">
        <v>150</v>
      </c>
      <c r="E4497" s="2" t="s">
        <v>151</v>
      </c>
      <c r="F4497" s="2" t="s">
        <v>40</v>
      </c>
      <c r="G4497" s="2" t="s">
        <v>22</v>
      </c>
      <c r="H4497" s="2" t="s">
        <v>23</v>
      </c>
      <c r="I4497" s="2" t="s">
        <v>154</v>
      </c>
      <c r="J4497" s="2">
        <v>1</v>
      </c>
      <c r="K4497" s="2" t="s">
        <v>24</v>
      </c>
      <c r="L4497" s="2">
        <v>25077</v>
      </c>
      <c r="M4497" s="2" t="s">
        <v>607</v>
      </c>
      <c r="N4497" s="2">
        <v>2</v>
      </c>
      <c r="O4497" s="2">
        <v>59136.1</v>
      </c>
      <c r="P4497" s="2">
        <v>29568.05</v>
      </c>
    </row>
    <row r="4498" spans="1:16" outlineLevel="1" x14ac:dyDescent="0.2">
      <c r="A4498" s="5"/>
      <c r="D4498" s="3" t="s">
        <v>718</v>
      </c>
      <c r="N4498" s="2">
        <f>SUBTOTAL(9,N4493:N4497)</f>
        <v>833</v>
      </c>
      <c r="O4498" s="2">
        <f>SUBTOTAL(9,O4493:O4497)</f>
        <v>20066057.130000006</v>
      </c>
      <c r="P4498" s="2">
        <f>+O4498/N4498</f>
        <v>24088.904117647067</v>
      </c>
    </row>
    <row r="4499" spans="1:16" outlineLevel="2" x14ac:dyDescent="0.2">
      <c r="A4499" s="5">
        <v>46209</v>
      </c>
      <c r="B4499" s="2">
        <v>160718</v>
      </c>
      <c r="C4499" s="2">
        <v>1</v>
      </c>
      <c r="D4499" s="2" t="s">
        <v>45</v>
      </c>
      <c r="E4499" s="2" t="s">
        <v>125</v>
      </c>
      <c r="F4499" s="2" t="s">
        <v>63</v>
      </c>
      <c r="G4499" s="2" t="s">
        <v>22</v>
      </c>
      <c r="H4499" s="2" t="s">
        <v>23</v>
      </c>
      <c r="I4499" s="2" t="s">
        <v>23</v>
      </c>
      <c r="J4499" s="2">
        <v>40</v>
      </c>
      <c r="K4499" s="2" t="s">
        <v>43</v>
      </c>
      <c r="L4499" s="2">
        <v>21</v>
      </c>
      <c r="M4499" s="2" t="s">
        <v>118</v>
      </c>
      <c r="N4499" s="2">
        <v>195</v>
      </c>
      <c r="O4499" s="2">
        <v>8903908.0999999996</v>
      </c>
      <c r="P4499" s="2">
        <v>45661.07</v>
      </c>
    </row>
    <row r="4500" spans="1:16" outlineLevel="1" x14ac:dyDescent="0.2">
      <c r="A4500" s="5"/>
      <c r="D4500" s="3" t="s">
        <v>733</v>
      </c>
      <c r="N4500" s="2">
        <f>SUBTOTAL(9,N4499:N4499)</f>
        <v>195</v>
      </c>
      <c r="O4500" s="2">
        <f>SUBTOTAL(9,O4499:O4499)</f>
        <v>8903908.0999999996</v>
      </c>
      <c r="P4500" s="2">
        <f>+O4500/N4500</f>
        <v>45661.067179487174</v>
      </c>
    </row>
    <row r="4501" spans="1:16" outlineLevel="2" x14ac:dyDescent="0.2">
      <c r="A4501" s="5">
        <v>46218</v>
      </c>
      <c r="B4501" s="2">
        <v>160719</v>
      </c>
      <c r="C4501" s="2">
        <v>1</v>
      </c>
      <c r="D4501" s="2" t="s">
        <v>119</v>
      </c>
      <c r="E4501" s="2" t="s">
        <v>120</v>
      </c>
      <c r="F4501" s="2" t="s">
        <v>63</v>
      </c>
      <c r="G4501" s="2" t="s">
        <v>41</v>
      </c>
      <c r="H4501" s="2" t="s">
        <v>23</v>
      </c>
      <c r="I4501" s="2" t="s">
        <v>501</v>
      </c>
      <c r="J4501" s="2">
        <v>1</v>
      </c>
      <c r="K4501" s="2" t="s">
        <v>24</v>
      </c>
      <c r="L4501" s="2">
        <v>1779</v>
      </c>
      <c r="M4501" s="2" t="s">
        <v>502</v>
      </c>
      <c r="N4501" s="2">
        <v>208</v>
      </c>
      <c r="O4501" s="2">
        <v>9848039.9399999995</v>
      </c>
      <c r="P4501" s="2">
        <v>47346.35</v>
      </c>
    </row>
    <row r="4502" spans="1:16" outlineLevel="2" x14ac:dyDescent="0.2">
      <c r="A4502" s="5">
        <v>46238</v>
      </c>
      <c r="B4502" s="2">
        <v>160719</v>
      </c>
      <c r="C4502" s="2">
        <v>2</v>
      </c>
      <c r="D4502" s="2" t="s">
        <v>119</v>
      </c>
      <c r="E4502" s="2" t="s">
        <v>120</v>
      </c>
      <c r="F4502" s="2" t="s">
        <v>63</v>
      </c>
      <c r="G4502" s="2" t="s">
        <v>41</v>
      </c>
      <c r="H4502" s="2" t="s">
        <v>23</v>
      </c>
      <c r="I4502" s="2" t="s">
        <v>122</v>
      </c>
      <c r="J4502" s="2">
        <v>1</v>
      </c>
      <c r="K4502" s="2" t="s">
        <v>24</v>
      </c>
      <c r="L4502" s="2">
        <v>1779</v>
      </c>
      <c r="M4502" s="2" t="s">
        <v>502</v>
      </c>
      <c r="N4502" s="2">
        <v>178</v>
      </c>
      <c r="O4502" s="2">
        <v>8623900.3499999996</v>
      </c>
      <c r="P4502" s="2">
        <v>48448.88</v>
      </c>
    </row>
    <row r="4503" spans="1:16" outlineLevel="2" x14ac:dyDescent="0.2">
      <c r="A4503" s="5">
        <v>46230</v>
      </c>
      <c r="B4503" s="2">
        <v>160719</v>
      </c>
      <c r="C4503" s="2">
        <v>5</v>
      </c>
      <c r="D4503" s="2" t="s">
        <v>119</v>
      </c>
      <c r="E4503" s="2" t="s">
        <v>120</v>
      </c>
      <c r="F4503" s="2" t="s">
        <v>63</v>
      </c>
      <c r="G4503" s="2" t="s">
        <v>407</v>
      </c>
      <c r="H4503" s="2" t="s">
        <v>23</v>
      </c>
      <c r="I4503" s="2" t="s">
        <v>572</v>
      </c>
      <c r="J4503" s="2">
        <v>1</v>
      </c>
      <c r="K4503" s="2" t="s">
        <v>24</v>
      </c>
      <c r="L4503" s="2">
        <v>1779</v>
      </c>
      <c r="M4503" s="2" t="s">
        <v>502</v>
      </c>
      <c r="N4503" s="2">
        <v>8</v>
      </c>
      <c r="O4503" s="2">
        <v>370010.09</v>
      </c>
      <c r="P4503" s="2">
        <v>46251.26</v>
      </c>
    </row>
    <row r="4504" spans="1:16" outlineLevel="1" x14ac:dyDescent="0.2">
      <c r="A4504" s="5"/>
      <c r="D4504" s="3" t="s">
        <v>708</v>
      </c>
      <c r="N4504" s="2">
        <f>SUBTOTAL(9,N4501:N4503)</f>
        <v>394</v>
      </c>
      <c r="O4504" s="2">
        <f>SUBTOTAL(9,O4501:O4503)</f>
        <v>18841950.379999999</v>
      </c>
      <c r="P4504" s="2">
        <f>+O4504/N4504</f>
        <v>47822.209086294417</v>
      </c>
    </row>
    <row r="4505" spans="1:16" outlineLevel="2" x14ac:dyDescent="0.2">
      <c r="A4505" s="5">
        <v>46216</v>
      </c>
      <c r="B4505" s="2">
        <v>160720</v>
      </c>
      <c r="C4505" s="2">
        <v>1</v>
      </c>
      <c r="D4505" s="2" t="s">
        <v>38</v>
      </c>
      <c r="E4505" s="2" t="s">
        <v>39</v>
      </c>
      <c r="F4505" s="2" t="s">
        <v>40</v>
      </c>
      <c r="G4505" s="2" t="s">
        <v>41</v>
      </c>
      <c r="H4505" s="2" t="s">
        <v>23</v>
      </c>
      <c r="I4505" s="2" t="s">
        <v>182</v>
      </c>
      <c r="J4505" s="2">
        <v>40</v>
      </c>
      <c r="K4505" s="2" t="s">
        <v>43</v>
      </c>
      <c r="L4505" s="2">
        <v>25243</v>
      </c>
      <c r="M4505" s="2" t="s">
        <v>617</v>
      </c>
      <c r="N4505" s="2">
        <v>264</v>
      </c>
      <c r="O4505" s="2">
        <v>8286164.0199999996</v>
      </c>
      <c r="P4505" s="2">
        <v>31386.98</v>
      </c>
    </row>
    <row r="4506" spans="1:16" outlineLevel="2" x14ac:dyDescent="0.2">
      <c r="A4506" s="5">
        <v>46216</v>
      </c>
      <c r="B4506" s="2">
        <v>160720</v>
      </c>
      <c r="C4506" s="2">
        <v>2</v>
      </c>
      <c r="D4506" s="2" t="s">
        <v>38</v>
      </c>
      <c r="E4506" s="2" t="s">
        <v>39</v>
      </c>
      <c r="F4506" s="2" t="s">
        <v>40</v>
      </c>
      <c r="G4506" s="2" t="s">
        <v>41</v>
      </c>
      <c r="H4506" s="2" t="s">
        <v>23</v>
      </c>
      <c r="I4506" s="2" t="s">
        <v>184</v>
      </c>
      <c r="J4506" s="2">
        <v>40</v>
      </c>
      <c r="K4506" s="2" t="s">
        <v>43</v>
      </c>
      <c r="L4506" s="2">
        <v>25243</v>
      </c>
      <c r="M4506" s="2" t="s">
        <v>617</v>
      </c>
      <c r="N4506" s="2">
        <v>440</v>
      </c>
      <c r="O4506" s="2">
        <v>13484128.199999999</v>
      </c>
      <c r="P4506" s="2">
        <v>30645.75</v>
      </c>
    </row>
    <row r="4507" spans="1:16" outlineLevel="2" x14ac:dyDescent="0.2">
      <c r="A4507" s="5">
        <v>46216</v>
      </c>
      <c r="B4507" s="2">
        <v>160720</v>
      </c>
      <c r="C4507" s="2">
        <v>4</v>
      </c>
      <c r="D4507" s="2" t="s">
        <v>38</v>
      </c>
      <c r="E4507" s="2" t="s">
        <v>39</v>
      </c>
      <c r="F4507" s="2" t="s">
        <v>40</v>
      </c>
      <c r="G4507" s="2" t="s">
        <v>41</v>
      </c>
      <c r="H4507" s="2" t="s">
        <v>23</v>
      </c>
      <c r="I4507" s="2" t="s">
        <v>394</v>
      </c>
      <c r="J4507" s="2">
        <v>40</v>
      </c>
      <c r="K4507" s="2" t="s">
        <v>43</v>
      </c>
      <c r="L4507" s="2">
        <v>25243</v>
      </c>
      <c r="M4507" s="2" t="s">
        <v>617</v>
      </c>
      <c r="N4507" s="2">
        <v>264</v>
      </c>
      <c r="O4507" s="2">
        <v>8599909.0399999991</v>
      </c>
      <c r="P4507" s="2">
        <v>32575.41</v>
      </c>
    </row>
    <row r="4508" spans="1:16" outlineLevel="1" x14ac:dyDescent="0.2">
      <c r="A4508" s="5"/>
      <c r="D4508" s="3" t="s">
        <v>721</v>
      </c>
      <c r="N4508" s="2">
        <f>SUBTOTAL(9,N4505:N4507)</f>
        <v>968</v>
      </c>
      <c r="O4508" s="2">
        <f>SUBTOTAL(9,O4505:O4507)</f>
        <v>30370201.259999998</v>
      </c>
      <c r="P4508" s="2">
        <f>+O4508/N4508</f>
        <v>31374.174855371897</v>
      </c>
    </row>
    <row r="4509" spans="1:16" outlineLevel="2" x14ac:dyDescent="0.2">
      <c r="A4509" s="5">
        <v>46232</v>
      </c>
      <c r="B4509" s="2">
        <v>160721</v>
      </c>
      <c r="C4509" s="2">
        <v>4</v>
      </c>
      <c r="D4509" s="2" t="s">
        <v>197</v>
      </c>
      <c r="E4509" s="2" t="s">
        <v>538</v>
      </c>
      <c r="F4509" s="2" t="s">
        <v>40</v>
      </c>
      <c r="G4509" s="2" t="s">
        <v>22</v>
      </c>
      <c r="H4509" s="2" t="s">
        <v>23</v>
      </c>
      <c r="I4509" s="2" t="s">
        <v>23</v>
      </c>
      <c r="J4509" s="2">
        <v>86</v>
      </c>
      <c r="K4509" s="2" t="s">
        <v>73</v>
      </c>
      <c r="L4509" s="2">
        <v>2541</v>
      </c>
      <c r="M4509" s="2" t="s">
        <v>534</v>
      </c>
      <c r="N4509" s="2">
        <v>105</v>
      </c>
      <c r="O4509" s="2">
        <v>3878685.93</v>
      </c>
      <c r="P4509" s="2">
        <v>36939.870000000003</v>
      </c>
    </row>
    <row r="4510" spans="1:16" outlineLevel="2" x14ac:dyDescent="0.2">
      <c r="A4510" s="5">
        <v>46216</v>
      </c>
      <c r="B4510" s="2">
        <v>160721</v>
      </c>
      <c r="C4510" s="2">
        <v>5</v>
      </c>
      <c r="D4510" s="2" t="s">
        <v>197</v>
      </c>
      <c r="E4510" s="2" t="s">
        <v>584</v>
      </c>
      <c r="F4510" s="2" t="s">
        <v>40</v>
      </c>
      <c r="G4510" s="2" t="s">
        <v>22</v>
      </c>
      <c r="H4510" s="2" t="s">
        <v>23</v>
      </c>
      <c r="I4510" s="2" t="s">
        <v>23</v>
      </c>
      <c r="J4510" s="2">
        <v>1</v>
      </c>
      <c r="K4510" s="2" t="s">
        <v>24</v>
      </c>
      <c r="L4510" s="2">
        <v>2541</v>
      </c>
      <c r="M4510" s="2" t="s">
        <v>534</v>
      </c>
      <c r="N4510" s="2">
        <v>449</v>
      </c>
      <c r="O4510" s="2">
        <v>32524295.23</v>
      </c>
      <c r="P4510" s="2">
        <v>72437.179999999993</v>
      </c>
    </row>
    <row r="4511" spans="1:16" outlineLevel="1" x14ac:dyDescent="0.2">
      <c r="A4511" s="5"/>
      <c r="D4511" s="3" t="s">
        <v>734</v>
      </c>
      <c r="N4511" s="2">
        <f>SUBTOTAL(9,N4509:N4510)</f>
        <v>554</v>
      </c>
      <c r="O4511" s="2">
        <f>SUBTOTAL(9,O4509:O4510)</f>
        <v>36402981.160000004</v>
      </c>
      <c r="P4511" s="2">
        <f>+O4511/N4511</f>
        <v>65709.352274368241</v>
      </c>
    </row>
    <row r="4512" spans="1:16" outlineLevel="2" x14ac:dyDescent="0.2">
      <c r="A4512" s="5">
        <v>46210</v>
      </c>
      <c r="B4512" s="2">
        <v>160723</v>
      </c>
      <c r="C4512" s="2">
        <v>1</v>
      </c>
      <c r="D4512" s="2" t="s">
        <v>33</v>
      </c>
      <c r="E4512" s="2" t="s">
        <v>34</v>
      </c>
      <c r="F4512" s="2" t="s">
        <v>35</v>
      </c>
      <c r="G4512" s="2" t="s">
        <v>22</v>
      </c>
      <c r="H4512" s="2" t="s">
        <v>23</v>
      </c>
      <c r="I4512" s="2" t="s">
        <v>355</v>
      </c>
      <c r="J4512" s="2">
        <v>1</v>
      </c>
      <c r="K4512" s="2" t="s">
        <v>24</v>
      </c>
      <c r="L4512" s="2">
        <v>2520</v>
      </c>
      <c r="M4512" s="2" t="s">
        <v>37</v>
      </c>
      <c r="N4512" s="2">
        <v>390</v>
      </c>
      <c r="O4512" s="2">
        <v>8636752.4100000001</v>
      </c>
      <c r="P4512" s="2">
        <v>22145.52</v>
      </c>
    </row>
    <row r="4513" spans="1:16" outlineLevel="2" x14ac:dyDescent="0.2">
      <c r="A4513" s="5">
        <v>46219</v>
      </c>
      <c r="B4513" s="2">
        <v>160723</v>
      </c>
      <c r="C4513" s="2">
        <v>2</v>
      </c>
      <c r="D4513" s="2" t="s">
        <v>33</v>
      </c>
      <c r="E4513" s="2" t="s">
        <v>23</v>
      </c>
      <c r="F4513" s="2" t="s">
        <v>23</v>
      </c>
      <c r="G4513" s="2" t="s">
        <v>22</v>
      </c>
      <c r="H4513" s="2" t="s">
        <v>23</v>
      </c>
      <c r="I4513" s="2" t="s">
        <v>23</v>
      </c>
      <c r="J4513" s="2">
        <v>1</v>
      </c>
      <c r="K4513" s="2" t="s">
        <v>24</v>
      </c>
      <c r="L4513" s="2">
        <v>2520</v>
      </c>
      <c r="M4513" s="2" t="s">
        <v>37</v>
      </c>
      <c r="N4513" s="2">
        <v>50</v>
      </c>
      <c r="O4513" s="2">
        <v>1077023.78</v>
      </c>
      <c r="P4513" s="2">
        <v>21540.48</v>
      </c>
    </row>
    <row r="4514" spans="1:16" outlineLevel="2" x14ac:dyDescent="0.2">
      <c r="A4514" s="5">
        <v>46209</v>
      </c>
      <c r="B4514" s="2">
        <v>160723</v>
      </c>
      <c r="C4514" s="2">
        <v>3</v>
      </c>
      <c r="D4514" s="2" t="s">
        <v>33</v>
      </c>
      <c r="E4514" s="2" t="s">
        <v>34</v>
      </c>
      <c r="F4514" s="2" t="s">
        <v>35</v>
      </c>
      <c r="G4514" s="2" t="s">
        <v>22</v>
      </c>
      <c r="H4514" s="2" t="s">
        <v>23</v>
      </c>
      <c r="I4514" s="2" t="s">
        <v>36</v>
      </c>
      <c r="J4514" s="2">
        <v>1</v>
      </c>
      <c r="K4514" s="2" t="s">
        <v>24</v>
      </c>
      <c r="L4514" s="2">
        <v>2520</v>
      </c>
      <c r="M4514" s="2" t="s">
        <v>37</v>
      </c>
      <c r="N4514" s="2">
        <v>658</v>
      </c>
      <c r="O4514" s="2">
        <v>15016668.369999999</v>
      </c>
      <c r="P4514" s="2">
        <v>22821.68</v>
      </c>
    </row>
    <row r="4515" spans="1:16" outlineLevel="2" x14ac:dyDescent="0.2">
      <c r="A4515" s="5">
        <v>46209</v>
      </c>
      <c r="B4515" s="2">
        <v>160723</v>
      </c>
      <c r="C4515" s="2">
        <v>4</v>
      </c>
      <c r="D4515" s="2" t="s">
        <v>33</v>
      </c>
      <c r="E4515" s="2" t="s">
        <v>34</v>
      </c>
      <c r="F4515" s="2" t="s">
        <v>35</v>
      </c>
      <c r="G4515" s="2" t="s">
        <v>22</v>
      </c>
      <c r="H4515" s="2" t="s">
        <v>23</v>
      </c>
      <c r="I4515" s="2" t="s">
        <v>273</v>
      </c>
      <c r="J4515" s="2">
        <v>1</v>
      </c>
      <c r="K4515" s="2" t="s">
        <v>24</v>
      </c>
      <c r="L4515" s="2">
        <v>2520</v>
      </c>
      <c r="M4515" s="2" t="s">
        <v>37</v>
      </c>
      <c r="N4515" s="2">
        <v>170</v>
      </c>
      <c r="O4515" s="2">
        <v>3483813.37</v>
      </c>
      <c r="P4515" s="2">
        <v>20493.02</v>
      </c>
    </row>
    <row r="4516" spans="1:16" outlineLevel="1" x14ac:dyDescent="0.2">
      <c r="A4516" s="5"/>
      <c r="D4516" s="3" t="s">
        <v>705</v>
      </c>
      <c r="N4516" s="2">
        <f>SUBTOTAL(9,N4512:N4515)</f>
        <v>1268</v>
      </c>
      <c r="O4516" s="2">
        <f>SUBTOTAL(9,O4512:O4515)</f>
        <v>28214257.93</v>
      </c>
      <c r="P4516" s="2">
        <f>+O4516/N4516</f>
        <v>22250.992058359621</v>
      </c>
    </row>
    <row r="4517" spans="1:16" outlineLevel="2" x14ac:dyDescent="0.2">
      <c r="A4517" s="5">
        <v>46209</v>
      </c>
      <c r="B4517" s="2">
        <v>160724</v>
      </c>
      <c r="C4517" s="2">
        <v>2</v>
      </c>
      <c r="D4517" s="2" t="s">
        <v>226</v>
      </c>
      <c r="E4517" s="2" t="s">
        <v>585</v>
      </c>
      <c r="F4517" s="2" t="s">
        <v>289</v>
      </c>
      <c r="G4517" s="2" t="s">
        <v>22</v>
      </c>
      <c r="H4517" s="2" t="s">
        <v>23</v>
      </c>
      <c r="I4517" s="2" t="s">
        <v>23</v>
      </c>
      <c r="J4517" s="2">
        <v>2</v>
      </c>
      <c r="K4517" s="2" t="s">
        <v>48</v>
      </c>
      <c r="L4517" s="2">
        <v>106</v>
      </c>
      <c r="M4517" s="2" t="s">
        <v>486</v>
      </c>
      <c r="N4517" s="2">
        <v>16</v>
      </c>
      <c r="O4517" s="2">
        <v>204258.24</v>
      </c>
      <c r="P4517" s="2">
        <v>12766.14</v>
      </c>
    </row>
    <row r="4518" spans="1:16" outlineLevel="1" x14ac:dyDescent="0.2">
      <c r="A4518" s="5"/>
      <c r="D4518" s="3" t="s">
        <v>736</v>
      </c>
      <c r="N4518" s="2">
        <f>SUBTOTAL(9,N4517:N4517)</f>
        <v>16</v>
      </c>
      <c r="O4518" s="2">
        <f>SUBTOTAL(9,O4517:O4517)</f>
        <v>204258.24</v>
      </c>
      <c r="P4518" s="2">
        <f>+O4518/N4518</f>
        <v>12766.14</v>
      </c>
    </row>
    <row r="4519" spans="1:16" outlineLevel="2" x14ac:dyDescent="0.2">
      <c r="A4519" s="5">
        <v>46209</v>
      </c>
      <c r="B4519" s="2">
        <v>160727</v>
      </c>
      <c r="C4519" s="2">
        <v>8</v>
      </c>
      <c r="D4519" s="2" t="s">
        <v>45</v>
      </c>
      <c r="E4519" s="2" t="s">
        <v>590</v>
      </c>
      <c r="F4519" s="2" t="s">
        <v>289</v>
      </c>
      <c r="G4519" s="2" t="s">
        <v>22</v>
      </c>
      <c r="H4519" s="2" t="s">
        <v>23</v>
      </c>
      <c r="I4519" s="2" t="s">
        <v>23</v>
      </c>
      <c r="J4519" s="2">
        <v>2</v>
      </c>
      <c r="K4519" s="2" t="s">
        <v>48</v>
      </c>
      <c r="L4519" s="2">
        <v>801</v>
      </c>
      <c r="M4519" s="2" t="s">
        <v>56</v>
      </c>
      <c r="N4519" s="2">
        <v>32</v>
      </c>
      <c r="O4519" s="2">
        <v>1065657.6000000001</v>
      </c>
      <c r="P4519" s="2">
        <v>33301.800000000003</v>
      </c>
    </row>
    <row r="4520" spans="1:16" outlineLevel="2" x14ac:dyDescent="0.2">
      <c r="A4520" s="5">
        <v>46209</v>
      </c>
      <c r="B4520" s="2">
        <v>160727</v>
      </c>
      <c r="C4520" s="2">
        <v>9</v>
      </c>
      <c r="D4520" s="2" t="s">
        <v>45</v>
      </c>
      <c r="E4520" s="2" t="s">
        <v>590</v>
      </c>
      <c r="F4520" s="2" t="s">
        <v>289</v>
      </c>
      <c r="G4520" s="2" t="s">
        <v>22</v>
      </c>
      <c r="H4520" s="2" t="s">
        <v>23</v>
      </c>
      <c r="I4520" s="2" t="s">
        <v>23</v>
      </c>
      <c r="J4520" s="2">
        <v>2</v>
      </c>
      <c r="K4520" s="2" t="s">
        <v>48</v>
      </c>
      <c r="L4520" s="2">
        <v>801</v>
      </c>
      <c r="M4520" s="2" t="s">
        <v>56</v>
      </c>
      <c r="N4520" s="2">
        <v>48</v>
      </c>
      <c r="O4520" s="2">
        <v>866066.43</v>
      </c>
      <c r="P4520" s="2">
        <v>18043.05</v>
      </c>
    </row>
    <row r="4521" spans="1:16" outlineLevel="2" x14ac:dyDescent="0.2">
      <c r="A4521" s="5">
        <v>46209</v>
      </c>
      <c r="B4521" s="2">
        <v>160727</v>
      </c>
      <c r="C4521" s="2">
        <v>12</v>
      </c>
      <c r="D4521" s="2" t="s">
        <v>45</v>
      </c>
      <c r="E4521" s="2" t="s">
        <v>591</v>
      </c>
      <c r="F4521" s="2" t="s">
        <v>289</v>
      </c>
      <c r="G4521" s="2" t="s">
        <v>22</v>
      </c>
      <c r="H4521" s="2" t="s">
        <v>23</v>
      </c>
      <c r="I4521" s="2" t="s">
        <v>23</v>
      </c>
      <c r="J4521" s="2">
        <v>2</v>
      </c>
      <c r="K4521" s="2" t="s">
        <v>48</v>
      </c>
      <c r="L4521" s="2">
        <v>801</v>
      </c>
      <c r="M4521" s="2" t="s">
        <v>56</v>
      </c>
      <c r="N4521" s="2">
        <v>14</v>
      </c>
      <c r="O4521" s="2">
        <v>272069.94</v>
      </c>
      <c r="P4521" s="2">
        <v>19433.57</v>
      </c>
    </row>
    <row r="4522" spans="1:16" outlineLevel="2" x14ac:dyDescent="0.2">
      <c r="A4522" s="5">
        <v>46209</v>
      </c>
      <c r="B4522" s="2">
        <v>160727</v>
      </c>
      <c r="C4522" s="2">
        <v>13</v>
      </c>
      <c r="D4522" s="2" t="s">
        <v>45</v>
      </c>
      <c r="E4522" s="2" t="s">
        <v>598</v>
      </c>
      <c r="F4522" s="2" t="s">
        <v>289</v>
      </c>
      <c r="G4522" s="2" t="s">
        <v>22</v>
      </c>
      <c r="H4522" s="2" t="s">
        <v>23</v>
      </c>
      <c r="I4522" s="2" t="s">
        <v>23</v>
      </c>
      <c r="J4522" s="2">
        <v>2</v>
      </c>
      <c r="K4522" s="2" t="s">
        <v>48</v>
      </c>
      <c r="L4522" s="2">
        <v>801</v>
      </c>
      <c r="M4522" s="2" t="s">
        <v>56</v>
      </c>
      <c r="N4522" s="2">
        <v>22</v>
      </c>
      <c r="O4522" s="2">
        <v>452827.61</v>
      </c>
      <c r="P4522" s="2">
        <v>20583.07</v>
      </c>
    </row>
    <row r="4523" spans="1:16" outlineLevel="2" x14ac:dyDescent="0.2">
      <c r="A4523" s="5">
        <v>46209</v>
      </c>
      <c r="B4523" s="2">
        <v>160727</v>
      </c>
      <c r="C4523" s="2">
        <v>14</v>
      </c>
      <c r="D4523" s="2" t="s">
        <v>45</v>
      </c>
      <c r="E4523" s="2" t="s">
        <v>598</v>
      </c>
      <c r="F4523" s="2" t="s">
        <v>289</v>
      </c>
      <c r="G4523" s="2" t="s">
        <v>22</v>
      </c>
      <c r="H4523" s="2" t="s">
        <v>23</v>
      </c>
      <c r="I4523" s="2" t="s">
        <v>23</v>
      </c>
      <c r="J4523" s="2">
        <v>2</v>
      </c>
      <c r="K4523" s="2" t="s">
        <v>48</v>
      </c>
      <c r="L4523" s="2">
        <v>801</v>
      </c>
      <c r="M4523" s="2" t="s">
        <v>56</v>
      </c>
      <c r="N4523" s="2">
        <v>3</v>
      </c>
      <c r="O4523" s="2">
        <v>61634.41</v>
      </c>
      <c r="P4523" s="2">
        <v>20544.8</v>
      </c>
    </row>
    <row r="4524" spans="1:16" outlineLevel="2" x14ac:dyDescent="0.2">
      <c r="A4524" s="5">
        <v>46209</v>
      </c>
      <c r="B4524" s="2">
        <v>160727</v>
      </c>
      <c r="C4524" s="2">
        <v>15</v>
      </c>
      <c r="D4524" s="2" t="s">
        <v>45</v>
      </c>
      <c r="E4524" s="2" t="s">
        <v>598</v>
      </c>
      <c r="F4524" s="2" t="s">
        <v>289</v>
      </c>
      <c r="G4524" s="2" t="s">
        <v>22</v>
      </c>
      <c r="H4524" s="2" t="s">
        <v>23</v>
      </c>
      <c r="I4524" s="2" t="s">
        <v>23</v>
      </c>
      <c r="J4524" s="2">
        <v>2</v>
      </c>
      <c r="K4524" s="2" t="s">
        <v>48</v>
      </c>
      <c r="L4524" s="2">
        <v>801</v>
      </c>
      <c r="M4524" s="2" t="s">
        <v>56</v>
      </c>
      <c r="N4524" s="2">
        <v>4</v>
      </c>
      <c r="O4524" s="2">
        <v>89335.6</v>
      </c>
      <c r="P4524" s="2">
        <v>22333.9</v>
      </c>
    </row>
    <row r="4525" spans="1:16" outlineLevel="1" x14ac:dyDescent="0.2">
      <c r="A4525" s="5"/>
      <c r="D4525" s="3" t="s">
        <v>733</v>
      </c>
      <c r="N4525" s="2">
        <f>SUBTOTAL(9,N4519:N4524)</f>
        <v>123</v>
      </c>
      <c r="O4525" s="2">
        <f>SUBTOTAL(9,O4519:O4524)</f>
        <v>2807591.5900000003</v>
      </c>
      <c r="P4525" s="2">
        <f>+O4525/N4525</f>
        <v>22825.947886178863</v>
      </c>
    </row>
    <row r="4526" spans="1:16" outlineLevel="2" x14ac:dyDescent="0.2">
      <c r="A4526" s="5">
        <v>46209</v>
      </c>
      <c r="B4526" s="2">
        <v>160727</v>
      </c>
      <c r="C4526" s="2">
        <v>20</v>
      </c>
      <c r="D4526" s="2" t="s">
        <v>226</v>
      </c>
      <c r="E4526" s="2" t="s">
        <v>581</v>
      </c>
      <c r="F4526" s="2" t="s">
        <v>289</v>
      </c>
      <c r="G4526" s="2" t="s">
        <v>22</v>
      </c>
      <c r="H4526" s="2" t="s">
        <v>23</v>
      </c>
      <c r="I4526" s="2" t="s">
        <v>23</v>
      </c>
      <c r="J4526" s="2">
        <v>2</v>
      </c>
      <c r="K4526" s="2" t="s">
        <v>48</v>
      </c>
      <c r="L4526" s="2">
        <v>801</v>
      </c>
      <c r="M4526" s="2" t="s">
        <v>56</v>
      </c>
      <c r="N4526" s="2">
        <v>81</v>
      </c>
      <c r="O4526" s="2">
        <v>1961566.82</v>
      </c>
      <c r="P4526" s="2">
        <v>24216.87</v>
      </c>
    </row>
    <row r="4527" spans="1:16" outlineLevel="2" x14ac:dyDescent="0.2">
      <c r="A4527" s="5">
        <v>46209</v>
      </c>
      <c r="B4527" s="2">
        <v>160727</v>
      </c>
      <c r="C4527" s="2">
        <v>22</v>
      </c>
      <c r="D4527" s="2" t="s">
        <v>226</v>
      </c>
      <c r="E4527" s="2" t="s">
        <v>568</v>
      </c>
      <c r="F4527" s="2" t="s">
        <v>289</v>
      </c>
      <c r="G4527" s="2" t="s">
        <v>22</v>
      </c>
      <c r="H4527" s="2" t="s">
        <v>23</v>
      </c>
      <c r="I4527" s="2" t="s">
        <v>23</v>
      </c>
      <c r="J4527" s="2">
        <v>2</v>
      </c>
      <c r="K4527" s="2" t="s">
        <v>48</v>
      </c>
      <c r="L4527" s="2">
        <v>801</v>
      </c>
      <c r="M4527" s="2" t="s">
        <v>56</v>
      </c>
      <c r="N4527" s="2">
        <v>24</v>
      </c>
      <c r="O4527" s="2">
        <v>565778.06999999995</v>
      </c>
      <c r="P4527" s="2">
        <v>23574.09</v>
      </c>
    </row>
    <row r="4528" spans="1:16" outlineLevel="1" x14ac:dyDescent="0.2">
      <c r="A4528" s="5"/>
      <c r="D4528" s="3" t="s">
        <v>736</v>
      </c>
      <c r="N4528" s="2">
        <f>SUBTOTAL(9,N4526:N4527)</f>
        <v>105</v>
      </c>
      <c r="O4528" s="2">
        <f>SUBTOTAL(9,O4526:O4527)</f>
        <v>2527344.89</v>
      </c>
      <c r="P4528" s="2">
        <f>+O4528/N4528</f>
        <v>24069.951333333334</v>
      </c>
    </row>
    <row r="4529" spans="1:16" outlineLevel="2" x14ac:dyDescent="0.2">
      <c r="A4529" s="5">
        <v>46213</v>
      </c>
      <c r="B4529" s="2">
        <v>160727</v>
      </c>
      <c r="C4529" s="2">
        <v>315</v>
      </c>
      <c r="D4529" s="2" t="s">
        <v>54</v>
      </c>
      <c r="E4529" s="2" t="s">
        <v>30</v>
      </c>
      <c r="F4529" s="2" t="s">
        <v>23</v>
      </c>
      <c r="G4529" s="2" t="s">
        <v>22</v>
      </c>
      <c r="H4529" s="2" t="s">
        <v>23</v>
      </c>
      <c r="I4529" s="2" t="s">
        <v>23</v>
      </c>
      <c r="J4529" s="2">
        <v>2</v>
      </c>
      <c r="K4529" s="2" t="s">
        <v>48</v>
      </c>
      <c r="L4529" s="2">
        <v>801</v>
      </c>
      <c r="M4529" s="2" t="s">
        <v>56</v>
      </c>
      <c r="N4529" s="2">
        <v>42</v>
      </c>
      <c r="O4529" s="2">
        <v>1161359.4099999999</v>
      </c>
      <c r="P4529" s="2">
        <v>27651.41</v>
      </c>
    </row>
    <row r="4530" spans="1:16" outlineLevel="2" x14ac:dyDescent="0.2">
      <c r="A4530" s="5">
        <v>46218</v>
      </c>
      <c r="B4530" s="2">
        <v>160727</v>
      </c>
      <c r="C4530" s="2">
        <v>320</v>
      </c>
      <c r="D4530" s="2" t="s">
        <v>54</v>
      </c>
      <c r="E4530" s="2" t="s">
        <v>30</v>
      </c>
      <c r="F4530" s="2" t="s">
        <v>289</v>
      </c>
      <c r="G4530" s="2" t="s">
        <v>22</v>
      </c>
      <c r="H4530" s="2" t="s">
        <v>23</v>
      </c>
      <c r="I4530" s="2" t="s">
        <v>23</v>
      </c>
      <c r="J4530" s="2">
        <v>2</v>
      </c>
      <c r="K4530" s="2" t="s">
        <v>48</v>
      </c>
      <c r="L4530" s="2">
        <v>801</v>
      </c>
      <c r="M4530" s="2" t="s">
        <v>56</v>
      </c>
      <c r="N4530" s="2">
        <v>4</v>
      </c>
      <c r="O4530" s="2">
        <v>83734.960000000006</v>
      </c>
      <c r="P4530" s="2">
        <v>20933.740000000002</v>
      </c>
    </row>
    <row r="4531" spans="1:16" outlineLevel="1" x14ac:dyDescent="0.2">
      <c r="A4531" s="5"/>
      <c r="D4531" s="3" t="s">
        <v>719</v>
      </c>
      <c r="N4531" s="2">
        <f>SUBTOTAL(9,N4529:N4530)</f>
        <v>46</v>
      </c>
      <c r="O4531" s="2">
        <f>SUBTOTAL(9,O4529:O4530)</f>
        <v>1245094.3699999999</v>
      </c>
      <c r="P4531" s="2">
        <f>+O4531/N4531</f>
        <v>27067.268913043477</v>
      </c>
    </row>
    <row r="4532" spans="1:16" outlineLevel="2" x14ac:dyDescent="0.2">
      <c r="A4532" s="5">
        <v>46220</v>
      </c>
      <c r="B4532" s="2">
        <v>160732</v>
      </c>
      <c r="C4532" s="2">
        <v>300</v>
      </c>
      <c r="D4532" s="2" t="s">
        <v>57</v>
      </c>
      <c r="E4532" s="2" t="s">
        <v>58</v>
      </c>
      <c r="F4532" s="2" t="s">
        <v>55</v>
      </c>
      <c r="G4532" s="2" t="s">
        <v>23</v>
      </c>
      <c r="H4532" s="2" t="s">
        <v>23</v>
      </c>
      <c r="I4532" s="2" t="s">
        <v>23</v>
      </c>
      <c r="J4532" s="2">
        <v>1</v>
      </c>
      <c r="K4532" s="2" t="s">
        <v>24</v>
      </c>
      <c r="L4532" s="2">
        <v>2316</v>
      </c>
      <c r="M4532" s="2" t="s">
        <v>206</v>
      </c>
      <c r="N4532" s="2">
        <v>1</v>
      </c>
      <c r="O4532" s="2">
        <v>27701.17</v>
      </c>
      <c r="P4532" s="2">
        <v>27701.17</v>
      </c>
    </row>
    <row r="4533" spans="1:16" outlineLevel="1" x14ac:dyDescent="0.2">
      <c r="A4533" s="5"/>
      <c r="D4533" s="3" t="s">
        <v>716</v>
      </c>
      <c r="N4533" s="2">
        <f>SUBTOTAL(9,N4532:N4532)</f>
        <v>1</v>
      </c>
      <c r="O4533" s="2">
        <f>SUBTOTAL(9,O4532:O4532)</f>
        <v>27701.17</v>
      </c>
      <c r="P4533" s="2">
        <f>+O4533/N4533</f>
        <v>27701.17</v>
      </c>
    </row>
    <row r="4534" spans="1:16" outlineLevel="2" x14ac:dyDescent="0.2">
      <c r="A4534" s="5">
        <v>46216</v>
      </c>
      <c r="B4534" s="2">
        <v>160742</v>
      </c>
      <c r="C4534" s="2">
        <v>1</v>
      </c>
      <c r="D4534" s="2" t="s">
        <v>140</v>
      </c>
      <c r="E4534" s="2" t="s">
        <v>55</v>
      </c>
      <c r="F4534" s="2" t="s">
        <v>23</v>
      </c>
      <c r="G4534" s="2" t="s">
        <v>23</v>
      </c>
      <c r="H4534" s="2" t="s">
        <v>23</v>
      </c>
      <c r="I4534" s="2" t="s">
        <v>23</v>
      </c>
      <c r="J4534" s="2">
        <v>1</v>
      </c>
      <c r="K4534" s="2" t="s">
        <v>24</v>
      </c>
      <c r="L4534" s="2">
        <v>1503</v>
      </c>
      <c r="M4534" s="2" t="s">
        <v>603</v>
      </c>
      <c r="N4534" s="2">
        <v>3</v>
      </c>
      <c r="O4534" s="2">
        <v>27097.17</v>
      </c>
      <c r="P4534" s="2">
        <v>9032.39</v>
      </c>
    </row>
    <row r="4535" spans="1:16" outlineLevel="1" x14ac:dyDescent="0.2">
      <c r="A4535" s="5"/>
      <c r="D4535" s="3" t="s">
        <v>696</v>
      </c>
      <c r="N4535" s="2">
        <f>SUBTOTAL(9,N4534:N4534)</f>
        <v>3</v>
      </c>
      <c r="O4535" s="2">
        <f>SUBTOTAL(9,O4534:O4534)</f>
        <v>27097.17</v>
      </c>
      <c r="P4535" s="2">
        <f>+O4535/N4535</f>
        <v>9032.39</v>
      </c>
    </row>
    <row r="4536" spans="1:16" outlineLevel="2" x14ac:dyDescent="0.2">
      <c r="A4536" s="5">
        <v>46218</v>
      </c>
      <c r="B4536" s="2">
        <v>160743</v>
      </c>
      <c r="C4536" s="2">
        <v>1</v>
      </c>
      <c r="D4536" s="2" t="s">
        <v>38</v>
      </c>
      <c r="E4536" s="2" t="s">
        <v>39</v>
      </c>
      <c r="F4536" s="2" t="s">
        <v>40</v>
      </c>
      <c r="G4536" s="2" t="s">
        <v>41</v>
      </c>
      <c r="H4536" s="2" t="s">
        <v>23</v>
      </c>
      <c r="I4536" s="2" t="s">
        <v>182</v>
      </c>
      <c r="J4536" s="2">
        <v>40</v>
      </c>
      <c r="K4536" s="2" t="s">
        <v>43</v>
      </c>
      <c r="L4536" s="2">
        <v>1502</v>
      </c>
      <c r="M4536" s="2" t="s">
        <v>114</v>
      </c>
      <c r="N4536" s="2">
        <v>632</v>
      </c>
      <c r="O4536" s="2">
        <v>19362303.41</v>
      </c>
      <c r="P4536" s="2">
        <v>30636.560000000001</v>
      </c>
    </row>
    <row r="4537" spans="1:16" outlineLevel="2" x14ac:dyDescent="0.2">
      <c r="A4537" s="5">
        <v>46218</v>
      </c>
      <c r="B4537" s="2">
        <v>160743</v>
      </c>
      <c r="C4537" s="2">
        <v>2</v>
      </c>
      <c r="D4537" s="2" t="s">
        <v>38</v>
      </c>
      <c r="E4537" s="2" t="s">
        <v>39</v>
      </c>
      <c r="F4537" s="2" t="s">
        <v>40</v>
      </c>
      <c r="G4537" s="2" t="s">
        <v>41</v>
      </c>
      <c r="H4537" s="2" t="s">
        <v>23</v>
      </c>
      <c r="I4537" s="2" t="s">
        <v>184</v>
      </c>
      <c r="J4537" s="2">
        <v>40</v>
      </c>
      <c r="K4537" s="2" t="s">
        <v>43</v>
      </c>
      <c r="L4537" s="2">
        <v>1502</v>
      </c>
      <c r="M4537" s="2" t="s">
        <v>114</v>
      </c>
      <c r="N4537" s="2">
        <v>440</v>
      </c>
      <c r="O4537" s="2">
        <v>14053470.300000001</v>
      </c>
      <c r="P4537" s="2">
        <v>31939.71</v>
      </c>
    </row>
    <row r="4538" spans="1:16" outlineLevel="2" x14ac:dyDescent="0.2">
      <c r="A4538" s="5">
        <v>46216</v>
      </c>
      <c r="B4538" s="2">
        <v>160743</v>
      </c>
      <c r="C4538" s="2">
        <v>3</v>
      </c>
      <c r="D4538" s="2" t="s">
        <v>38</v>
      </c>
      <c r="E4538" s="2" t="s">
        <v>39</v>
      </c>
      <c r="F4538" s="2" t="s">
        <v>40</v>
      </c>
      <c r="G4538" s="2" t="s">
        <v>41</v>
      </c>
      <c r="H4538" s="2" t="s">
        <v>23</v>
      </c>
      <c r="I4538" s="2" t="s">
        <v>614</v>
      </c>
      <c r="J4538" s="2">
        <v>40</v>
      </c>
      <c r="K4538" s="2" t="s">
        <v>43</v>
      </c>
      <c r="L4538" s="2">
        <v>1502</v>
      </c>
      <c r="M4538" s="2" t="s">
        <v>114</v>
      </c>
      <c r="N4538" s="2">
        <v>264</v>
      </c>
      <c r="O4538" s="2">
        <v>7349796.9199999999</v>
      </c>
      <c r="P4538" s="2">
        <v>27840.14</v>
      </c>
    </row>
    <row r="4539" spans="1:16" outlineLevel="2" x14ac:dyDescent="0.2">
      <c r="A4539" s="5">
        <v>46216</v>
      </c>
      <c r="B4539" s="2">
        <v>160743</v>
      </c>
      <c r="C4539" s="2">
        <v>4</v>
      </c>
      <c r="D4539" s="2" t="s">
        <v>38</v>
      </c>
      <c r="E4539" s="2" t="s">
        <v>39</v>
      </c>
      <c r="F4539" s="2" t="s">
        <v>40</v>
      </c>
      <c r="G4539" s="2" t="s">
        <v>41</v>
      </c>
      <c r="H4539" s="2" t="s">
        <v>23</v>
      </c>
      <c r="I4539" s="2" t="s">
        <v>113</v>
      </c>
      <c r="J4539" s="2">
        <v>40</v>
      </c>
      <c r="K4539" s="2" t="s">
        <v>43</v>
      </c>
      <c r="L4539" s="2">
        <v>1502</v>
      </c>
      <c r="M4539" s="2" t="s">
        <v>114</v>
      </c>
      <c r="N4539" s="2">
        <v>88</v>
      </c>
      <c r="O4539" s="2">
        <v>2712114.09</v>
      </c>
      <c r="P4539" s="2">
        <v>30819.48</v>
      </c>
    </row>
    <row r="4540" spans="1:16" outlineLevel="1" x14ac:dyDescent="0.2">
      <c r="A4540" s="5"/>
      <c r="D4540" s="3" t="s">
        <v>721</v>
      </c>
      <c r="N4540" s="2">
        <f>SUBTOTAL(9,N4536:N4539)</f>
        <v>1424</v>
      </c>
      <c r="O4540" s="2">
        <f>SUBTOTAL(9,O4536:O4539)</f>
        <v>43477684.719999999</v>
      </c>
      <c r="P4540" s="2">
        <f>+O4540/N4540</f>
        <v>30532.081966292135</v>
      </c>
    </row>
    <row r="4541" spans="1:16" outlineLevel="2" x14ac:dyDescent="0.2">
      <c r="A4541" s="5">
        <v>46216</v>
      </c>
      <c r="B4541" s="2">
        <v>160754</v>
      </c>
      <c r="C4541" s="2">
        <v>303</v>
      </c>
      <c r="D4541" s="2" t="s">
        <v>203</v>
      </c>
      <c r="E4541" s="2" t="s">
        <v>125</v>
      </c>
      <c r="F4541" s="2" t="s">
        <v>55</v>
      </c>
      <c r="G4541" s="2" t="s">
        <v>23</v>
      </c>
      <c r="H4541" s="2" t="s">
        <v>23</v>
      </c>
      <c r="I4541" s="2" t="s">
        <v>23</v>
      </c>
      <c r="J4541" s="2">
        <v>2</v>
      </c>
      <c r="K4541" s="2" t="s">
        <v>48</v>
      </c>
      <c r="L4541" s="2">
        <v>600</v>
      </c>
      <c r="M4541" s="2" t="s">
        <v>112</v>
      </c>
      <c r="N4541" s="2">
        <v>15</v>
      </c>
      <c r="O4541" s="2">
        <v>9471.6</v>
      </c>
      <c r="P4541" s="2">
        <v>631.44000000000005</v>
      </c>
    </row>
    <row r="4542" spans="1:16" outlineLevel="1" x14ac:dyDescent="0.2">
      <c r="A4542" s="5"/>
      <c r="D4542" s="3" t="s">
        <v>735</v>
      </c>
      <c r="N4542" s="2">
        <f>SUBTOTAL(9,N4541:N4541)</f>
        <v>15</v>
      </c>
      <c r="O4542" s="2">
        <f>SUBTOTAL(9,O4541:O4541)</f>
        <v>9471.6</v>
      </c>
      <c r="P4542" s="2">
        <f>+O4542/N4542</f>
        <v>631.44000000000005</v>
      </c>
    </row>
    <row r="4543" spans="1:16" outlineLevel="2" x14ac:dyDescent="0.2">
      <c r="A4543" s="5">
        <v>46232</v>
      </c>
      <c r="B4543" s="2">
        <v>160758</v>
      </c>
      <c r="C4543" s="2">
        <v>1</v>
      </c>
      <c r="D4543" s="2" t="s">
        <v>632</v>
      </c>
      <c r="E4543" s="2" t="s">
        <v>23</v>
      </c>
      <c r="F4543" s="2" t="s">
        <v>47</v>
      </c>
      <c r="G4543" s="2" t="s">
        <v>22</v>
      </c>
      <c r="H4543" s="2" t="s">
        <v>23</v>
      </c>
      <c r="I4543" s="2" t="s">
        <v>23</v>
      </c>
      <c r="J4543" s="2">
        <v>2</v>
      </c>
      <c r="K4543" s="2" t="s">
        <v>48</v>
      </c>
      <c r="L4543" s="2">
        <v>492</v>
      </c>
      <c r="M4543" s="2" t="s">
        <v>269</v>
      </c>
      <c r="N4543" s="2">
        <v>1</v>
      </c>
      <c r="O4543" s="2">
        <v>4365.1899999999996</v>
      </c>
      <c r="P4543" s="2">
        <v>4365.1899999999996</v>
      </c>
    </row>
    <row r="4544" spans="1:16" outlineLevel="1" x14ac:dyDescent="0.2">
      <c r="A4544" s="5"/>
      <c r="D4544" s="3" t="s">
        <v>806</v>
      </c>
      <c r="N4544" s="2">
        <f>SUBTOTAL(9,N4543:N4543)</f>
        <v>1</v>
      </c>
      <c r="O4544" s="2">
        <f>SUBTOTAL(9,O4543:O4543)</f>
        <v>4365.1899999999996</v>
      </c>
      <c r="P4544" s="2">
        <f>+O4544/N4544</f>
        <v>4365.1899999999996</v>
      </c>
    </row>
    <row r="4545" spans="1:16" outlineLevel="2" x14ac:dyDescent="0.2">
      <c r="A4545" s="5">
        <v>46213</v>
      </c>
      <c r="B4545" s="2">
        <v>160760</v>
      </c>
      <c r="C4545" s="2">
        <v>1</v>
      </c>
      <c r="D4545" s="2" t="s">
        <v>38</v>
      </c>
      <c r="E4545" s="2" t="s">
        <v>39</v>
      </c>
      <c r="F4545" s="2" t="s">
        <v>144</v>
      </c>
      <c r="G4545" s="2" t="s">
        <v>22</v>
      </c>
      <c r="H4545" s="2" t="s">
        <v>23</v>
      </c>
      <c r="I4545" s="2" t="s">
        <v>23</v>
      </c>
      <c r="J4545" s="2">
        <v>1</v>
      </c>
      <c r="K4545" s="2" t="s">
        <v>24</v>
      </c>
      <c r="L4545" s="2">
        <v>25101</v>
      </c>
      <c r="M4545" s="2" t="s">
        <v>473</v>
      </c>
      <c r="N4545" s="2">
        <v>76</v>
      </c>
      <c r="O4545" s="2">
        <v>1321560.21</v>
      </c>
      <c r="P4545" s="2">
        <v>17388.95</v>
      </c>
    </row>
    <row r="4546" spans="1:16" outlineLevel="1" x14ac:dyDescent="0.2">
      <c r="A4546" s="5"/>
      <c r="D4546" s="3" t="s">
        <v>721</v>
      </c>
      <c r="N4546" s="2">
        <f>SUBTOTAL(9,N4545:N4545)</f>
        <v>76</v>
      </c>
      <c r="O4546" s="2">
        <f>SUBTOTAL(9,O4545:O4545)</f>
        <v>1321560.21</v>
      </c>
      <c r="P4546" s="2">
        <f>+O4546/N4546</f>
        <v>17388.950131578946</v>
      </c>
    </row>
    <row r="4547" spans="1:16" outlineLevel="2" x14ac:dyDescent="0.2">
      <c r="A4547" s="5">
        <v>46213</v>
      </c>
      <c r="B4547" s="2">
        <v>160761</v>
      </c>
      <c r="C4547" s="2">
        <v>1</v>
      </c>
      <c r="D4547" s="2" t="s">
        <v>140</v>
      </c>
      <c r="E4547" s="2" t="s">
        <v>23</v>
      </c>
      <c r="F4547" s="2" t="s">
        <v>108</v>
      </c>
      <c r="G4547" s="2" t="s">
        <v>22</v>
      </c>
      <c r="H4547" s="2" t="s">
        <v>23</v>
      </c>
      <c r="I4547" s="2" t="s">
        <v>23</v>
      </c>
      <c r="J4547" s="2">
        <v>1</v>
      </c>
      <c r="K4547" s="2" t="s">
        <v>24</v>
      </c>
      <c r="L4547" s="2">
        <v>1503</v>
      </c>
      <c r="M4547" s="2" t="s">
        <v>603</v>
      </c>
      <c r="N4547" s="2">
        <v>53</v>
      </c>
      <c r="O4547" s="2">
        <v>1366719.12</v>
      </c>
      <c r="P4547" s="2">
        <v>25787.15</v>
      </c>
    </row>
    <row r="4548" spans="1:16" outlineLevel="1" x14ac:dyDescent="0.2">
      <c r="A4548" s="5"/>
      <c r="D4548" s="3" t="s">
        <v>696</v>
      </c>
      <c r="N4548" s="2">
        <f>SUBTOTAL(9,N4547:N4547)</f>
        <v>53</v>
      </c>
      <c r="O4548" s="2">
        <f>SUBTOTAL(9,O4547:O4547)</f>
        <v>1366719.12</v>
      </c>
      <c r="P4548" s="2">
        <f>+O4548/N4548</f>
        <v>25787.153207547173</v>
      </c>
    </row>
    <row r="4549" spans="1:16" outlineLevel="2" x14ac:dyDescent="0.2">
      <c r="A4549" s="5">
        <v>46213</v>
      </c>
      <c r="B4549" s="2">
        <v>160762</v>
      </c>
      <c r="C4549" s="2">
        <v>1</v>
      </c>
      <c r="D4549" s="2" t="s">
        <v>207</v>
      </c>
      <c r="E4549" s="2" t="s">
        <v>23</v>
      </c>
      <c r="F4549" s="2" t="s">
        <v>23</v>
      </c>
      <c r="G4549" s="2" t="s">
        <v>22</v>
      </c>
      <c r="H4549" s="2" t="s">
        <v>208</v>
      </c>
      <c r="I4549" s="2" t="s">
        <v>23</v>
      </c>
      <c r="J4549" s="2">
        <v>41</v>
      </c>
      <c r="K4549" s="2" t="s">
        <v>129</v>
      </c>
      <c r="L4549" s="2">
        <v>25213</v>
      </c>
      <c r="M4549" s="2" t="s">
        <v>130</v>
      </c>
      <c r="N4549" s="2">
        <v>25</v>
      </c>
      <c r="O4549" s="2">
        <v>85793.75</v>
      </c>
      <c r="P4549" s="2">
        <v>3431.75</v>
      </c>
    </row>
    <row r="4550" spans="1:16" outlineLevel="2" x14ac:dyDescent="0.2">
      <c r="A4550" s="5">
        <v>46213</v>
      </c>
      <c r="B4550" s="2">
        <v>160762</v>
      </c>
      <c r="C4550" s="2">
        <v>2</v>
      </c>
      <c r="D4550" s="2" t="s">
        <v>207</v>
      </c>
      <c r="E4550" s="2" t="s">
        <v>23</v>
      </c>
      <c r="F4550" s="2" t="s">
        <v>23</v>
      </c>
      <c r="G4550" s="2" t="s">
        <v>22</v>
      </c>
      <c r="H4550" s="2" t="s">
        <v>209</v>
      </c>
      <c r="I4550" s="2" t="s">
        <v>23</v>
      </c>
      <c r="J4550" s="2">
        <v>41</v>
      </c>
      <c r="K4550" s="2" t="s">
        <v>129</v>
      </c>
      <c r="L4550" s="2">
        <v>25213</v>
      </c>
      <c r="M4550" s="2" t="s">
        <v>130</v>
      </c>
      <c r="N4550" s="2">
        <v>23</v>
      </c>
      <c r="O4550" s="2">
        <v>65395.6</v>
      </c>
      <c r="P4550" s="2">
        <v>2843.29</v>
      </c>
    </row>
    <row r="4551" spans="1:16" outlineLevel="1" x14ac:dyDescent="0.2">
      <c r="A4551" s="5"/>
      <c r="D4551" s="3" t="s">
        <v>699</v>
      </c>
      <c r="N4551" s="2">
        <f>SUBTOTAL(9,N4549:N4550)</f>
        <v>48</v>
      </c>
      <c r="O4551" s="2">
        <f>SUBTOTAL(9,O4549:O4550)</f>
        <v>151189.35</v>
      </c>
      <c r="P4551" s="2">
        <f>+O4551/N4551</f>
        <v>3149.7781250000003</v>
      </c>
    </row>
    <row r="4552" spans="1:16" outlineLevel="2" x14ac:dyDescent="0.2">
      <c r="A4552" s="5">
        <v>46213</v>
      </c>
      <c r="B4552" s="2">
        <v>160762</v>
      </c>
      <c r="C4552" s="2">
        <v>3</v>
      </c>
      <c r="D4552" s="2" t="s">
        <v>128</v>
      </c>
      <c r="E4552" s="2" t="s">
        <v>23</v>
      </c>
      <c r="F4552" s="2" t="s">
        <v>23</v>
      </c>
      <c r="G4552" s="2" t="s">
        <v>22</v>
      </c>
      <c r="H4552" s="2" t="s">
        <v>23</v>
      </c>
      <c r="I4552" s="2" t="s">
        <v>23</v>
      </c>
      <c r="J4552" s="2">
        <v>41</v>
      </c>
      <c r="K4552" s="2" t="s">
        <v>129</v>
      </c>
      <c r="L4552" s="2">
        <v>25213</v>
      </c>
      <c r="M4552" s="2" t="s">
        <v>130</v>
      </c>
      <c r="N4552" s="2">
        <v>50</v>
      </c>
      <c r="O4552" s="2">
        <v>186709.5</v>
      </c>
      <c r="P4552" s="2">
        <v>3734.19</v>
      </c>
    </row>
    <row r="4553" spans="1:16" outlineLevel="2" x14ac:dyDescent="0.2">
      <c r="A4553" s="5">
        <v>46213</v>
      </c>
      <c r="B4553" s="2">
        <v>160762</v>
      </c>
      <c r="C4553" s="2">
        <v>4</v>
      </c>
      <c r="D4553" s="2" t="s">
        <v>128</v>
      </c>
      <c r="E4553" s="2" t="s">
        <v>23</v>
      </c>
      <c r="F4553" s="2" t="s">
        <v>23</v>
      </c>
      <c r="G4553" s="2" t="s">
        <v>22</v>
      </c>
      <c r="H4553" s="2" t="s">
        <v>23</v>
      </c>
      <c r="I4553" s="2" t="s">
        <v>23</v>
      </c>
      <c r="J4553" s="2">
        <v>1</v>
      </c>
      <c r="K4553" s="2" t="s">
        <v>24</v>
      </c>
      <c r="L4553" s="2">
        <v>25213</v>
      </c>
      <c r="M4553" s="2" t="s">
        <v>130</v>
      </c>
      <c r="N4553" s="2">
        <v>5</v>
      </c>
      <c r="O4553" s="2">
        <v>453074.73</v>
      </c>
      <c r="P4553" s="2">
        <v>90614.95</v>
      </c>
    </row>
    <row r="4554" spans="1:16" outlineLevel="1" x14ac:dyDescent="0.2">
      <c r="A4554" s="5"/>
      <c r="D4554" s="3" t="s">
        <v>732</v>
      </c>
      <c r="N4554" s="2">
        <f>SUBTOTAL(9,N4552:N4553)</f>
        <v>55</v>
      </c>
      <c r="O4554" s="2">
        <f>SUBTOTAL(9,O4552:O4553)</f>
        <v>639784.23</v>
      </c>
      <c r="P4554" s="2">
        <f>+O4554/N4554</f>
        <v>11632.440545454545</v>
      </c>
    </row>
    <row r="4555" spans="1:16" outlineLevel="2" x14ac:dyDescent="0.2">
      <c r="A4555" s="5">
        <v>46213</v>
      </c>
      <c r="B4555" s="2">
        <v>160762</v>
      </c>
      <c r="C4555" s="2">
        <v>5</v>
      </c>
      <c r="D4555" s="2" t="s">
        <v>207</v>
      </c>
      <c r="E4555" s="2" t="s">
        <v>23</v>
      </c>
      <c r="F4555" s="2" t="s">
        <v>23</v>
      </c>
      <c r="G4555" s="2" t="s">
        <v>22</v>
      </c>
      <c r="H4555" s="2" t="s">
        <v>23</v>
      </c>
      <c r="I4555" s="2" t="s">
        <v>23</v>
      </c>
      <c r="J4555" s="2">
        <v>1</v>
      </c>
      <c r="K4555" s="2" t="s">
        <v>24</v>
      </c>
      <c r="L4555" s="2">
        <v>25213</v>
      </c>
      <c r="M4555" s="2" t="s">
        <v>130</v>
      </c>
      <c r="N4555" s="2">
        <v>5</v>
      </c>
      <c r="O4555" s="2">
        <v>420404.37</v>
      </c>
      <c r="P4555" s="2">
        <v>84080.87</v>
      </c>
    </row>
    <row r="4556" spans="1:16" outlineLevel="2" x14ac:dyDescent="0.2">
      <c r="A4556" s="5">
        <v>46213</v>
      </c>
      <c r="B4556" s="2">
        <v>160762</v>
      </c>
      <c r="C4556" s="2">
        <v>6</v>
      </c>
      <c r="D4556" s="2" t="s">
        <v>207</v>
      </c>
      <c r="E4556" s="2" t="s">
        <v>527</v>
      </c>
      <c r="F4556" s="2" t="s">
        <v>23</v>
      </c>
      <c r="G4556" s="2" t="s">
        <v>527</v>
      </c>
      <c r="H4556" s="2" t="s">
        <v>23</v>
      </c>
      <c r="I4556" s="2" t="s">
        <v>23</v>
      </c>
      <c r="J4556" s="2">
        <v>1</v>
      </c>
      <c r="K4556" s="2" t="s">
        <v>24</v>
      </c>
      <c r="L4556" s="2">
        <v>25213</v>
      </c>
      <c r="M4556" s="2" t="s">
        <v>130</v>
      </c>
      <c r="N4556" s="2">
        <v>2</v>
      </c>
      <c r="O4556" s="2">
        <v>131944.34</v>
      </c>
      <c r="P4556" s="2">
        <v>65972.17</v>
      </c>
    </row>
    <row r="4557" spans="1:16" outlineLevel="1" x14ac:dyDescent="0.2">
      <c r="A4557" s="5"/>
      <c r="D4557" s="3" t="s">
        <v>699</v>
      </c>
      <c r="N4557" s="2">
        <f>SUBTOTAL(9,N4555:N4556)</f>
        <v>7</v>
      </c>
      <c r="O4557" s="2">
        <f>SUBTOTAL(9,O4555:O4556)</f>
        <v>552348.71</v>
      </c>
      <c r="P4557" s="2">
        <f>+O4557/N4557</f>
        <v>78906.958571428564</v>
      </c>
    </row>
    <row r="4558" spans="1:16" outlineLevel="2" x14ac:dyDescent="0.2">
      <c r="A4558" s="5">
        <v>46213</v>
      </c>
      <c r="B4558" s="2">
        <v>160763</v>
      </c>
      <c r="C4558" s="2">
        <v>501</v>
      </c>
      <c r="D4558" s="2" t="s">
        <v>54</v>
      </c>
      <c r="E4558" s="2" t="s">
        <v>30</v>
      </c>
      <c r="F4558" s="2" t="s">
        <v>23</v>
      </c>
      <c r="G4558" s="2" t="s">
        <v>22</v>
      </c>
      <c r="H4558" s="2" t="s">
        <v>23</v>
      </c>
      <c r="I4558" s="2" t="s">
        <v>23</v>
      </c>
      <c r="J4558" s="2">
        <v>2</v>
      </c>
      <c r="K4558" s="2" t="s">
        <v>48</v>
      </c>
      <c r="L4558" s="2">
        <v>626</v>
      </c>
      <c r="M4558" s="2" t="s">
        <v>49</v>
      </c>
      <c r="N4558" s="2">
        <v>4</v>
      </c>
      <c r="O4558" s="2">
        <v>54798.32</v>
      </c>
      <c r="P4558" s="2">
        <v>13699.58</v>
      </c>
    </row>
    <row r="4559" spans="1:16" outlineLevel="1" x14ac:dyDescent="0.2">
      <c r="A4559" s="5"/>
      <c r="D4559" s="3" t="s">
        <v>719</v>
      </c>
      <c r="N4559" s="2">
        <f>SUBTOTAL(9,N4558:N4558)</f>
        <v>4</v>
      </c>
      <c r="O4559" s="2">
        <f>SUBTOTAL(9,O4558:O4558)</f>
        <v>54798.32</v>
      </c>
      <c r="P4559" s="2">
        <f>+O4559/N4559</f>
        <v>13699.58</v>
      </c>
    </row>
    <row r="4560" spans="1:16" outlineLevel="2" x14ac:dyDescent="0.2">
      <c r="A4560" s="5">
        <v>46216</v>
      </c>
      <c r="B4560" s="2">
        <v>160773</v>
      </c>
      <c r="C4560" s="2">
        <v>1</v>
      </c>
      <c r="D4560" s="2" t="s">
        <v>474</v>
      </c>
      <c r="E4560" s="2" t="s">
        <v>475</v>
      </c>
      <c r="F4560" s="2" t="s">
        <v>47</v>
      </c>
      <c r="G4560" s="2" t="s">
        <v>22</v>
      </c>
      <c r="H4560" s="2" t="s">
        <v>23</v>
      </c>
      <c r="I4560" s="2" t="s">
        <v>23</v>
      </c>
      <c r="J4560" s="2">
        <v>41</v>
      </c>
      <c r="K4560" s="2" t="s">
        <v>129</v>
      </c>
      <c r="L4560" s="2">
        <v>2338</v>
      </c>
      <c r="M4560" s="2" t="s">
        <v>417</v>
      </c>
      <c r="N4560" s="2">
        <v>544</v>
      </c>
      <c r="O4560" s="2">
        <v>528940</v>
      </c>
      <c r="P4560" s="2">
        <v>972.32</v>
      </c>
    </row>
    <row r="4561" spans="1:16" outlineLevel="1" x14ac:dyDescent="0.2">
      <c r="A4561" s="5"/>
      <c r="D4561" s="3" t="s">
        <v>780</v>
      </c>
      <c r="N4561" s="2">
        <f>SUBTOTAL(9,N4560:N4560)</f>
        <v>544</v>
      </c>
      <c r="O4561" s="2">
        <f>SUBTOTAL(9,O4560:O4560)</f>
        <v>528940</v>
      </c>
      <c r="P4561" s="2">
        <f>+O4561/N4561</f>
        <v>972.31617647058829</v>
      </c>
    </row>
    <row r="4562" spans="1:16" outlineLevel="2" x14ac:dyDescent="0.2">
      <c r="A4562" s="5">
        <v>46216</v>
      </c>
      <c r="B4562" s="2">
        <v>160774</v>
      </c>
      <c r="C4562" s="2">
        <v>1</v>
      </c>
      <c r="D4562" s="2" t="s">
        <v>207</v>
      </c>
      <c r="E4562" s="2" t="s">
        <v>23</v>
      </c>
      <c r="F4562" s="2" t="s">
        <v>47</v>
      </c>
      <c r="G4562" s="2" t="s">
        <v>22</v>
      </c>
      <c r="H4562" s="2" t="s">
        <v>208</v>
      </c>
      <c r="I4562" s="2" t="s">
        <v>23</v>
      </c>
      <c r="J4562" s="2">
        <v>41</v>
      </c>
      <c r="K4562" s="2" t="s">
        <v>129</v>
      </c>
      <c r="L4562" s="2">
        <v>25213</v>
      </c>
      <c r="M4562" s="2" t="s">
        <v>130</v>
      </c>
      <c r="N4562" s="2">
        <v>96</v>
      </c>
      <c r="O4562" s="2">
        <v>320113.65999999997</v>
      </c>
      <c r="P4562" s="2">
        <v>3334.52</v>
      </c>
    </row>
    <row r="4563" spans="1:16" outlineLevel="1" x14ac:dyDescent="0.2">
      <c r="A4563" s="5"/>
      <c r="D4563" s="3" t="s">
        <v>699</v>
      </c>
      <c r="N4563" s="2">
        <f>SUBTOTAL(9,N4562:N4562)</f>
        <v>96</v>
      </c>
      <c r="O4563" s="2">
        <f>SUBTOTAL(9,O4562:O4562)</f>
        <v>320113.65999999997</v>
      </c>
      <c r="P4563" s="2">
        <f>+O4563/N4563</f>
        <v>3334.5172916666666</v>
      </c>
    </row>
    <row r="4564" spans="1:16" outlineLevel="2" x14ac:dyDescent="0.2">
      <c r="A4564" s="5">
        <v>46216</v>
      </c>
      <c r="B4564" s="2">
        <v>160774</v>
      </c>
      <c r="C4564" s="2">
        <v>2</v>
      </c>
      <c r="D4564" s="2" t="s">
        <v>128</v>
      </c>
      <c r="E4564" s="2" t="s">
        <v>23</v>
      </c>
      <c r="F4564" s="2" t="s">
        <v>47</v>
      </c>
      <c r="G4564" s="2" t="s">
        <v>22</v>
      </c>
      <c r="H4564" s="2" t="s">
        <v>23</v>
      </c>
      <c r="I4564" s="2" t="s">
        <v>23</v>
      </c>
      <c r="J4564" s="2">
        <v>41</v>
      </c>
      <c r="K4564" s="2" t="s">
        <v>129</v>
      </c>
      <c r="L4564" s="2">
        <v>25213</v>
      </c>
      <c r="M4564" s="2" t="s">
        <v>130</v>
      </c>
      <c r="N4564" s="2">
        <v>75</v>
      </c>
      <c r="O4564" s="2">
        <v>276368.74</v>
      </c>
      <c r="P4564" s="2">
        <v>3684.92</v>
      </c>
    </row>
    <row r="4565" spans="1:16" outlineLevel="1" x14ac:dyDescent="0.2">
      <c r="A4565" s="5"/>
      <c r="D4565" s="3" t="s">
        <v>732</v>
      </c>
      <c r="N4565" s="2">
        <f>SUBTOTAL(9,N4564:N4564)</f>
        <v>75</v>
      </c>
      <c r="O4565" s="2">
        <f>SUBTOTAL(9,O4564:O4564)</f>
        <v>276368.74</v>
      </c>
      <c r="P4565" s="2">
        <f>+O4565/N4565</f>
        <v>3684.9165333333331</v>
      </c>
    </row>
    <row r="4566" spans="1:16" outlineLevel="2" x14ac:dyDescent="0.2">
      <c r="A4566" s="5">
        <v>46216</v>
      </c>
      <c r="B4566" s="2">
        <v>160774</v>
      </c>
      <c r="C4566" s="2">
        <v>3</v>
      </c>
      <c r="D4566" s="2" t="s">
        <v>207</v>
      </c>
      <c r="E4566" s="2" t="s">
        <v>23</v>
      </c>
      <c r="F4566" s="2" t="s">
        <v>47</v>
      </c>
      <c r="G4566" s="2" t="s">
        <v>210</v>
      </c>
      <c r="H4566" s="2" t="s">
        <v>23</v>
      </c>
      <c r="I4566" s="2" t="s">
        <v>23</v>
      </c>
      <c r="J4566" s="2">
        <v>1</v>
      </c>
      <c r="K4566" s="2" t="s">
        <v>24</v>
      </c>
      <c r="L4566" s="2">
        <v>25213</v>
      </c>
      <c r="M4566" s="2" t="s">
        <v>130</v>
      </c>
      <c r="N4566" s="2">
        <v>6</v>
      </c>
      <c r="O4566" s="2">
        <v>401433.66</v>
      </c>
      <c r="P4566" s="2">
        <v>66905.61</v>
      </c>
    </row>
    <row r="4567" spans="1:16" outlineLevel="1" x14ac:dyDescent="0.2">
      <c r="A4567" s="5"/>
      <c r="D4567" s="3" t="s">
        <v>699</v>
      </c>
      <c r="N4567" s="2">
        <f>SUBTOTAL(9,N4566:N4566)</f>
        <v>6</v>
      </c>
      <c r="O4567" s="2">
        <f>SUBTOTAL(9,O4566:O4566)</f>
        <v>401433.66</v>
      </c>
      <c r="P4567" s="2">
        <f>+O4567/N4567</f>
        <v>66905.61</v>
      </c>
    </row>
    <row r="4568" spans="1:16" outlineLevel="2" x14ac:dyDescent="0.2">
      <c r="A4568" s="5">
        <v>46216</v>
      </c>
      <c r="B4568" s="2">
        <v>160774</v>
      </c>
      <c r="C4568" s="2">
        <v>4</v>
      </c>
      <c r="D4568" s="2" t="s">
        <v>128</v>
      </c>
      <c r="E4568" s="2" t="s">
        <v>23</v>
      </c>
      <c r="F4568" s="2" t="s">
        <v>47</v>
      </c>
      <c r="G4568" s="2" t="s">
        <v>22</v>
      </c>
      <c r="H4568" s="2" t="s">
        <v>23</v>
      </c>
      <c r="I4568" s="2" t="s">
        <v>23</v>
      </c>
      <c r="J4568" s="2">
        <v>1</v>
      </c>
      <c r="K4568" s="2" t="s">
        <v>24</v>
      </c>
      <c r="L4568" s="2">
        <v>25213</v>
      </c>
      <c r="M4568" s="2" t="s">
        <v>130</v>
      </c>
      <c r="N4568" s="2">
        <v>4</v>
      </c>
      <c r="O4568" s="2">
        <v>362833.16</v>
      </c>
      <c r="P4568" s="2">
        <v>90708.29</v>
      </c>
    </row>
    <row r="4569" spans="1:16" outlineLevel="1" x14ac:dyDescent="0.2">
      <c r="A4569" s="5"/>
      <c r="D4569" s="3" t="s">
        <v>732</v>
      </c>
      <c r="N4569" s="2">
        <f>SUBTOTAL(9,N4568:N4568)</f>
        <v>4</v>
      </c>
      <c r="O4569" s="2">
        <f>SUBTOTAL(9,O4568:O4568)</f>
        <v>362833.16</v>
      </c>
      <c r="P4569" s="2">
        <f>+O4569/N4569</f>
        <v>90708.29</v>
      </c>
    </row>
    <row r="4570" spans="1:16" outlineLevel="2" x14ac:dyDescent="0.2">
      <c r="A4570" s="5">
        <v>46211</v>
      </c>
      <c r="B4570" s="2">
        <v>160814</v>
      </c>
      <c r="C4570" s="2">
        <v>1</v>
      </c>
      <c r="D4570" s="2" t="s">
        <v>83</v>
      </c>
      <c r="E4570" s="2" t="s">
        <v>633</v>
      </c>
      <c r="F4570" s="2" t="s">
        <v>85</v>
      </c>
      <c r="G4570" s="2" t="s">
        <v>22</v>
      </c>
      <c r="H4570" s="2" t="s">
        <v>23</v>
      </c>
      <c r="I4570" s="2" t="s">
        <v>634</v>
      </c>
      <c r="J4570" s="2">
        <v>1</v>
      </c>
      <c r="K4570" s="2" t="s">
        <v>24</v>
      </c>
      <c r="L4570" s="2">
        <v>25249</v>
      </c>
      <c r="M4570" s="2" t="s">
        <v>635</v>
      </c>
      <c r="N4570" s="2">
        <v>28</v>
      </c>
      <c r="O4570" s="2">
        <v>1597058.86</v>
      </c>
      <c r="P4570" s="2">
        <v>57037.82</v>
      </c>
    </row>
    <row r="4571" spans="1:16" outlineLevel="2" x14ac:dyDescent="0.2">
      <c r="A4571" s="5">
        <v>46211</v>
      </c>
      <c r="B4571" s="2">
        <v>160814</v>
      </c>
      <c r="C4571" s="2">
        <v>3</v>
      </c>
      <c r="D4571" s="2" t="s">
        <v>83</v>
      </c>
      <c r="E4571" s="2" t="s">
        <v>633</v>
      </c>
      <c r="F4571" s="2" t="s">
        <v>85</v>
      </c>
      <c r="G4571" s="2" t="s">
        <v>22</v>
      </c>
      <c r="H4571" s="2" t="s">
        <v>23</v>
      </c>
      <c r="I4571" s="2" t="s">
        <v>636</v>
      </c>
      <c r="J4571" s="2">
        <v>1</v>
      </c>
      <c r="K4571" s="2" t="s">
        <v>24</v>
      </c>
      <c r="L4571" s="2">
        <v>25249</v>
      </c>
      <c r="M4571" s="2" t="s">
        <v>635</v>
      </c>
      <c r="N4571" s="2">
        <v>335</v>
      </c>
      <c r="O4571" s="2">
        <v>18559200.219999999</v>
      </c>
      <c r="P4571" s="2">
        <v>55400.6</v>
      </c>
    </row>
    <row r="4572" spans="1:16" outlineLevel="1" x14ac:dyDescent="0.2">
      <c r="A4572" s="5"/>
      <c r="D4572" s="3" t="s">
        <v>701</v>
      </c>
      <c r="N4572" s="2">
        <f>SUBTOTAL(9,N4570:N4571)</f>
        <v>363</v>
      </c>
      <c r="O4572" s="2">
        <f>SUBTOTAL(9,O4570:O4571)</f>
        <v>20156259.079999998</v>
      </c>
      <c r="P4572" s="2">
        <f>+O4572/N4572</f>
        <v>55526.884517906328</v>
      </c>
    </row>
    <row r="4573" spans="1:16" outlineLevel="2" x14ac:dyDescent="0.2">
      <c r="A4573" s="5">
        <v>46210</v>
      </c>
      <c r="B4573" s="2">
        <v>160815</v>
      </c>
      <c r="C4573" s="2">
        <v>1</v>
      </c>
      <c r="D4573" s="2" t="s">
        <v>160</v>
      </c>
      <c r="E4573" s="2" t="s">
        <v>222</v>
      </c>
      <c r="F4573" s="2" t="s">
        <v>40</v>
      </c>
      <c r="G4573" s="2" t="s">
        <v>22</v>
      </c>
      <c r="H4573" s="2" t="s">
        <v>23</v>
      </c>
      <c r="I4573" s="2" t="s">
        <v>23</v>
      </c>
      <c r="J4573" s="2">
        <v>1</v>
      </c>
      <c r="K4573" s="2" t="s">
        <v>24</v>
      </c>
      <c r="L4573" s="2">
        <v>2521</v>
      </c>
      <c r="M4573" s="2" t="s">
        <v>82</v>
      </c>
      <c r="N4573" s="2">
        <v>227</v>
      </c>
      <c r="O4573" s="2">
        <v>2869422.05</v>
      </c>
      <c r="P4573" s="2">
        <v>12640.63</v>
      </c>
    </row>
    <row r="4574" spans="1:16" outlineLevel="1" x14ac:dyDescent="0.2">
      <c r="A4574" s="5"/>
      <c r="D4574" s="3" t="s">
        <v>709</v>
      </c>
      <c r="N4574" s="2">
        <f>SUBTOTAL(9,N4573:N4573)</f>
        <v>227</v>
      </c>
      <c r="O4574" s="2">
        <f>SUBTOTAL(9,O4573:O4573)</f>
        <v>2869422.05</v>
      </c>
      <c r="P4574" s="2">
        <f>+O4574/N4574</f>
        <v>12640.625770925109</v>
      </c>
    </row>
    <row r="4575" spans="1:16" outlineLevel="2" x14ac:dyDescent="0.2">
      <c r="A4575" s="5">
        <v>46210</v>
      </c>
      <c r="B4575" s="2">
        <v>160815</v>
      </c>
      <c r="C4575" s="2">
        <v>2</v>
      </c>
      <c r="D4575" s="2" t="s">
        <v>131</v>
      </c>
      <c r="E4575" s="2" t="s">
        <v>132</v>
      </c>
      <c r="F4575" s="2" t="s">
        <v>40</v>
      </c>
      <c r="G4575" s="2" t="s">
        <v>22</v>
      </c>
      <c r="H4575" s="2" t="s">
        <v>23</v>
      </c>
      <c r="I4575" s="2" t="s">
        <v>23</v>
      </c>
      <c r="J4575" s="2">
        <v>1</v>
      </c>
      <c r="K4575" s="2" t="s">
        <v>24</v>
      </c>
      <c r="L4575" s="2">
        <v>2521</v>
      </c>
      <c r="M4575" s="2" t="s">
        <v>82</v>
      </c>
      <c r="N4575" s="2">
        <v>247</v>
      </c>
      <c r="O4575" s="2">
        <v>9578871.2699999996</v>
      </c>
      <c r="P4575" s="2">
        <v>38780.86</v>
      </c>
    </row>
    <row r="4576" spans="1:16" outlineLevel="1" x14ac:dyDescent="0.2">
      <c r="A4576" s="5"/>
      <c r="D4576" s="3" t="s">
        <v>713</v>
      </c>
      <c r="N4576" s="2">
        <f>SUBTOTAL(9,N4575:N4575)</f>
        <v>247</v>
      </c>
      <c r="O4576" s="2">
        <f>SUBTOTAL(9,O4575:O4575)</f>
        <v>9578871.2699999996</v>
      </c>
      <c r="P4576" s="2">
        <f>+O4576/N4576</f>
        <v>38780.855344129552</v>
      </c>
    </row>
    <row r="4577" spans="1:16" outlineLevel="2" x14ac:dyDescent="0.2">
      <c r="A4577" s="5">
        <v>46211</v>
      </c>
      <c r="B4577" s="2">
        <v>160817</v>
      </c>
      <c r="C4577" s="2">
        <v>1</v>
      </c>
      <c r="D4577" s="2" t="s">
        <v>45</v>
      </c>
      <c r="E4577" s="2" t="s">
        <v>125</v>
      </c>
      <c r="F4577" s="2" t="s">
        <v>289</v>
      </c>
      <c r="G4577" s="2" t="s">
        <v>22</v>
      </c>
      <c r="H4577" s="2" t="s">
        <v>23</v>
      </c>
      <c r="I4577" s="2" t="s">
        <v>23</v>
      </c>
      <c r="J4577" s="2">
        <v>2</v>
      </c>
      <c r="K4577" s="2" t="s">
        <v>48</v>
      </c>
      <c r="L4577" s="2">
        <v>106</v>
      </c>
      <c r="M4577" s="2" t="s">
        <v>486</v>
      </c>
      <c r="N4577" s="2">
        <v>112</v>
      </c>
      <c r="O4577" s="2">
        <v>3604721.36</v>
      </c>
      <c r="P4577" s="2">
        <v>32185.01</v>
      </c>
    </row>
    <row r="4578" spans="1:16" outlineLevel="2" x14ac:dyDescent="0.2">
      <c r="A4578" s="5">
        <v>46211</v>
      </c>
      <c r="B4578" s="2">
        <v>160818</v>
      </c>
      <c r="C4578" s="2">
        <v>6</v>
      </c>
      <c r="D4578" s="2" t="s">
        <v>45</v>
      </c>
      <c r="E4578" s="2" t="s">
        <v>125</v>
      </c>
      <c r="F4578" s="2" t="s">
        <v>289</v>
      </c>
      <c r="G4578" s="2" t="s">
        <v>22</v>
      </c>
      <c r="H4578" s="2" t="s">
        <v>23</v>
      </c>
      <c r="I4578" s="2" t="s">
        <v>23</v>
      </c>
      <c r="J4578" s="2">
        <v>2</v>
      </c>
      <c r="K4578" s="2" t="s">
        <v>48</v>
      </c>
      <c r="L4578" s="2">
        <v>106</v>
      </c>
      <c r="M4578" s="2" t="s">
        <v>486</v>
      </c>
      <c r="N4578" s="2">
        <v>56</v>
      </c>
      <c r="O4578" s="2">
        <v>1849965.76</v>
      </c>
      <c r="P4578" s="2">
        <v>33035.1</v>
      </c>
    </row>
    <row r="4579" spans="1:16" outlineLevel="1" x14ac:dyDescent="0.2">
      <c r="A4579" s="5"/>
      <c r="D4579" s="3" t="s">
        <v>733</v>
      </c>
      <c r="N4579" s="2">
        <f>SUBTOTAL(9,N4577:N4578)</f>
        <v>168</v>
      </c>
      <c r="O4579" s="2">
        <f>SUBTOTAL(9,O4577:O4578)</f>
        <v>5454687.1200000001</v>
      </c>
      <c r="P4579" s="2">
        <f>+O4579/N4579</f>
        <v>32468.375714285714</v>
      </c>
    </row>
    <row r="4580" spans="1:16" outlineLevel="2" x14ac:dyDescent="0.2">
      <c r="A4580" s="5">
        <v>46211</v>
      </c>
      <c r="B4580" s="2">
        <v>160818</v>
      </c>
      <c r="C4580" s="2">
        <v>9</v>
      </c>
      <c r="D4580" s="2" t="s">
        <v>226</v>
      </c>
      <c r="E4580" s="2" t="s">
        <v>585</v>
      </c>
      <c r="F4580" s="2" t="s">
        <v>289</v>
      </c>
      <c r="G4580" s="2" t="s">
        <v>22</v>
      </c>
      <c r="H4580" s="2" t="s">
        <v>23</v>
      </c>
      <c r="I4580" s="2" t="s">
        <v>23</v>
      </c>
      <c r="J4580" s="2">
        <v>2</v>
      </c>
      <c r="K4580" s="2" t="s">
        <v>48</v>
      </c>
      <c r="L4580" s="2">
        <v>106</v>
      </c>
      <c r="M4580" s="2" t="s">
        <v>486</v>
      </c>
      <c r="N4580" s="2">
        <v>24</v>
      </c>
      <c r="O4580" s="2">
        <v>308858.25</v>
      </c>
      <c r="P4580" s="2">
        <v>12869.09</v>
      </c>
    </row>
    <row r="4581" spans="1:16" outlineLevel="1" x14ac:dyDescent="0.2">
      <c r="A4581" s="5"/>
      <c r="D4581" s="3" t="s">
        <v>736</v>
      </c>
      <c r="N4581" s="2">
        <f>SUBTOTAL(9,N4580:N4580)</f>
        <v>24</v>
      </c>
      <c r="O4581" s="2">
        <f>SUBTOTAL(9,O4580:O4580)</f>
        <v>308858.25</v>
      </c>
      <c r="P4581" s="2">
        <f>+O4581/N4581</f>
        <v>12869.09375</v>
      </c>
    </row>
    <row r="4582" spans="1:16" outlineLevel="2" x14ac:dyDescent="0.2">
      <c r="A4582" s="5">
        <v>46211</v>
      </c>
      <c r="B4582" s="2">
        <v>160819</v>
      </c>
      <c r="C4582" s="2">
        <v>2</v>
      </c>
      <c r="D4582" s="2" t="s">
        <v>45</v>
      </c>
      <c r="E4582" s="2" t="s">
        <v>590</v>
      </c>
      <c r="F4582" s="2" t="s">
        <v>289</v>
      </c>
      <c r="G4582" s="2" t="s">
        <v>22</v>
      </c>
      <c r="H4582" s="2" t="s">
        <v>23</v>
      </c>
      <c r="I4582" s="2" t="s">
        <v>23</v>
      </c>
      <c r="J4582" s="2">
        <v>2</v>
      </c>
      <c r="K4582" s="2" t="s">
        <v>48</v>
      </c>
      <c r="L4582" s="2">
        <v>801</v>
      </c>
      <c r="M4582" s="2" t="s">
        <v>56</v>
      </c>
      <c r="N4582" s="2">
        <v>32</v>
      </c>
      <c r="O4582" s="2">
        <v>627668.62</v>
      </c>
      <c r="P4582" s="2">
        <v>19614.64</v>
      </c>
    </row>
    <row r="4583" spans="1:16" outlineLevel="2" x14ac:dyDescent="0.2">
      <c r="A4583" s="5">
        <v>46211</v>
      </c>
      <c r="B4583" s="2">
        <v>160819</v>
      </c>
      <c r="C4583" s="2">
        <v>5</v>
      </c>
      <c r="D4583" s="2" t="s">
        <v>45</v>
      </c>
      <c r="E4583" s="2" t="s">
        <v>598</v>
      </c>
      <c r="F4583" s="2" t="s">
        <v>289</v>
      </c>
      <c r="G4583" s="2" t="s">
        <v>22</v>
      </c>
      <c r="H4583" s="2" t="s">
        <v>23</v>
      </c>
      <c r="I4583" s="2" t="s">
        <v>23</v>
      </c>
      <c r="J4583" s="2">
        <v>2</v>
      </c>
      <c r="K4583" s="2" t="s">
        <v>48</v>
      </c>
      <c r="L4583" s="2">
        <v>801</v>
      </c>
      <c r="M4583" s="2" t="s">
        <v>56</v>
      </c>
      <c r="N4583" s="2">
        <v>1</v>
      </c>
      <c r="O4583" s="2">
        <v>18366.77</v>
      </c>
      <c r="P4583" s="2">
        <v>18366.77</v>
      </c>
    </row>
    <row r="4584" spans="1:16" outlineLevel="2" x14ac:dyDescent="0.2">
      <c r="A4584" s="5">
        <v>46211</v>
      </c>
      <c r="B4584" s="2">
        <v>160819</v>
      </c>
      <c r="C4584" s="2">
        <v>6</v>
      </c>
      <c r="D4584" s="2" t="s">
        <v>45</v>
      </c>
      <c r="E4584" s="2" t="s">
        <v>598</v>
      </c>
      <c r="F4584" s="2" t="s">
        <v>289</v>
      </c>
      <c r="G4584" s="2" t="s">
        <v>22</v>
      </c>
      <c r="H4584" s="2" t="s">
        <v>23</v>
      </c>
      <c r="I4584" s="2" t="s">
        <v>23</v>
      </c>
      <c r="J4584" s="2">
        <v>2</v>
      </c>
      <c r="K4584" s="2" t="s">
        <v>48</v>
      </c>
      <c r="L4584" s="2">
        <v>801</v>
      </c>
      <c r="M4584" s="2" t="s">
        <v>56</v>
      </c>
      <c r="N4584" s="2">
        <v>3</v>
      </c>
      <c r="O4584" s="2">
        <v>58834.080000000002</v>
      </c>
      <c r="P4584" s="2">
        <v>19611.36</v>
      </c>
    </row>
    <row r="4585" spans="1:16" outlineLevel="2" x14ac:dyDescent="0.2">
      <c r="A4585" s="5">
        <v>46211</v>
      </c>
      <c r="B4585" s="2">
        <v>160819</v>
      </c>
      <c r="C4585" s="2">
        <v>7</v>
      </c>
      <c r="D4585" s="2" t="s">
        <v>45</v>
      </c>
      <c r="E4585" s="2" t="s">
        <v>558</v>
      </c>
      <c r="F4585" s="2" t="s">
        <v>289</v>
      </c>
      <c r="G4585" s="2" t="s">
        <v>22</v>
      </c>
      <c r="H4585" s="2" t="s">
        <v>23</v>
      </c>
      <c r="I4585" s="2" t="s">
        <v>23</v>
      </c>
      <c r="J4585" s="2">
        <v>2</v>
      </c>
      <c r="K4585" s="2" t="s">
        <v>48</v>
      </c>
      <c r="L4585" s="2">
        <v>801</v>
      </c>
      <c r="M4585" s="2" t="s">
        <v>56</v>
      </c>
      <c r="N4585" s="2">
        <v>44</v>
      </c>
      <c r="O4585" s="2">
        <v>1062610.3</v>
      </c>
      <c r="P4585" s="2">
        <v>24150.23</v>
      </c>
    </row>
    <row r="4586" spans="1:16" outlineLevel="2" x14ac:dyDescent="0.2">
      <c r="A4586" s="5">
        <v>46211</v>
      </c>
      <c r="B4586" s="2">
        <v>160819</v>
      </c>
      <c r="C4586" s="2">
        <v>8</v>
      </c>
      <c r="D4586" s="2" t="s">
        <v>45</v>
      </c>
      <c r="E4586" s="2" t="s">
        <v>598</v>
      </c>
      <c r="F4586" s="2" t="s">
        <v>289</v>
      </c>
      <c r="G4586" s="2" t="s">
        <v>22</v>
      </c>
      <c r="H4586" s="2" t="s">
        <v>23</v>
      </c>
      <c r="I4586" s="2" t="s">
        <v>23</v>
      </c>
      <c r="J4586" s="2">
        <v>2</v>
      </c>
      <c r="K4586" s="2" t="s">
        <v>48</v>
      </c>
      <c r="L4586" s="2">
        <v>801</v>
      </c>
      <c r="M4586" s="2" t="s">
        <v>56</v>
      </c>
      <c r="N4586" s="2">
        <v>10</v>
      </c>
      <c r="O4586" s="2">
        <v>159700.25</v>
      </c>
      <c r="P4586" s="2">
        <v>15970.03</v>
      </c>
    </row>
    <row r="4587" spans="1:16" outlineLevel="2" x14ac:dyDescent="0.2">
      <c r="A4587" s="5">
        <v>46211</v>
      </c>
      <c r="B4587" s="2">
        <v>160819</v>
      </c>
      <c r="C4587" s="2">
        <v>9</v>
      </c>
      <c r="D4587" s="2" t="s">
        <v>45</v>
      </c>
      <c r="E4587" s="2" t="s">
        <v>598</v>
      </c>
      <c r="F4587" s="2" t="s">
        <v>289</v>
      </c>
      <c r="G4587" s="2" t="s">
        <v>22</v>
      </c>
      <c r="H4587" s="2" t="s">
        <v>23</v>
      </c>
      <c r="I4587" s="2" t="s">
        <v>23</v>
      </c>
      <c r="J4587" s="2">
        <v>2</v>
      </c>
      <c r="K4587" s="2" t="s">
        <v>48</v>
      </c>
      <c r="L4587" s="2">
        <v>801</v>
      </c>
      <c r="M4587" s="2" t="s">
        <v>56</v>
      </c>
      <c r="N4587" s="2">
        <v>1</v>
      </c>
      <c r="O4587" s="2">
        <v>22402.54</v>
      </c>
      <c r="P4587" s="2">
        <v>22402.54</v>
      </c>
    </row>
    <row r="4588" spans="1:16" outlineLevel="1" x14ac:dyDescent="0.2">
      <c r="A4588" s="5"/>
      <c r="D4588" s="3" t="s">
        <v>733</v>
      </c>
      <c r="N4588" s="2">
        <f>SUBTOTAL(9,N4582:N4587)</f>
        <v>91</v>
      </c>
      <c r="O4588" s="2">
        <f>SUBTOTAL(9,O4582:O4587)</f>
        <v>1949582.56</v>
      </c>
      <c r="P4588" s="2">
        <f>+O4588/N4588</f>
        <v>21423.984175824178</v>
      </c>
    </row>
    <row r="4589" spans="1:16" outlineLevel="2" x14ac:dyDescent="0.2">
      <c r="A4589" s="5">
        <v>46211</v>
      </c>
      <c r="B4589" s="2">
        <v>160819</v>
      </c>
      <c r="C4589" s="2">
        <v>12</v>
      </c>
      <c r="D4589" s="2" t="s">
        <v>226</v>
      </c>
      <c r="E4589" s="2" t="s">
        <v>581</v>
      </c>
      <c r="F4589" s="2" t="s">
        <v>289</v>
      </c>
      <c r="G4589" s="2" t="s">
        <v>22</v>
      </c>
      <c r="H4589" s="2" t="s">
        <v>23</v>
      </c>
      <c r="I4589" s="2" t="s">
        <v>23</v>
      </c>
      <c r="J4589" s="2">
        <v>2</v>
      </c>
      <c r="K4589" s="2" t="s">
        <v>48</v>
      </c>
      <c r="L4589" s="2">
        <v>801</v>
      </c>
      <c r="M4589" s="2" t="s">
        <v>56</v>
      </c>
      <c r="N4589" s="2">
        <v>33</v>
      </c>
      <c r="O4589" s="2">
        <v>829033.46</v>
      </c>
      <c r="P4589" s="2">
        <v>25122.23</v>
      </c>
    </row>
    <row r="4590" spans="1:16" outlineLevel="2" x14ac:dyDescent="0.2">
      <c r="A4590" s="5">
        <v>46211</v>
      </c>
      <c r="B4590" s="2">
        <v>160819</v>
      </c>
      <c r="C4590" s="2">
        <v>14</v>
      </c>
      <c r="D4590" s="2" t="s">
        <v>226</v>
      </c>
      <c r="E4590" s="2" t="s">
        <v>568</v>
      </c>
      <c r="F4590" s="2" t="s">
        <v>289</v>
      </c>
      <c r="G4590" s="2" t="s">
        <v>22</v>
      </c>
      <c r="H4590" s="2" t="s">
        <v>23</v>
      </c>
      <c r="I4590" s="2" t="s">
        <v>23</v>
      </c>
      <c r="J4590" s="2">
        <v>2</v>
      </c>
      <c r="K4590" s="2" t="s">
        <v>48</v>
      </c>
      <c r="L4590" s="2">
        <v>801</v>
      </c>
      <c r="M4590" s="2" t="s">
        <v>56</v>
      </c>
      <c r="N4590" s="2">
        <v>24</v>
      </c>
      <c r="O4590" s="2">
        <v>577084.89</v>
      </c>
      <c r="P4590" s="2">
        <v>24045.200000000001</v>
      </c>
    </row>
    <row r="4591" spans="1:16" outlineLevel="1" x14ac:dyDescent="0.2">
      <c r="A4591" s="5"/>
      <c r="D4591" s="3" t="s">
        <v>736</v>
      </c>
      <c r="N4591" s="2">
        <f>SUBTOTAL(9,N4589:N4590)</f>
        <v>57</v>
      </c>
      <c r="O4591" s="2">
        <f>SUBTOTAL(9,O4589:O4590)</f>
        <v>1406118.35</v>
      </c>
      <c r="P4591" s="2">
        <f>+O4591/N4591</f>
        <v>24668.74298245614</v>
      </c>
    </row>
    <row r="4592" spans="1:16" outlineLevel="2" x14ac:dyDescent="0.2">
      <c r="A4592" s="5">
        <v>46223</v>
      </c>
      <c r="B4592" s="2">
        <v>160823</v>
      </c>
      <c r="C4592" s="2">
        <v>2</v>
      </c>
      <c r="D4592" s="2" t="s">
        <v>33</v>
      </c>
      <c r="E4592" s="2" t="s">
        <v>34</v>
      </c>
      <c r="F4592" s="2" t="s">
        <v>35</v>
      </c>
      <c r="G4592" s="2" t="s">
        <v>22</v>
      </c>
      <c r="H4592" s="2" t="s">
        <v>23</v>
      </c>
      <c r="I4592" s="2" t="s">
        <v>154</v>
      </c>
      <c r="J4592" s="2">
        <v>1</v>
      </c>
      <c r="K4592" s="2" t="s">
        <v>24</v>
      </c>
      <c r="L4592" s="2">
        <v>2520</v>
      </c>
      <c r="M4592" s="2" t="s">
        <v>37</v>
      </c>
      <c r="N4592" s="2">
        <v>199</v>
      </c>
      <c r="O4592" s="2">
        <v>4366214.97</v>
      </c>
      <c r="P4592" s="2">
        <v>21940.78</v>
      </c>
    </row>
    <row r="4593" spans="1:16" outlineLevel="1" x14ac:dyDescent="0.2">
      <c r="A4593" s="5"/>
      <c r="D4593" s="3" t="s">
        <v>705</v>
      </c>
      <c r="N4593" s="2">
        <f>SUBTOTAL(9,N4592:N4592)</f>
        <v>199</v>
      </c>
      <c r="O4593" s="2">
        <f>SUBTOTAL(9,O4592:O4592)</f>
        <v>4366214.97</v>
      </c>
      <c r="P4593" s="2">
        <f>+O4593/N4593</f>
        <v>21940.778743718591</v>
      </c>
    </row>
    <row r="4594" spans="1:16" outlineLevel="2" x14ac:dyDescent="0.2">
      <c r="A4594" s="5">
        <v>46216</v>
      </c>
      <c r="B4594" s="2">
        <v>160827</v>
      </c>
      <c r="C4594" s="2">
        <v>1</v>
      </c>
      <c r="D4594" s="2" t="s">
        <v>140</v>
      </c>
      <c r="E4594" s="2" t="s">
        <v>55</v>
      </c>
      <c r="F4594" s="2" t="s">
        <v>23</v>
      </c>
      <c r="G4594" s="2" t="s">
        <v>23</v>
      </c>
      <c r="H4594" s="2" t="s">
        <v>23</v>
      </c>
      <c r="I4594" s="2" t="s">
        <v>23</v>
      </c>
      <c r="J4594" s="2">
        <v>1</v>
      </c>
      <c r="K4594" s="2" t="s">
        <v>24</v>
      </c>
      <c r="L4594" s="2">
        <v>1503</v>
      </c>
      <c r="M4594" s="2" t="s">
        <v>603</v>
      </c>
      <c r="N4594" s="2">
        <v>4</v>
      </c>
      <c r="O4594" s="2">
        <v>36129.56</v>
      </c>
      <c r="P4594" s="2">
        <v>9032.39</v>
      </c>
    </row>
    <row r="4595" spans="1:16" outlineLevel="1" x14ac:dyDescent="0.2">
      <c r="A4595" s="5"/>
      <c r="D4595" s="3" t="s">
        <v>696</v>
      </c>
      <c r="N4595" s="2">
        <f>SUBTOTAL(9,N4594:N4594)</f>
        <v>4</v>
      </c>
      <c r="O4595" s="2">
        <f>SUBTOTAL(9,O4594:O4594)</f>
        <v>36129.56</v>
      </c>
      <c r="P4595" s="2">
        <f>+O4595/N4595</f>
        <v>9032.39</v>
      </c>
    </row>
    <row r="4596" spans="1:16" outlineLevel="2" x14ac:dyDescent="0.2">
      <c r="A4596" s="5">
        <v>46213</v>
      </c>
      <c r="B4596" s="2">
        <v>160828</v>
      </c>
      <c r="C4596" s="2">
        <v>1</v>
      </c>
      <c r="D4596" s="2" t="s">
        <v>45</v>
      </c>
      <c r="E4596" s="2" t="s">
        <v>125</v>
      </c>
      <c r="F4596" s="2" t="s">
        <v>63</v>
      </c>
      <c r="G4596" s="2" t="s">
        <v>22</v>
      </c>
      <c r="H4596" s="2" t="s">
        <v>23</v>
      </c>
      <c r="I4596" s="2" t="s">
        <v>23</v>
      </c>
      <c r="J4596" s="2">
        <v>40</v>
      </c>
      <c r="K4596" s="2" t="s">
        <v>43</v>
      </c>
      <c r="L4596" s="2">
        <v>21</v>
      </c>
      <c r="M4596" s="2" t="s">
        <v>118</v>
      </c>
      <c r="N4596" s="2">
        <v>228</v>
      </c>
      <c r="O4596" s="2">
        <v>9734091.3699999992</v>
      </c>
      <c r="P4596" s="2">
        <v>42693.38</v>
      </c>
    </row>
    <row r="4597" spans="1:16" outlineLevel="2" x14ac:dyDescent="0.2">
      <c r="A4597" s="5">
        <v>46213</v>
      </c>
      <c r="B4597" s="2">
        <v>160832</v>
      </c>
      <c r="C4597" s="2">
        <v>10</v>
      </c>
      <c r="D4597" s="2" t="s">
        <v>45</v>
      </c>
      <c r="E4597" s="2" t="s">
        <v>581</v>
      </c>
      <c r="F4597" s="2" t="s">
        <v>23</v>
      </c>
      <c r="G4597" s="2" t="s">
        <v>22</v>
      </c>
      <c r="H4597" s="2" t="s">
        <v>23</v>
      </c>
      <c r="I4597" s="2" t="s">
        <v>23</v>
      </c>
      <c r="J4597" s="2">
        <v>2</v>
      </c>
      <c r="K4597" s="2" t="s">
        <v>48</v>
      </c>
      <c r="L4597" s="2">
        <v>801</v>
      </c>
      <c r="M4597" s="2" t="s">
        <v>56</v>
      </c>
      <c r="N4597" s="2">
        <v>29</v>
      </c>
      <c r="O4597" s="2">
        <v>621123.32999999996</v>
      </c>
      <c r="P4597" s="2">
        <v>21418.05</v>
      </c>
    </row>
    <row r="4598" spans="1:16" outlineLevel="1" x14ac:dyDescent="0.2">
      <c r="A4598" s="5"/>
      <c r="D4598" s="3" t="s">
        <v>733</v>
      </c>
      <c r="N4598" s="2">
        <f>SUBTOTAL(9,N4596:N4597)</f>
        <v>257</v>
      </c>
      <c r="O4598" s="2">
        <f>SUBTOTAL(9,O4596:O4597)</f>
        <v>10355214.699999999</v>
      </c>
      <c r="P4598" s="2">
        <f>+O4598/N4598</f>
        <v>40292.664202334628</v>
      </c>
    </row>
    <row r="4599" spans="1:16" outlineLevel="2" x14ac:dyDescent="0.2">
      <c r="A4599" s="5">
        <v>46213</v>
      </c>
      <c r="B4599" s="2">
        <v>160832</v>
      </c>
      <c r="C4599" s="2">
        <v>15</v>
      </c>
      <c r="D4599" s="2" t="s">
        <v>226</v>
      </c>
      <c r="E4599" s="2" t="s">
        <v>581</v>
      </c>
      <c r="F4599" s="2" t="s">
        <v>23</v>
      </c>
      <c r="G4599" s="2" t="s">
        <v>22</v>
      </c>
      <c r="H4599" s="2" t="s">
        <v>23</v>
      </c>
      <c r="I4599" s="2" t="s">
        <v>23</v>
      </c>
      <c r="J4599" s="2">
        <v>2</v>
      </c>
      <c r="K4599" s="2" t="s">
        <v>48</v>
      </c>
      <c r="L4599" s="2">
        <v>801</v>
      </c>
      <c r="M4599" s="2" t="s">
        <v>56</v>
      </c>
      <c r="N4599" s="2">
        <v>25</v>
      </c>
      <c r="O4599" s="2">
        <v>614120.43999999994</v>
      </c>
      <c r="P4599" s="2">
        <v>24564.82</v>
      </c>
    </row>
    <row r="4600" spans="1:16" outlineLevel="2" x14ac:dyDescent="0.2">
      <c r="A4600" s="5">
        <v>46213</v>
      </c>
      <c r="B4600" s="2">
        <v>160832</v>
      </c>
      <c r="C4600" s="2">
        <v>16</v>
      </c>
      <c r="D4600" s="2" t="s">
        <v>226</v>
      </c>
      <c r="E4600" s="2" t="s">
        <v>83</v>
      </c>
      <c r="F4600" s="2" t="s">
        <v>23</v>
      </c>
      <c r="G4600" s="2" t="s">
        <v>22</v>
      </c>
      <c r="H4600" s="2" t="s">
        <v>23</v>
      </c>
      <c r="I4600" s="2" t="s">
        <v>23</v>
      </c>
      <c r="J4600" s="2">
        <v>2</v>
      </c>
      <c r="K4600" s="2" t="s">
        <v>48</v>
      </c>
      <c r="L4600" s="2">
        <v>801</v>
      </c>
      <c r="M4600" s="2" t="s">
        <v>56</v>
      </c>
      <c r="N4600" s="2">
        <v>13</v>
      </c>
      <c r="O4600" s="2">
        <v>330024.15999999997</v>
      </c>
      <c r="P4600" s="2">
        <v>25386.47</v>
      </c>
    </row>
    <row r="4601" spans="1:16" outlineLevel="2" x14ac:dyDescent="0.2">
      <c r="A4601" s="5">
        <v>46213</v>
      </c>
      <c r="B4601" s="2">
        <v>160832</v>
      </c>
      <c r="C4601" s="2">
        <v>19</v>
      </c>
      <c r="D4601" s="2" t="s">
        <v>226</v>
      </c>
      <c r="E4601" s="2" t="s">
        <v>586</v>
      </c>
      <c r="F4601" s="2" t="s">
        <v>23</v>
      </c>
      <c r="G4601" s="2" t="s">
        <v>22</v>
      </c>
      <c r="H4601" s="2" t="s">
        <v>23</v>
      </c>
      <c r="I4601" s="2" t="s">
        <v>23</v>
      </c>
      <c r="J4601" s="2">
        <v>2</v>
      </c>
      <c r="K4601" s="2" t="s">
        <v>48</v>
      </c>
      <c r="L4601" s="2">
        <v>801</v>
      </c>
      <c r="M4601" s="2" t="s">
        <v>56</v>
      </c>
      <c r="N4601" s="2">
        <v>24</v>
      </c>
      <c r="O4601" s="2">
        <v>546281.43000000005</v>
      </c>
      <c r="P4601" s="2">
        <v>22761.73</v>
      </c>
    </row>
    <row r="4602" spans="1:16" outlineLevel="1" x14ac:dyDescent="0.2">
      <c r="A4602" s="5"/>
      <c r="D4602" s="3" t="s">
        <v>736</v>
      </c>
      <c r="N4602" s="2">
        <f>SUBTOTAL(9,N4599:N4601)</f>
        <v>62</v>
      </c>
      <c r="O4602" s="2">
        <f>SUBTOTAL(9,O4599:O4601)</f>
        <v>1490426.0299999998</v>
      </c>
      <c r="P4602" s="2">
        <f>+O4602/N4602</f>
        <v>24039.129516129029</v>
      </c>
    </row>
    <row r="4603" spans="1:16" outlineLevel="2" x14ac:dyDescent="0.2">
      <c r="A4603" s="5">
        <v>46220</v>
      </c>
      <c r="B4603" s="2">
        <v>160832</v>
      </c>
      <c r="C4603" s="2">
        <v>315</v>
      </c>
      <c r="D4603" s="2" t="s">
        <v>54</v>
      </c>
      <c r="E4603" s="2" t="s">
        <v>30</v>
      </c>
      <c r="F4603" s="2" t="s">
        <v>289</v>
      </c>
      <c r="G4603" s="2" t="s">
        <v>23</v>
      </c>
      <c r="H4603" s="2" t="s">
        <v>23</v>
      </c>
      <c r="I4603" s="2" t="s">
        <v>23</v>
      </c>
      <c r="J4603" s="2">
        <v>2</v>
      </c>
      <c r="K4603" s="2" t="s">
        <v>48</v>
      </c>
      <c r="L4603" s="2">
        <v>801</v>
      </c>
      <c r="M4603" s="2" t="s">
        <v>56</v>
      </c>
      <c r="N4603" s="2">
        <v>3</v>
      </c>
      <c r="O4603" s="2">
        <v>59767.54</v>
      </c>
      <c r="P4603" s="2">
        <v>19922.509999999998</v>
      </c>
    </row>
    <row r="4604" spans="1:16" outlineLevel="2" x14ac:dyDescent="0.2">
      <c r="A4604" s="5">
        <v>46218</v>
      </c>
      <c r="B4604" s="2">
        <v>160832</v>
      </c>
      <c r="C4604" s="2">
        <v>320</v>
      </c>
      <c r="D4604" s="2" t="s">
        <v>54</v>
      </c>
      <c r="E4604" s="2" t="s">
        <v>30</v>
      </c>
      <c r="F4604" s="2" t="s">
        <v>289</v>
      </c>
      <c r="G4604" s="2" t="s">
        <v>22</v>
      </c>
      <c r="H4604" s="2" t="s">
        <v>23</v>
      </c>
      <c r="I4604" s="2" t="s">
        <v>23</v>
      </c>
      <c r="J4604" s="2">
        <v>2</v>
      </c>
      <c r="K4604" s="2" t="s">
        <v>48</v>
      </c>
      <c r="L4604" s="2">
        <v>801</v>
      </c>
      <c r="M4604" s="2" t="s">
        <v>56</v>
      </c>
      <c r="N4604" s="2">
        <v>10</v>
      </c>
      <c r="O4604" s="2">
        <v>230339.8</v>
      </c>
      <c r="P4604" s="2">
        <v>23033.98</v>
      </c>
    </row>
    <row r="4605" spans="1:16" outlineLevel="1" x14ac:dyDescent="0.2">
      <c r="A4605" s="5"/>
      <c r="D4605" s="3" t="s">
        <v>719</v>
      </c>
      <c r="N4605" s="2">
        <f>SUBTOTAL(9,N4603:N4604)</f>
        <v>13</v>
      </c>
      <c r="O4605" s="2">
        <f>SUBTOTAL(9,O4603:O4604)</f>
        <v>290107.33999999997</v>
      </c>
      <c r="P4605" s="2">
        <f>+O4605/N4605</f>
        <v>22315.949230769227</v>
      </c>
    </row>
    <row r="4606" spans="1:16" outlineLevel="2" x14ac:dyDescent="0.2">
      <c r="A4606" s="5">
        <v>46216</v>
      </c>
      <c r="B4606" s="2">
        <v>160833</v>
      </c>
      <c r="C4606" s="2">
        <v>2</v>
      </c>
      <c r="D4606" s="2" t="s">
        <v>229</v>
      </c>
      <c r="E4606" s="2" t="s">
        <v>439</v>
      </c>
      <c r="F4606" s="2" t="s">
        <v>40</v>
      </c>
      <c r="G4606" s="2" t="s">
        <v>22</v>
      </c>
      <c r="H4606" s="2" t="s">
        <v>23</v>
      </c>
      <c r="I4606" s="2" t="s">
        <v>101</v>
      </c>
      <c r="J4606" s="2">
        <v>1</v>
      </c>
      <c r="K4606" s="2" t="s">
        <v>24</v>
      </c>
      <c r="L4606" s="2">
        <v>331</v>
      </c>
      <c r="M4606" s="2" t="s">
        <v>356</v>
      </c>
      <c r="N4606" s="2">
        <v>667</v>
      </c>
      <c r="O4606" s="2">
        <v>7217653.0899999999</v>
      </c>
      <c r="P4606" s="2">
        <v>10821.07</v>
      </c>
    </row>
    <row r="4607" spans="1:16" outlineLevel="1" x14ac:dyDescent="0.2">
      <c r="A4607" s="5"/>
      <c r="D4607" s="3" t="s">
        <v>737</v>
      </c>
      <c r="N4607" s="2">
        <f>SUBTOTAL(9,N4606:N4606)</f>
        <v>667</v>
      </c>
      <c r="O4607" s="2">
        <f>SUBTOTAL(9,O4606:O4606)</f>
        <v>7217653.0899999999</v>
      </c>
      <c r="P4607" s="2">
        <f>+O4607/N4607</f>
        <v>10821.069100449775</v>
      </c>
    </row>
    <row r="4608" spans="1:16" outlineLevel="2" x14ac:dyDescent="0.2">
      <c r="A4608" s="5">
        <v>46255</v>
      </c>
      <c r="B4608" s="2">
        <v>160834</v>
      </c>
      <c r="C4608" s="2">
        <v>1</v>
      </c>
      <c r="D4608" s="2" t="s">
        <v>150</v>
      </c>
      <c r="E4608" s="2" t="s">
        <v>151</v>
      </c>
      <c r="F4608" s="2" t="s">
        <v>40</v>
      </c>
      <c r="G4608" s="2" t="s">
        <v>22</v>
      </c>
      <c r="H4608" s="2" t="s">
        <v>23</v>
      </c>
      <c r="I4608" s="2" t="s">
        <v>466</v>
      </c>
      <c r="J4608" s="2">
        <v>1</v>
      </c>
      <c r="K4608" s="2" t="s">
        <v>24</v>
      </c>
      <c r="L4608" s="2">
        <v>634</v>
      </c>
      <c r="M4608" s="2" t="s">
        <v>153</v>
      </c>
      <c r="N4608" s="2">
        <v>67</v>
      </c>
      <c r="O4608" s="2">
        <v>1028998.09</v>
      </c>
      <c r="P4608" s="2">
        <v>15358.18</v>
      </c>
    </row>
    <row r="4609" spans="1:16" outlineLevel="2" x14ac:dyDescent="0.2">
      <c r="A4609" s="5">
        <v>46239</v>
      </c>
      <c r="B4609" s="2">
        <v>160834</v>
      </c>
      <c r="C4609" s="2">
        <v>2</v>
      </c>
      <c r="D4609" s="2" t="s">
        <v>150</v>
      </c>
      <c r="E4609" s="2" t="s">
        <v>151</v>
      </c>
      <c r="F4609" s="2" t="s">
        <v>40</v>
      </c>
      <c r="G4609" s="2" t="s">
        <v>22</v>
      </c>
      <c r="H4609" s="2" t="s">
        <v>23</v>
      </c>
      <c r="I4609" s="2" t="s">
        <v>100</v>
      </c>
      <c r="J4609" s="2">
        <v>1</v>
      </c>
      <c r="K4609" s="2" t="s">
        <v>24</v>
      </c>
      <c r="L4609" s="2">
        <v>634</v>
      </c>
      <c r="M4609" s="2" t="s">
        <v>153</v>
      </c>
      <c r="N4609" s="2">
        <v>113</v>
      </c>
      <c r="O4609" s="2">
        <v>2137337.2200000002</v>
      </c>
      <c r="P4609" s="2">
        <v>18914.490000000002</v>
      </c>
    </row>
    <row r="4610" spans="1:16" outlineLevel="2" x14ac:dyDescent="0.2">
      <c r="A4610" s="5">
        <v>46231</v>
      </c>
      <c r="B4610" s="2">
        <v>160834</v>
      </c>
      <c r="C4610" s="2">
        <v>5</v>
      </c>
      <c r="D4610" s="2" t="s">
        <v>150</v>
      </c>
      <c r="E4610" s="2" t="s">
        <v>151</v>
      </c>
      <c r="F4610" s="2" t="s">
        <v>40</v>
      </c>
      <c r="G4610" s="2" t="s">
        <v>22</v>
      </c>
      <c r="H4610" s="2" t="s">
        <v>23</v>
      </c>
      <c r="I4610" s="2" t="s">
        <v>154</v>
      </c>
      <c r="J4610" s="2">
        <v>1</v>
      </c>
      <c r="K4610" s="2" t="s">
        <v>24</v>
      </c>
      <c r="L4610" s="2">
        <v>2120</v>
      </c>
      <c r="M4610" s="2" t="s">
        <v>196</v>
      </c>
      <c r="N4610" s="2">
        <v>42</v>
      </c>
      <c r="O4610" s="2">
        <v>697060.4</v>
      </c>
      <c r="P4610" s="2">
        <v>16596.68</v>
      </c>
    </row>
    <row r="4611" spans="1:16" outlineLevel="1" x14ac:dyDescent="0.2">
      <c r="A4611" s="5"/>
      <c r="D4611" s="3" t="s">
        <v>718</v>
      </c>
      <c r="N4611" s="2">
        <f>SUBTOTAL(9,N4608:N4610)</f>
        <v>222</v>
      </c>
      <c r="O4611" s="2">
        <f>SUBTOTAL(9,O4608:O4610)</f>
        <v>3863395.71</v>
      </c>
      <c r="P4611" s="2">
        <f>+O4611/N4611</f>
        <v>17402.683378378377</v>
      </c>
    </row>
    <row r="4612" spans="1:16" outlineLevel="2" x14ac:dyDescent="0.2">
      <c r="A4612" s="5">
        <v>46218</v>
      </c>
      <c r="B4612" s="2">
        <v>160835</v>
      </c>
      <c r="C4612" s="2">
        <v>1</v>
      </c>
      <c r="D4612" s="2" t="s">
        <v>38</v>
      </c>
      <c r="E4612" s="2" t="s">
        <v>39</v>
      </c>
      <c r="F4612" s="2" t="s">
        <v>40</v>
      </c>
      <c r="G4612" s="2" t="s">
        <v>41</v>
      </c>
      <c r="H4612" s="2" t="s">
        <v>23</v>
      </c>
      <c r="I4612" s="2" t="s">
        <v>182</v>
      </c>
      <c r="J4612" s="2">
        <v>40</v>
      </c>
      <c r="K4612" s="2" t="s">
        <v>43</v>
      </c>
      <c r="L4612" s="2">
        <v>1502</v>
      </c>
      <c r="M4612" s="2" t="s">
        <v>114</v>
      </c>
      <c r="N4612" s="2">
        <v>176</v>
      </c>
      <c r="O4612" s="2">
        <v>5633000.8499999996</v>
      </c>
      <c r="P4612" s="2">
        <v>32005.69</v>
      </c>
    </row>
    <row r="4613" spans="1:16" outlineLevel="2" x14ac:dyDescent="0.2">
      <c r="A4613" s="5">
        <v>46220</v>
      </c>
      <c r="B4613" s="2">
        <v>160835</v>
      </c>
      <c r="C4613" s="2">
        <v>5</v>
      </c>
      <c r="D4613" s="2" t="s">
        <v>38</v>
      </c>
      <c r="E4613" s="2" t="s">
        <v>39</v>
      </c>
      <c r="F4613" s="2" t="s">
        <v>40</v>
      </c>
      <c r="G4613" s="2" t="s">
        <v>407</v>
      </c>
      <c r="H4613" s="2" t="s">
        <v>23</v>
      </c>
      <c r="I4613" s="2" t="s">
        <v>184</v>
      </c>
      <c r="J4613" s="2">
        <v>40</v>
      </c>
      <c r="K4613" s="2" t="s">
        <v>43</v>
      </c>
      <c r="L4613" s="2">
        <v>25243</v>
      </c>
      <c r="M4613" s="2" t="s">
        <v>617</v>
      </c>
      <c r="N4613" s="2">
        <v>528</v>
      </c>
      <c r="O4613" s="2">
        <v>15895502.48</v>
      </c>
      <c r="P4613" s="2">
        <v>30105.119999999999</v>
      </c>
    </row>
    <row r="4614" spans="1:16" outlineLevel="2" x14ac:dyDescent="0.2">
      <c r="A4614" s="5">
        <v>46220</v>
      </c>
      <c r="B4614" s="2">
        <v>160835</v>
      </c>
      <c r="C4614" s="2">
        <v>6</v>
      </c>
      <c r="D4614" s="2" t="s">
        <v>38</v>
      </c>
      <c r="E4614" s="2" t="s">
        <v>39</v>
      </c>
      <c r="F4614" s="2" t="s">
        <v>40</v>
      </c>
      <c r="G4614" s="2" t="s">
        <v>407</v>
      </c>
      <c r="H4614" s="2" t="s">
        <v>23</v>
      </c>
      <c r="I4614" s="2" t="s">
        <v>614</v>
      </c>
      <c r="J4614" s="2">
        <v>40</v>
      </c>
      <c r="K4614" s="2" t="s">
        <v>43</v>
      </c>
      <c r="L4614" s="2">
        <v>25243</v>
      </c>
      <c r="M4614" s="2" t="s">
        <v>617</v>
      </c>
      <c r="N4614" s="2">
        <v>704</v>
      </c>
      <c r="O4614" s="2">
        <v>22472244.550000001</v>
      </c>
      <c r="P4614" s="2">
        <v>31920.799999999999</v>
      </c>
    </row>
    <row r="4615" spans="1:16" outlineLevel="1" x14ac:dyDescent="0.2">
      <c r="A4615" s="5"/>
      <c r="D4615" s="3" t="s">
        <v>721</v>
      </c>
      <c r="N4615" s="2">
        <f>SUBTOTAL(9,N4612:N4614)</f>
        <v>1408</v>
      </c>
      <c r="O4615" s="2">
        <f>SUBTOTAL(9,O4612:O4614)</f>
        <v>44000747.879999995</v>
      </c>
      <c r="P4615" s="2">
        <f>+O4615/N4615</f>
        <v>31250.531164772725</v>
      </c>
    </row>
    <row r="4616" spans="1:16" outlineLevel="2" x14ac:dyDescent="0.2">
      <c r="A4616" s="5">
        <v>46237</v>
      </c>
      <c r="B4616" s="2">
        <v>160837</v>
      </c>
      <c r="C4616" s="2">
        <v>1</v>
      </c>
      <c r="D4616" s="2" t="s">
        <v>637</v>
      </c>
      <c r="E4616" s="2" t="s">
        <v>39</v>
      </c>
      <c r="F4616" s="2" t="s">
        <v>40</v>
      </c>
      <c r="G4616" s="2" t="s">
        <v>22</v>
      </c>
      <c r="H4616" s="2" t="s">
        <v>23</v>
      </c>
      <c r="I4616" s="2" t="s">
        <v>184</v>
      </c>
      <c r="J4616" s="2">
        <v>40</v>
      </c>
      <c r="K4616" s="2" t="s">
        <v>43</v>
      </c>
      <c r="L4616" s="2">
        <v>25243</v>
      </c>
      <c r="M4616" s="2" t="s">
        <v>617</v>
      </c>
      <c r="N4616" s="2">
        <v>22</v>
      </c>
      <c r="O4616" s="2">
        <v>506571.56</v>
      </c>
      <c r="P4616" s="2">
        <v>23025.98</v>
      </c>
    </row>
    <row r="4617" spans="1:16" outlineLevel="1" x14ac:dyDescent="0.2">
      <c r="A4617" s="5"/>
      <c r="D4617" s="3" t="s">
        <v>807</v>
      </c>
      <c r="N4617" s="2">
        <f>SUBTOTAL(9,N4616:N4616)</f>
        <v>22</v>
      </c>
      <c r="O4617" s="2">
        <f>SUBTOTAL(9,O4616:O4616)</f>
        <v>506571.56</v>
      </c>
      <c r="P4617" s="2">
        <f>+O4617/N4617</f>
        <v>23025.98</v>
      </c>
    </row>
    <row r="4618" spans="1:16" outlineLevel="2" x14ac:dyDescent="0.2">
      <c r="A4618" s="5">
        <v>46223</v>
      </c>
      <c r="B4618" s="2">
        <v>160837</v>
      </c>
      <c r="C4618" s="2">
        <v>2</v>
      </c>
      <c r="D4618" s="2" t="s">
        <v>38</v>
      </c>
      <c r="E4618" s="2" t="s">
        <v>39</v>
      </c>
      <c r="F4618" s="2" t="s">
        <v>40</v>
      </c>
      <c r="G4618" s="2" t="s">
        <v>22</v>
      </c>
      <c r="H4618" s="2" t="s">
        <v>41</v>
      </c>
      <c r="I4618" s="2" t="s">
        <v>614</v>
      </c>
      <c r="J4618" s="2">
        <v>40</v>
      </c>
      <c r="K4618" s="2" t="s">
        <v>43</v>
      </c>
      <c r="L4618" s="2">
        <v>25243</v>
      </c>
      <c r="M4618" s="2" t="s">
        <v>617</v>
      </c>
      <c r="N4618" s="2">
        <v>343</v>
      </c>
      <c r="O4618" s="2">
        <v>10537959.859999999</v>
      </c>
      <c r="P4618" s="2">
        <v>30722.92</v>
      </c>
    </row>
    <row r="4619" spans="1:16" outlineLevel="2" x14ac:dyDescent="0.2">
      <c r="A4619" s="5">
        <v>46223</v>
      </c>
      <c r="B4619" s="2">
        <v>160837</v>
      </c>
      <c r="C4619" s="2">
        <v>3</v>
      </c>
      <c r="D4619" s="2" t="s">
        <v>38</v>
      </c>
      <c r="E4619" s="2" t="s">
        <v>39</v>
      </c>
      <c r="F4619" s="2" t="s">
        <v>40</v>
      </c>
      <c r="G4619" s="2" t="s">
        <v>22</v>
      </c>
      <c r="H4619" s="2" t="s">
        <v>41</v>
      </c>
      <c r="I4619" s="2" t="s">
        <v>394</v>
      </c>
      <c r="J4619" s="2">
        <v>40</v>
      </c>
      <c r="K4619" s="2" t="s">
        <v>43</v>
      </c>
      <c r="L4619" s="2">
        <v>25243</v>
      </c>
      <c r="M4619" s="2" t="s">
        <v>617</v>
      </c>
      <c r="N4619" s="2">
        <v>32</v>
      </c>
      <c r="O4619" s="2">
        <v>1044188.48</v>
      </c>
      <c r="P4619" s="2">
        <v>32630.89</v>
      </c>
    </row>
    <row r="4620" spans="1:16" outlineLevel="1" x14ac:dyDescent="0.2">
      <c r="A4620" s="5"/>
      <c r="D4620" s="3" t="s">
        <v>721</v>
      </c>
      <c r="N4620" s="2">
        <f>SUBTOTAL(9,N4618:N4619)</f>
        <v>375</v>
      </c>
      <c r="O4620" s="2">
        <f>SUBTOTAL(9,O4618:O4619)</f>
        <v>11582148.34</v>
      </c>
      <c r="P4620" s="2">
        <f>+O4620/N4620</f>
        <v>30885.728906666667</v>
      </c>
    </row>
    <row r="4621" spans="1:16" outlineLevel="2" x14ac:dyDescent="0.2">
      <c r="A4621" s="5">
        <v>46220</v>
      </c>
      <c r="B4621" s="2">
        <v>160844</v>
      </c>
      <c r="C4621" s="2">
        <v>4</v>
      </c>
      <c r="D4621" s="2" t="s">
        <v>45</v>
      </c>
      <c r="E4621" s="2" t="s">
        <v>125</v>
      </c>
      <c r="F4621" s="2" t="s">
        <v>23</v>
      </c>
      <c r="G4621" s="2" t="s">
        <v>22</v>
      </c>
      <c r="H4621" s="2" t="s">
        <v>23</v>
      </c>
      <c r="I4621" s="2" t="s">
        <v>23</v>
      </c>
      <c r="J4621" s="2">
        <v>2</v>
      </c>
      <c r="K4621" s="2" t="s">
        <v>48</v>
      </c>
      <c r="L4621" s="2">
        <v>29105</v>
      </c>
      <c r="M4621" s="2" t="s">
        <v>638</v>
      </c>
      <c r="N4621" s="2">
        <v>3</v>
      </c>
      <c r="O4621" s="2">
        <v>23363.41</v>
      </c>
      <c r="P4621" s="2">
        <v>7787.8</v>
      </c>
    </row>
    <row r="4622" spans="1:16" outlineLevel="1" x14ac:dyDescent="0.2">
      <c r="A4622" s="5"/>
      <c r="D4622" s="3" t="s">
        <v>733</v>
      </c>
      <c r="N4622" s="2">
        <f>SUBTOTAL(9,N4621:N4621)</f>
        <v>3</v>
      </c>
      <c r="O4622" s="2">
        <f>SUBTOTAL(9,O4621:O4621)</f>
        <v>23363.41</v>
      </c>
      <c r="P4622" s="2">
        <f>+O4622/N4622</f>
        <v>7787.8033333333333</v>
      </c>
    </row>
    <row r="4623" spans="1:16" outlineLevel="2" x14ac:dyDescent="0.2">
      <c r="A4623" s="5">
        <v>46216</v>
      </c>
      <c r="B4623" s="2">
        <v>160849</v>
      </c>
      <c r="C4623" s="2">
        <v>502</v>
      </c>
      <c r="D4623" s="2" t="s">
        <v>54</v>
      </c>
      <c r="E4623" s="2" t="s">
        <v>20</v>
      </c>
      <c r="F4623" s="2" t="s">
        <v>23</v>
      </c>
      <c r="G4623" s="2" t="s">
        <v>22</v>
      </c>
      <c r="H4623" s="2" t="s">
        <v>23</v>
      </c>
      <c r="I4623" s="2" t="s">
        <v>23</v>
      </c>
      <c r="J4623" s="2">
        <v>2</v>
      </c>
      <c r="K4623" s="2" t="s">
        <v>48</v>
      </c>
      <c r="L4623" s="2">
        <v>25234</v>
      </c>
      <c r="M4623" s="2" t="s">
        <v>49</v>
      </c>
      <c r="N4623" s="2">
        <v>4</v>
      </c>
      <c r="O4623" s="2">
        <v>40796.75</v>
      </c>
      <c r="P4623" s="2">
        <v>10199.19</v>
      </c>
    </row>
    <row r="4624" spans="1:16" outlineLevel="2" x14ac:dyDescent="0.2">
      <c r="A4624" s="5">
        <v>46225</v>
      </c>
      <c r="B4624" s="2">
        <v>160851</v>
      </c>
      <c r="C4624" s="2">
        <v>302</v>
      </c>
      <c r="D4624" s="2" t="s">
        <v>54</v>
      </c>
      <c r="E4624" s="2" t="s">
        <v>30</v>
      </c>
      <c r="F4624" s="2" t="s">
        <v>55</v>
      </c>
      <c r="G4624" s="2" t="s">
        <v>23</v>
      </c>
      <c r="H4624" s="2" t="s">
        <v>23</v>
      </c>
      <c r="I4624" s="2" t="s">
        <v>23</v>
      </c>
      <c r="J4624" s="2">
        <v>2</v>
      </c>
      <c r="K4624" s="2" t="s">
        <v>48</v>
      </c>
      <c r="L4624" s="2">
        <v>341</v>
      </c>
      <c r="M4624" s="2" t="s">
        <v>142</v>
      </c>
      <c r="N4624" s="2">
        <v>24</v>
      </c>
      <c r="O4624" s="2">
        <v>414666.3</v>
      </c>
      <c r="P4624" s="2">
        <v>17277.759999999998</v>
      </c>
    </row>
    <row r="4625" spans="1:16" outlineLevel="1" x14ac:dyDescent="0.2">
      <c r="A4625" s="5"/>
      <c r="D4625" s="3" t="s">
        <v>719</v>
      </c>
      <c r="N4625" s="2">
        <f>SUBTOTAL(9,N4623:N4624)</f>
        <v>28</v>
      </c>
      <c r="O4625" s="2">
        <f>SUBTOTAL(9,O4623:O4624)</f>
        <v>455463.05</v>
      </c>
      <c r="P4625" s="2">
        <f>+O4625/N4625</f>
        <v>16266.5375</v>
      </c>
    </row>
    <row r="4626" spans="1:16" outlineLevel="2" x14ac:dyDescent="0.2">
      <c r="A4626" s="5">
        <v>46218</v>
      </c>
      <c r="B4626" s="2">
        <v>160863</v>
      </c>
      <c r="C4626" s="2">
        <v>1</v>
      </c>
      <c r="D4626" s="2" t="s">
        <v>128</v>
      </c>
      <c r="E4626" s="2" t="s">
        <v>23</v>
      </c>
      <c r="F4626" s="2" t="s">
        <v>47</v>
      </c>
      <c r="G4626" s="2" t="s">
        <v>22</v>
      </c>
      <c r="H4626" s="2" t="s">
        <v>23</v>
      </c>
      <c r="I4626" s="2" t="s">
        <v>23</v>
      </c>
      <c r="J4626" s="2">
        <v>1</v>
      </c>
      <c r="K4626" s="2" t="s">
        <v>24</v>
      </c>
      <c r="L4626" s="2">
        <v>25213</v>
      </c>
      <c r="M4626" s="2" t="s">
        <v>130</v>
      </c>
      <c r="N4626" s="2">
        <v>6</v>
      </c>
      <c r="O4626" s="2">
        <v>544249.74</v>
      </c>
      <c r="P4626" s="2">
        <v>90708.29</v>
      </c>
    </row>
    <row r="4627" spans="1:16" outlineLevel="1" x14ac:dyDescent="0.2">
      <c r="A4627" s="5"/>
      <c r="D4627" s="3" t="s">
        <v>732</v>
      </c>
      <c r="N4627" s="2">
        <f>SUBTOTAL(9,N4626:N4626)</f>
        <v>6</v>
      </c>
      <c r="O4627" s="2">
        <f>SUBTOTAL(9,O4626:O4626)</f>
        <v>544249.74</v>
      </c>
      <c r="P4627" s="2">
        <f>+O4627/N4627</f>
        <v>90708.29</v>
      </c>
    </row>
    <row r="4628" spans="1:16" outlineLevel="2" x14ac:dyDescent="0.2">
      <c r="A4628" s="5">
        <v>46218</v>
      </c>
      <c r="B4628" s="2">
        <v>160863</v>
      </c>
      <c r="C4628" s="2">
        <v>2</v>
      </c>
      <c r="D4628" s="2" t="s">
        <v>207</v>
      </c>
      <c r="E4628" s="2" t="s">
        <v>23</v>
      </c>
      <c r="F4628" s="2" t="s">
        <v>47</v>
      </c>
      <c r="G4628" s="2" t="s">
        <v>210</v>
      </c>
      <c r="H4628" s="2" t="s">
        <v>23</v>
      </c>
      <c r="I4628" s="2" t="s">
        <v>23</v>
      </c>
      <c r="J4628" s="2">
        <v>1</v>
      </c>
      <c r="K4628" s="2" t="s">
        <v>24</v>
      </c>
      <c r="L4628" s="2">
        <v>25213</v>
      </c>
      <c r="M4628" s="2" t="s">
        <v>130</v>
      </c>
      <c r="N4628" s="2">
        <v>3</v>
      </c>
      <c r="O4628" s="2">
        <v>196983.07</v>
      </c>
      <c r="P4628" s="2">
        <v>65661.02</v>
      </c>
    </row>
    <row r="4629" spans="1:16" outlineLevel="2" x14ac:dyDescent="0.2">
      <c r="A4629" s="5">
        <v>46218</v>
      </c>
      <c r="B4629" s="2">
        <v>160863</v>
      </c>
      <c r="C4629" s="2">
        <v>3</v>
      </c>
      <c r="D4629" s="2" t="s">
        <v>207</v>
      </c>
      <c r="E4629" s="2" t="s">
        <v>23</v>
      </c>
      <c r="F4629" s="2" t="s">
        <v>47</v>
      </c>
      <c r="G4629" s="2" t="s">
        <v>22</v>
      </c>
      <c r="H4629" s="2" t="s">
        <v>23</v>
      </c>
      <c r="I4629" s="2" t="s">
        <v>23</v>
      </c>
      <c r="J4629" s="2">
        <v>1</v>
      </c>
      <c r="K4629" s="2" t="s">
        <v>24</v>
      </c>
      <c r="L4629" s="2">
        <v>25213</v>
      </c>
      <c r="M4629" s="2" t="s">
        <v>130</v>
      </c>
      <c r="N4629" s="2">
        <v>6</v>
      </c>
      <c r="O4629" s="2">
        <v>486376.54</v>
      </c>
      <c r="P4629" s="2">
        <v>81062.759999999995</v>
      </c>
    </row>
    <row r="4630" spans="1:16" outlineLevel="1" x14ac:dyDescent="0.2">
      <c r="A4630" s="5"/>
      <c r="D4630" s="3" t="s">
        <v>699</v>
      </c>
      <c r="N4630" s="2">
        <f>SUBTOTAL(9,N4628:N4629)</f>
        <v>9</v>
      </c>
      <c r="O4630" s="2">
        <f>SUBTOTAL(9,O4628:O4629)</f>
        <v>683359.61</v>
      </c>
      <c r="P4630" s="2">
        <f>+O4630/N4630</f>
        <v>75928.845555555556</v>
      </c>
    </row>
    <row r="4631" spans="1:16" outlineLevel="2" x14ac:dyDescent="0.2">
      <c r="A4631" s="5">
        <v>46218</v>
      </c>
      <c r="B4631" s="2">
        <v>160863</v>
      </c>
      <c r="C4631" s="2">
        <v>4</v>
      </c>
      <c r="D4631" s="2" t="s">
        <v>128</v>
      </c>
      <c r="E4631" s="2" t="s">
        <v>23</v>
      </c>
      <c r="F4631" s="2" t="s">
        <v>47</v>
      </c>
      <c r="G4631" s="2" t="s">
        <v>22</v>
      </c>
      <c r="H4631" s="2" t="s">
        <v>23</v>
      </c>
      <c r="I4631" s="2" t="s">
        <v>23</v>
      </c>
      <c r="J4631" s="2">
        <v>41</v>
      </c>
      <c r="K4631" s="2" t="s">
        <v>129</v>
      </c>
      <c r="L4631" s="2">
        <v>25213</v>
      </c>
      <c r="M4631" s="2" t="s">
        <v>130</v>
      </c>
      <c r="N4631" s="2">
        <v>50</v>
      </c>
      <c r="O4631" s="2">
        <v>179055.14</v>
      </c>
      <c r="P4631" s="2">
        <v>3581.1</v>
      </c>
    </row>
    <row r="4632" spans="1:16" outlineLevel="1" x14ac:dyDescent="0.2">
      <c r="A4632" s="5"/>
      <c r="D4632" s="3" t="s">
        <v>732</v>
      </c>
      <c r="N4632" s="2">
        <f>SUBTOTAL(9,N4631:N4631)</f>
        <v>50</v>
      </c>
      <c r="O4632" s="2">
        <f>SUBTOTAL(9,O4631:O4631)</f>
        <v>179055.14</v>
      </c>
      <c r="P4632" s="2">
        <f>+O4632/N4632</f>
        <v>3581.1028000000001</v>
      </c>
    </row>
    <row r="4633" spans="1:16" outlineLevel="2" x14ac:dyDescent="0.2">
      <c r="A4633" s="5">
        <v>46218</v>
      </c>
      <c r="B4633" s="2">
        <v>160863</v>
      </c>
      <c r="C4633" s="2">
        <v>5</v>
      </c>
      <c r="D4633" s="2" t="s">
        <v>207</v>
      </c>
      <c r="E4633" s="2" t="s">
        <v>23</v>
      </c>
      <c r="F4633" s="2" t="s">
        <v>47</v>
      </c>
      <c r="G4633" s="2" t="s">
        <v>22</v>
      </c>
      <c r="H4633" s="2" t="s">
        <v>209</v>
      </c>
      <c r="I4633" s="2" t="s">
        <v>23</v>
      </c>
      <c r="J4633" s="2">
        <v>41</v>
      </c>
      <c r="K4633" s="2" t="s">
        <v>129</v>
      </c>
      <c r="L4633" s="2">
        <v>25213</v>
      </c>
      <c r="M4633" s="2" t="s">
        <v>130</v>
      </c>
      <c r="N4633" s="2">
        <v>25</v>
      </c>
      <c r="O4633" s="2">
        <v>74592.710000000006</v>
      </c>
      <c r="P4633" s="2">
        <v>2983.71</v>
      </c>
    </row>
    <row r="4634" spans="1:16" outlineLevel="2" x14ac:dyDescent="0.2">
      <c r="A4634" s="5">
        <v>46218</v>
      </c>
      <c r="B4634" s="2">
        <v>160863</v>
      </c>
      <c r="C4634" s="2">
        <v>6</v>
      </c>
      <c r="D4634" s="2" t="s">
        <v>207</v>
      </c>
      <c r="E4634" s="2" t="s">
        <v>23</v>
      </c>
      <c r="F4634" s="2" t="s">
        <v>47</v>
      </c>
      <c r="G4634" s="2" t="s">
        <v>22</v>
      </c>
      <c r="H4634" s="2" t="s">
        <v>639</v>
      </c>
      <c r="I4634" s="2" t="s">
        <v>23</v>
      </c>
      <c r="J4634" s="2">
        <v>41</v>
      </c>
      <c r="K4634" s="2" t="s">
        <v>129</v>
      </c>
      <c r="L4634" s="2">
        <v>25213</v>
      </c>
      <c r="M4634" s="2" t="s">
        <v>130</v>
      </c>
      <c r="N4634" s="2">
        <v>50</v>
      </c>
      <c r="O4634" s="2">
        <v>171587.5</v>
      </c>
      <c r="P4634" s="2">
        <v>3431.75</v>
      </c>
    </row>
    <row r="4635" spans="1:16" outlineLevel="1" x14ac:dyDescent="0.2">
      <c r="A4635" s="5"/>
      <c r="D4635" s="3" t="s">
        <v>699</v>
      </c>
      <c r="N4635" s="2">
        <f>SUBTOTAL(9,N4633:N4634)</f>
        <v>75</v>
      </c>
      <c r="O4635" s="2">
        <f>SUBTOTAL(9,O4633:O4634)</f>
        <v>246180.21000000002</v>
      </c>
      <c r="P4635" s="2">
        <f>+O4635/N4635</f>
        <v>3282.4028000000003</v>
      </c>
    </row>
    <row r="4636" spans="1:16" outlineLevel="2" x14ac:dyDescent="0.2">
      <c r="A4636" s="5">
        <v>46218</v>
      </c>
      <c r="B4636" s="2">
        <v>160864</v>
      </c>
      <c r="C4636" s="2">
        <v>1</v>
      </c>
      <c r="D4636" s="2" t="s">
        <v>140</v>
      </c>
      <c r="E4636" s="2" t="s">
        <v>23</v>
      </c>
      <c r="F4636" s="2" t="s">
        <v>108</v>
      </c>
      <c r="G4636" s="2" t="s">
        <v>22</v>
      </c>
      <c r="H4636" s="2" t="s">
        <v>23</v>
      </c>
      <c r="I4636" s="2" t="s">
        <v>23</v>
      </c>
      <c r="J4636" s="2">
        <v>1</v>
      </c>
      <c r="K4636" s="2" t="s">
        <v>24</v>
      </c>
      <c r="L4636" s="2">
        <v>1503</v>
      </c>
      <c r="M4636" s="2" t="s">
        <v>603</v>
      </c>
      <c r="N4636" s="2">
        <v>54</v>
      </c>
      <c r="O4636" s="2">
        <v>1398222.27</v>
      </c>
      <c r="P4636" s="2">
        <v>25893.01</v>
      </c>
    </row>
    <row r="4637" spans="1:16" outlineLevel="1" x14ac:dyDescent="0.2">
      <c r="A4637" s="5"/>
      <c r="D4637" s="3" t="s">
        <v>696</v>
      </c>
      <c r="N4637" s="2">
        <f>SUBTOTAL(9,N4636:N4636)</f>
        <v>54</v>
      </c>
      <c r="O4637" s="2">
        <f>SUBTOTAL(9,O4636:O4636)</f>
        <v>1398222.27</v>
      </c>
      <c r="P4637" s="2">
        <f>+O4637/N4637</f>
        <v>25893.005000000001</v>
      </c>
    </row>
    <row r="4638" spans="1:16" outlineLevel="2" x14ac:dyDescent="0.2">
      <c r="A4638" s="5">
        <v>46218</v>
      </c>
      <c r="B4638" s="2">
        <v>160865</v>
      </c>
      <c r="C4638" s="2">
        <v>1</v>
      </c>
      <c r="D4638" s="2" t="s">
        <v>474</v>
      </c>
      <c r="E4638" s="2" t="s">
        <v>475</v>
      </c>
      <c r="F4638" s="2" t="s">
        <v>47</v>
      </c>
      <c r="G4638" s="2" t="s">
        <v>22</v>
      </c>
      <c r="H4638" s="2" t="s">
        <v>23</v>
      </c>
      <c r="I4638" s="2" t="s">
        <v>23</v>
      </c>
      <c r="J4638" s="2">
        <v>41</v>
      </c>
      <c r="K4638" s="2" t="s">
        <v>129</v>
      </c>
      <c r="L4638" s="2">
        <v>2338</v>
      </c>
      <c r="M4638" s="2" t="s">
        <v>417</v>
      </c>
      <c r="N4638" s="2">
        <v>352</v>
      </c>
      <c r="O4638" s="2">
        <v>349045.43</v>
      </c>
      <c r="P4638" s="2">
        <v>991.61</v>
      </c>
    </row>
    <row r="4639" spans="1:16" outlineLevel="1" x14ac:dyDescent="0.2">
      <c r="A4639" s="5"/>
      <c r="D4639" s="3" t="s">
        <v>780</v>
      </c>
      <c r="N4639" s="2">
        <f>SUBTOTAL(9,N4638:N4638)</f>
        <v>352</v>
      </c>
      <c r="O4639" s="2">
        <f>SUBTOTAL(9,O4638:O4638)</f>
        <v>349045.43</v>
      </c>
      <c r="P4639" s="2">
        <f>+O4639/N4639</f>
        <v>991.60633522727267</v>
      </c>
    </row>
    <row r="4640" spans="1:16" outlineLevel="2" x14ac:dyDescent="0.2">
      <c r="A4640" s="5">
        <v>46216</v>
      </c>
      <c r="B4640" s="2">
        <v>160910</v>
      </c>
      <c r="C4640" s="2">
        <v>6</v>
      </c>
      <c r="D4640" s="2" t="s">
        <v>45</v>
      </c>
      <c r="E4640" s="2" t="s">
        <v>125</v>
      </c>
      <c r="F4640" s="2" t="s">
        <v>289</v>
      </c>
      <c r="G4640" s="2" t="s">
        <v>22</v>
      </c>
      <c r="H4640" s="2" t="s">
        <v>23</v>
      </c>
      <c r="I4640" s="2" t="s">
        <v>23</v>
      </c>
      <c r="J4640" s="2">
        <v>2</v>
      </c>
      <c r="K4640" s="2" t="s">
        <v>48</v>
      </c>
      <c r="L4640" s="2">
        <v>106</v>
      </c>
      <c r="M4640" s="2" t="s">
        <v>486</v>
      </c>
      <c r="N4640" s="2">
        <v>56</v>
      </c>
      <c r="O4640" s="2">
        <v>1837501.66</v>
      </c>
      <c r="P4640" s="2">
        <v>32812.53</v>
      </c>
    </row>
    <row r="4641" spans="1:16" outlineLevel="1" x14ac:dyDescent="0.2">
      <c r="A4641" s="5"/>
      <c r="D4641" s="3" t="s">
        <v>733</v>
      </c>
      <c r="N4641" s="2">
        <f>SUBTOTAL(9,N4640:N4640)</f>
        <v>56</v>
      </c>
      <c r="O4641" s="2">
        <f>SUBTOTAL(9,O4640:O4640)</f>
        <v>1837501.66</v>
      </c>
      <c r="P4641" s="2">
        <f>+O4641/N4641</f>
        <v>32812.529642857138</v>
      </c>
    </row>
    <row r="4642" spans="1:16" outlineLevel="2" x14ac:dyDescent="0.2">
      <c r="A4642" s="5">
        <v>46216</v>
      </c>
      <c r="B4642" s="2">
        <v>160910</v>
      </c>
      <c r="C4642" s="2">
        <v>9</v>
      </c>
      <c r="D4642" s="2" t="s">
        <v>226</v>
      </c>
      <c r="E4642" s="2" t="s">
        <v>276</v>
      </c>
      <c r="F4642" s="2" t="s">
        <v>289</v>
      </c>
      <c r="G4642" s="2" t="s">
        <v>22</v>
      </c>
      <c r="H4642" s="2" t="s">
        <v>23</v>
      </c>
      <c r="I4642" s="2" t="s">
        <v>23</v>
      </c>
      <c r="J4642" s="2">
        <v>2</v>
      </c>
      <c r="K4642" s="2" t="s">
        <v>48</v>
      </c>
      <c r="L4642" s="2">
        <v>106</v>
      </c>
      <c r="M4642" s="2" t="s">
        <v>486</v>
      </c>
      <c r="N4642" s="2">
        <v>24</v>
      </c>
      <c r="O4642" s="2">
        <v>391330.37</v>
      </c>
      <c r="P4642" s="2">
        <v>16305.43</v>
      </c>
    </row>
    <row r="4643" spans="1:16" outlineLevel="1" x14ac:dyDescent="0.2">
      <c r="A4643" s="5"/>
      <c r="D4643" s="3" t="s">
        <v>736</v>
      </c>
      <c r="N4643" s="2">
        <f>SUBTOTAL(9,N4642:N4642)</f>
        <v>24</v>
      </c>
      <c r="O4643" s="2">
        <f>SUBTOTAL(9,O4642:O4642)</f>
        <v>391330.37</v>
      </c>
      <c r="P4643" s="2">
        <f>+O4643/N4643</f>
        <v>16305.432083333333</v>
      </c>
    </row>
    <row r="4644" spans="1:16" outlineLevel="2" x14ac:dyDescent="0.2">
      <c r="A4644" s="5">
        <v>46218</v>
      </c>
      <c r="B4644" s="2">
        <v>160910</v>
      </c>
      <c r="C4644" s="2">
        <v>320</v>
      </c>
      <c r="D4644" s="2" t="s">
        <v>45</v>
      </c>
      <c r="E4644" s="2" t="s">
        <v>125</v>
      </c>
      <c r="F4644" s="2" t="s">
        <v>55</v>
      </c>
      <c r="G4644" s="2" t="s">
        <v>23</v>
      </c>
      <c r="H4644" s="2" t="s">
        <v>23</v>
      </c>
      <c r="I4644" s="2" t="s">
        <v>23</v>
      </c>
      <c r="J4644" s="2">
        <v>2</v>
      </c>
      <c r="K4644" s="2" t="s">
        <v>48</v>
      </c>
      <c r="L4644" s="2">
        <v>106</v>
      </c>
      <c r="M4644" s="2" t="s">
        <v>486</v>
      </c>
      <c r="N4644" s="2">
        <v>17</v>
      </c>
      <c r="O4644" s="2">
        <v>259331.16</v>
      </c>
      <c r="P4644" s="2">
        <v>15254.77</v>
      </c>
    </row>
    <row r="4645" spans="1:16" outlineLevel="2" x14ac:dyDescent="0.2">
      <c r="A4645" s="5">
        <v>46216</v>
      </c>
      <c r="B4645" s="2">
        <v>160911</v>
      </c>
      <c r="C4645" s="2">
        <v>2</v>
      </c>
      <c r="D4645" s="2" t="s">
        <v>45</v>
      </c>
      <c r="E4645" s="2" t="s">
        <v>581</v>
      </c>
      <c r="F4645" s="2" t="s">
        <v>289</v>
      </c>
      <c r="G4645" s="2" t="s">
        <v>22</v>
      </c>
      <c r="H4645" s="2" t="s">
        <v>23</v>
      </c>
      <c r="I4645" s="2" t="s">
        <v>23</v>
      </c>
      <c r="J4645" s="2">
        <v>2</v>
      </c>
      <c r="K4645" s="2" t="s">
        <v>48</v>
      </c>
      <c r="L4645" s="2">
        <v>801</v>
      </c>
      <c r="M4645" s="2" t="s">
        <v>56</v>
      </c>
      <c r="N4645" s="2">
        <v>32</v>
      </c>
      <c r="O4645" s="2">
        <v>1052322.3799999999</v>
      </c>
      <c r="P4645" s="2">
        <v>32885.07</v>
      </c>
    </row>
    <row r="4646" spans="1:16" outlineLevel="2" x14ac:dyDescent="0.2">
      <c r="A4646" s="5">
        <v>46216</v>
      </c>
      <c r="B4646" s="2">
        <v>160911</v>
      </c>
      <c r="C4646" s="2">
        <v>3</v>
      </c>
      <c r="D4646" s="2" t="s">
        <v>45</v>
      </c>
      <c r="E4646" s="2" t="s">
        <v>581</v>
      </c>
      <c r="F4646" s="2" t="s">
        <v>289</v>
      </c>
      <c r="G4646" s="2" t="s">
        <v>22</v>
      </c>
      <c r="H4646" s="2" t="s">
        <v>23</v>
      </c>
      <c r="I4646" s="2" t="s">
        <v>23</v>
      </c>
      <c r="J4646" s="2">
        <v>41</v>
      </c>
      <c r="K4646" s="2" t="s">
        <v>129</v>
      </c>
      <c r="L4646" s="2">
        <v>801</v>
      </c>
      <c r="M4646" s="2" t="s">
        <v>56</v>
      </c>
      <c r="N4646" s="2">
        <v>56</v>
      </c>
      <c r="O4646" s="2">
        <v>1170093.04</v>
      </c>
      <c r="P4646" s="2">
        <v>20894.52</v>
      </c>
    </row>
    <row r="4647" spans="1:16" outlineLevel="2" x14ac:dyDescent="0.2">
      <c r="A4647" s="5">
        <v>46216</v>
      </c>
      <c r="B4647" s="2">
        <v>160911</v>
      </c>
      <c r="C4647" s="2">
        <v>5</v>
      </c>
      <c r="D4647" s="2" t="s">
        <v>45</v>
      </c>
      <c r="E4647" s="2" t="s">
        <v>568</v>
      </c>
      <c r="F4647" s="2" t="s">
        <v>289</v>
      </c>
      <c r="G4647" s="2" t="s">
        <v>22</v>
      </c>
      <c r="H4647" s="2" t="s">
        <v>23</v>
      </c>
      <c r="I4647" s="2" t="s">
        <v>23</v>
      </c>
      <c r="J4647" s="2">
        <v>41</v>
      </c>
      <c r="K4647" s="2" t="s">
        <v>129</v>
      </c>
      <c r="L4647" s="2">
        <v>801</v>
      </c>
      <c r="M4647" s="2" t="s">
        <v>56</v>
      </c>
      <c r="N4647" s="2">
        <v>16</v>
      </c>
      <c r="O4647" s="2">
        <v>321871.67</v>
      </c>
      <c r="P4647" s="2">
        <v>20116.98</v>
      </c>
    </row>
    <row r="4648" spans="1:16" outlineLevel="2" x14ac:dyDescent="0.2">
      <c r="A4648" s="5">
        <v>46216</v>
      </c>
      <c r="B4648" s="2">
        <v>160911</v>
      </c>
      <c r="C4648" s="2">
        <v>8</v>
      </c>
      <c r="D4648" s="2" t="s">
        <v>45</v>
      </c>
      <c r="E4648" s="2" t="s">
        <v>558</v>
      </c>
      <c r="F4648" s="2" t="s">
        <v>289</v>
      </c>
      <c r="G4648" s="2" t="s">
        <v>22</v>
      </c>
      <c r="H4648" s="2" t="s">
        <v>23</v>
      </c>
      <c r="I4648" s="2" t="s">
        <v>23</v>
      </c>
      <c r="J4648" s="2">
        <v>41</v>
      </c>
      <c r="K4648" s="2" t="s">
        <v>129</v>
      </c>
      <c r="L4648" s="2">
        <v>801</v>
      </c>
      <c r="M4648" s="2" t="s">
        <v>56</v>
      </c>
      <c r="N4648" s="2">
        <v>25</v>
      </c>
      <c r="O4648" s="2">
        <v>596357.6</v>
      </c>
      <c r="P4648" s="2">
        <v>23854.3</v>
      </c>
    </row>
    <row r="4649" spans="1:16" outlineLevel="2" x14ac:dyDescent="0.2">
      <c r="A4649" s="5">
        <v>46216</v>
      </c>
      <c r="B4649" s="2">
        <v>160911</v>
      </c>
      <c r="C4649" s="2">
        <v>9</v>
      </c>
      <c r="D4649" s="2" t="s">
        <v>45</v>
      </c>
      <c r="E4649" s="2" t="s">
        <v>598</v>
      </c>
      <c r="F4649" s="2" t="s">
        <v>289</v>
      </c>
      <c r="G4649" s="2" t="s">
        <v>22</v>
      </c>
      <c r="H4649" s="2" t="s">
        <v>23</v>
      </c>
      <c r="I4649" s="2" t="s">
        <v>23</v>
      </c>
      <c r="J4649" s="2">
        <v>41</v>
      </c>
      <c r="K4649" s="2" t="s">
        <v>129</v>
      </c>
      <c r="L4649" s="2">
        <v>801</v>
      </c>
      <c r="M4649" s="2" t="s">
        <v>56</v>
      </c>
      <c r="N4649" s="2">
        <v>35</v>
      </c>
      <c r="O4649" s="2">
        <v>496561.81</v>
      </c>
      <c r="P4649" s="2">
        <v>14187.48</v>
      </c>
    </row>
    <row r="4650" spans="1:16" outlineLevel="2" x14ac:dyDescent="0.2">
      <c r="A4650" s="5">
        <v>46216</v>
      </c>
      <c r="B4650" s="2">
        <v>160911</v>
      </c>
      <c r="C4650" s="2">
        <v>11</v>
      </c>
      <c r="D4650" s="2" t="s">
        <v>45</v>
      </c>
      <c r="E4650" s="2" t="s">
        <v>604</v>
      </c>
      <c r="F4650" s="2" t="s">
        <v>289</v>
      </c>
      <c r="G4650" s="2" t="s">
        <v>22</v>
      </c>
      <c r="H4650" s="2" t="s">
        <v>23</v>
      </c>
      <c r="I4650" s="2" t="s">
        <v>23</v>
      </c>
      <c r="J4650" s="2">
        <v>41</v>
      </c>
      <c r="K4650" s="2" t="s">
        <v>129</v>
      </c>
      <c r="L4650" s="2">
        <v>801</v>
      </c>
      <c r="M4650" s="2" t="s">
        <v>56</v>
      </c>
      <c r="N4650" s="2">
        <v>29</v>
      </c>
      <c r="O4650" s="2">
        <v>549410.93000000005</v>
      </c>
      <c r="P4650" s="2">
        <v>18945.2</v>
      </c>
    </row>
    <row r="4651" spans="1:16" outlineLevel="1" x14ac:dyDescent="0.2">
      <c r="A4651" s="5"/>
      <c r="D4651" s="3" t="s">
        <v>733</v>
      </c>
      <c r="N4651" s="2">
        <f>SUBTOTAL(9,N4644:N4650)</f>
        <v>210</v>
      </c>
      <c r="O4651" s="2">
        <f>SUBTOTAL(9,O4644:O4650)</f>
        <v>4445948.59</v>
      </c>
      <c r="P4651" s="2">
        <f>+O4651/N4651</f>
        <v>21171.183761904762</v>
      </c>
    </row>
    <row r="4652" spans="1:16" outlineLevel="2" x14ac:dyDescent="0.2">
      <c r="A4652" s="5">
        <v>46216</v>
      </c>
      <c r="B4652" s="2">
        <v>160911</v>
      </c>
      <c r="C4652" s="2">
        <v>13</v>
      </c>
      <c r="D4652" s="2" t="s">
        <v>226</v>
      </c>
      <c r="E4652" s="2" t="s">
        <v>83</v>
      </c>
      <c r="F4652" s="2" t="s">
        <v>289</v>
      </c>
      <c r="G4652" s="2" t="s">
        <v>22</v>
      </c>
      <c r="H4652" s="2" t="s">
        <v>23</v>
      </c>
      <c r="I4652" s="2" t="s">
        <v>23</v>
      </c>
      <c r="J4652" s="2">
        <v>41</v>
      </c>
      <c r="K4652" s="2" t="s">
        <v>129</v>
      </c>
      <c r="L4652" s="2">
        <v>801</v>
      </c>
      <c r="M4652" s="2" t="s">
        <v>56</v>
      </c>
      <c r="N4652" s="2">
        <v>18</v>
      </c>
      <c r="O4652" s="2">
        <v>469684.49</v>
      </c>
      <c r="P4652" s="2">
        <v>26093.58</v>
      </c>
    </row>
    <row r="4653" spans="1:16" outlineLevel="1" x14ac:dyDescent="0.2">
      <c r="A4653" s="5"/>
      <c r="D4653" s="3" t="s">
        <v>736</v>
      </c>
      <c r="N4653" s="2">
        <f>SUBTOTAL(9,N4652:N4652)</f>
        <v>18</v>
      </c>
      <c r="O4653" s="2">
        <f>SUBTOTAL(9,O4652:O4652)</f>
        <v>469684.49</v>
      </c>
      <c r="P4653" s="2">
        <f>+O4653/N4653</f>
        <v>26093.582777777778</v>
      </c>
    </row>
    <row r="4654" spans="1:16" outlineLevel="2" x14ac:dyDescent="0.2">
      <c r="A4654" s="5">
        <v>46216</v>
      </c>
      <c r="B4654" s="2">
        <v>160911</v>
      </c>
      <c r="C4654" s="2">
        <v>14</v>
      </c>
      <c r="D4654" s="2" t="s">
        <v>45</v>
      </c>
      <c r="E4654" s="2" t="s">
        <v>46</v>
      </c>
      <c r="F4654" s="2" t="s">
        <v>289</v>
      </c>
      <c r="G4654" s="2" t="s">
        <v>22</v>
      </c>
      <c r="H4654" s="2" t="s">
        <v>23</v>
      </c>
      <c r="I4654" s="2" t="s">
        <v>23</v>
      </c>
      <c r="J4654" s="2">
        <v>2</v>
      </c>
      <c r="K4654" s="2" t="s">
        <v>48</v>
      </c>
      <c r="L4654" s="2">
        <v>801</v>
      </c>
      <c r="M4654" s="2" t="s">
        <v>56</v>
      </c>
      <c r="N4654" s="2">
        <v>1</v>
      </c>
      <c r="O4654" s="2">
        <v>13699.58</v>
      </c>
      <c r="P4654" s="2">
        <v>13699.58</v>
      </c>
    </row>
    <row r="4655" spans="1:16" outlineLevel="1" x14ac:dyDescent="0.2">
      <c r="A4655" s="5"/>
      <c r="D4655" s="3" t="s">
        <v>733</v>
      </c>
      <c r="N4655" s="2">
        <f>SUBTOTAL(9,N4654:N4654)</f>
        <v>1</v>
      </c>
      <c r="O4655" s="2">
        <f>SUBTOTAL(9,O4654:O4654)</f>
        <v>13699.58</v>
      </c>
      <c r="P4655" s="2">
        <f>+O4655/N4655</f>
        <v>13699.58</v>
      </c>
    </row>
    <row r="4656" spans="1:16" outlineLevel="2" x14ac:dyDescent="0.2">
      <c r="A4656" s="5">
        <v>46216</v>
      </c>
      <c r="B4656" s="2">
        <v>160911</v>
      </c>
      <c r="C4656" s="2">
        <v>17</v>
      </c>
      <c r="D4656" s="2" t="s">
        <v>226</v>
      </c>
      <c r="E4656" s="2" t="s">
        <v>568</v>
      </c>
      <c r="F4656" s="2" t="s">
        <v>289</v>
      </c>
      <c r="G4656" s="2" t="s">
        <v>22</v>
      </c>
      <c r="H4656" s="2" t="s">
        <v>23</v>
      </c>
      <c r="I4656" s="2" t="s">
        <v>23</v>
      </c>
      <c r="J4656" s="2">
        <v>41</v>
      </c>
      <c r="K4656" s="2" t="s">
        <v>129</v>
      </c>
      <c r="L4656" s="2">
        <v>801</v>
      </c>
      <c r="M4656" s="2" t="s">
        <v>56</v>
      </c>
      <c r="N4656" s="2">
        <v>46</v>
      </c>
      <c r="O4656" s="2">
        <v>885915.58</v>
      </c>
      <c r="P4656" s="2">
        <v>19259.03</v>
      </c>
    </row>
    <row r="4657" spans="1:16" outlineLevel="2" x14ac:dyDescent="0.2">
      <c r="A4657" s="5">
        <v>46216</v>
      </c>
      <c r="B4657" s="2">
        <v>160911</v>
      </c>
      <c r="C4657" s="2">
        <v>19</v>
      </c>
      <c r="D4657" s="2" t="s">
        <v>226</v>
      </c>
      <c r="E4657" s="2" t="s">
        <v>581</v>
      </c>
      <c r="F4657" s="2" t="s">
        <v>289</v>
      </c>
      <c r="G4657" s="2" t="s">
        <v>22</v>
      </c>
      <c r="H4657" s="2" t="s">
        <v>23</v>
      </c>
      <c r="I4657" s="2" t="s">
        <v>23</v>
      </c>
      <c r="J4657" s="2">
        <v>41</v>
      </c>
      <c r="K4657" s="2" t="s">
        <v>129</v>
      </c>
      <c r="L4657" s="2">
        <v>801</v>
      </c>
      <c r="M4657" s="2" t="s">
        <v>56</v>
      </c>
      <c r="N4657" s="2">
        <v>82</v>
      </c>
      <c r="O4657" s="2">
        <v>1950694.88</v>
      </c>
      <c r="P4657" s="2">
        <v>23788.959999999999</v>
      </c>
    </row>
    <row r="4658" spans="1:16" outlineLevel="2" x14ac:dyDescent="0.2">
      <c r="A4658" s="5">
        <v>46216</v>
      </c>
      <c r="B4658" s="2">
        <v>160911</v>
      </c>
      <c r="C4658" s="2">
        <v>22</v>
      </c>
      <c r="D4658" s="2" t="s">
        <v>226</v>
      </c>
      <c r="E4658" s="2" t="s">
        <v>640</v>
      </c>
      <c r="F4658" s="2" t="s">
        <v>289</v>
      </c>
      <c r="G4658" s="2" t="s">
        <v>22</v>
      </c>
      <c r="H4658" s="2" t="s">
        <v>23</v>
      </c>
      <c r="I4658" s="2" t="s">
        <v>23</v>
      </c>
      <c r="J4658" s="2">
        <v>41</v>
      </c>
      <c r="K4658" s="2" t="s">
        <v>129</v>
      </c>
      <c r="L4658" s="2">
        <v>801</v>
      </c>
      <c r="M4658" s="2" t="s">
        <v>56</v>
      </c>
      <c r="N4658" s="2">
        <v>32</v>
      </c>
      <c r="O4658" s="2">
        <v>718418.51</v>
      </c>
      <c r="P4658" s="2">
        <v>22450.58</v>
      </c>
    </row>
    <row r="4659" spans="1:16" outlineLevel="2" x14ac:dyDescent="0.2">
      <c r="A4659" s="5">
        <v>46216</v>
      </c>
      <c r="B4659" s="2">
        <v>160911</v>
      </c>
      <c r="C4659" s="2">
        <v>25</v>
      </c>
      <c r="D4659" s="2" t="s">
        <v>226</v>
      </c>
      <c r="E4659" s="2" t="s">
        <v>151</v>
      </c>
      <c r="F4659" s="2" t="s">
        <v>289</v>
      </c>
      <c r="G4659" s="2" t="s">
        <v>22</v>
      </c>
      <c r="H4659" s="2" t="s">
        <v>23</v>
      </c>
      <c r="I4659" s="2" t="s">
        <v>23</v>
      </c>
      <c r="J4659" s="2">
        <v>41</v>
      </c>
      <c r="K4659" s="2" t="s">
        <v>129</v>
      </c>
      <c r="L4659" s="2">
        <v>801</v>
      </c>
      <c r="M4659" s="2" t="s">
        <v>56</v>
      </c>
      <c r="N4659" s="2">
        <v>16</v>
      </c>
      <c r="O4659" s="2">
        <v>360142.67</v>
      </c>
      <c r="P4659" s="2">
        <v>22508.92</v>
      </c>
    </row>
    <row r="4660" spans="1:16" outlineLevel="1" x14ac:dyDescent="0.2">
      <c r="A4660" s="5"/>
      <c r="D4660" s="3" t="s">
        <v>736</v>
      </c>
      <c r="N4660" s="2">
        <f>SUBTOTAL(9,N4656:N4659)</f>
        <v>176</v>
      </c>
      <c r="O4660" s="2">
        <f>SUBTOTAL(9,O4656:O4659)</f>
        <v>3915171.6399999997</v>
      </c>
      <c r="P4660" s="2">
        <f>+O4660/N4660</f>
        <v>22245.293409090908</v>
      </c>
    </row>
    <row r="4661" spans="1:16" outlineLevel="2" x14ac:dyDescent="0.2">
      <c r="A4661" s="5">
        <v>46218</v>
      </c>
      <c r="B4661" s="2">
        <v>160911</v>
      </c>
      <c r="C4661" s="2">
        <v>313</v>
      </c>
      <c r="D4661" s="2" t="s">
        <v>45</v>
      </c>
      <c r="E4661" s="2" t="s">
        <v>228</v>
      </c>
      <c r="F4661" s="2" t="s">
        <v>55</v>
      </c>
      <c r="G4661" s="2" t="s">
        <v>23</v>
      </c>
      <c r="H4661" s="2" t="s">
        <v>23</v>
      </c>
      <c r="I4661" s="2" t="s">
        <v>23</v>
      </c>
      <c r="J4661" s="2">
        <v>41</v>
      </c>
      <c r="K4661" s="2" t="s">
        <v>129</v>
      </c>
      <c r="L4661" s="2">
        <v>801</v>
      </c>
      <c r="M4661" s="2" t="s">
        <v>56</v>
      </c>
      <c r="N4661" s="2">
        <v>18</v>
      </c>
      <c r="O4661" s="2">
        <v>152315.14000000001</v>
      </c>
      <c r="P4661" s="2">
        <v>8461.9500000000007</v>
      </c>
    </row>
    <row r="4662" spans="1:16" outlineLevel="1" x14ac:dyDescent="0.2">
      <c r="A4662" s="5"/>
      <c r="D4662" s="3" t="s">
        <v>733</v>
      </c>
      <c r="N4662" s="2">
        <f>SUBTOTAL(9,N4661:N4661)</f>
        <v>18</v>
      </c>
      <c r="O4662" s="2">
        <f>SUBTOTAL(9,O4661:O4661)</f>
        <v>152315.14000000001</v>
      </c>
      <c r="P4662" s="2">
        <f>+O4662/N4662</f>
        <v>8461.9522222222222</v>
      </c>
    </row>
    <row r="4663" spans="1:16" outlineLevel="2" x14ac:dyDescent="0.2">
      <c r="A4663" s="5">
        <v>46246</v>
      </c>
      <c r="B4663" s="2">
        <v>160912</v>
      </c>
      <c r="C4663" s="2">
        <v>2</v>
      </c>
      <c r="D4663" s="2" t="s">
        <v>57</v>
      </c>
      <c r="E4663" s="2" t="s">
        <v>58</v>
      </c>
      <c r="F4663" s="2" t="s">
        <v>31</v>
      </c>
      <c r="G4663" s="2" t="s">
        <v>22</v>
      </c>
      <c r="H4663" s="2" t="s">
        <v>23</v>
      </c>
      <c r="I4663" s="2" t="s">
        <v>23</v>
      </c>
      <c r="J4663" s="2">
        <v>1</v>
      </c>
      <c r="K4663" s="2" t="s">
        <v>24</v>
      </c>
      <c r="L4663" s="2">
        <v>1857</v>
      </c>
      <c r="M4663" s="2" t="s">
        <v>206</v>
      </c>
      <c r="N4663" s="2">
        <v>28</v>
      </c>
      <c r="O4663" s="2">
        <v>418834.86</v>
      </c>
      <c r="P4663" s="2">
        <v>14958.39</v>
      </c>
    </row>
    <row r="4664" spans="1:16" outlineLevel="1" x14ac:dyDescent="0.2">
      <c r="A4664" s="5"/>
      <c r="D4664" s="3" t="s">
        <v>716</v>
      </c>
      <c r="N4664" s="2">
        <f>SUBTOTAL(9,N4663:N4663)</f>
        <v>28</v>
      </c>
      <c r="O4664" s="2">
        <f>SUBTOTAL(9,O4663:O4663)</f>
        <v>418834.86</v>
      </c>
      <c r="P4664" s="2">
        <f>+O4664/N4664</f>
        <v>14958.387857142856</v>
      </c>
    </row>
    <row r="4665" spans="1:16" outlineLevel="2" x14ac:dyDescent="0.2">
      <c r="A4665" s="5">
        <v>46227</v>
      </c>
      <c r="B4665" s="2">
        <v>160921</v>
      </c>
      <c r="C4665" s="2">
        <v>1</v>
      </c>
      <c r="D4665" s="2" t="s">
        <v>38</v>
      </c>
      <c r="E4665" s="2" t="s">
        <v>39</v>
      </c>
      <c r="F4665" s="2" t="s">
        <v>52</v>
      </c>
      <c r="G4665" s="2" t="s">
        <v>22</v>
      </c>
      <c r="H4665" s="2" t="s">
        <v>23</v>
      </c>
      <c r="I4665" s="2" t="s">
        <v>23</v>
      </c>
      <c r="J4665" s="2">
        <v>1</v>
      </c>
      <c r="K4665" s="2" t="s">
        <v>24</v>
      </c>
      <c r="L4665" s="2">
        <v>206</v>
      </c>
      <c r="M4665" s="2" t="s">
        <v>516</v>
      </c>
      <c r="N4665" s="2">
        <v>89</v>
      </c>
      <c r="O4665" s="2">
        <v>972331.65</v>
      </c>
      <c r="P4665" s="2">
        <v>10925.07</v>
      </c>
    </row>
    <row r="4666" spans="1:16" outlineLevel="1" x14ac:dyDescent="0.2">
      <c r="A4666" s="5"/>
      <c r="D4666" s="3" t="s">
        <v>721</v>
      </c>
      <c r="N4666" s="2">
        <f>SUBTOTAL(9,N4665:N4665)</f>
        <v>89</v>
      </c>
      <c r="O4666" s="2">
        <f>SUBTOTAL(9,O4665:O4665)</f>
        <v>972331.65</v>
      </c>
      <c r="P4666" s="2">
        <f>+O4666/N4666</f>
        <v>10925.074719101123</v>
      </c>
    </row>
    <row r="4667" spans="1:16" outlineLevel="2" x14ac:dyDescent="0.2">
      <c r="A4667" s="5">
        <v>46253</v>
      </c>
      <c r="B4667" s="2">
        <v>160922</v>
      </c>
      <c r="C4667" s="2">
        <v>1</v>
      </c>
      <c r="D4667" s="2" t="s">
        <v>140</v>
      </c>
      <c r="E4667" s="2" t="s">
        <v>55</v>
      </c>
      <c r="F4667" s="2" t="s">
        <v>23</v>
      </c>
      <c r="G4667" s="2" t="s">
        <v>23</v>
      </c>
      <c r="H4667" s="2" t="s">
        <v>23</v>
      </c>
      <c r="I4667" s="2" t="s">
        <v>23</v>
      </c>
      <c r="J4667" s="2">
        <v>1</v>
      </c>
      <c r="K4667" s="2" t="s">
        <v>24</v>
      </c>
      <c r="L4667" s="2">
        <v>1833</v>
      </c>
      <c r="M4667" s="2" t="s">
        <v>142</v>
      </c>
      <c r="N4667" s="2">
        <v>6</v>
      </c>
      <c r="O4667" s="2">
        <v>54456.34</v>
      </c>
      <c r="P4667" s="2">
        <v>9076.06</v>
      </c>
    </row>
    <row r="4668" spans="1:16" outlineLevel="1" x14ac:dyDescent="0.2">
      <c r="A4668" s="5"/>
      <c r="D4668" s="3" t="s">
        <v>696</v>
      </c>
      <c r="N4668" s="2">
        <f>SUBTOTAL(9,N4667:N4667)</f>
        <v>6</v>
      </c>
      <c r="O4668" s="2">
        <f>SUBTOTAL(9,O4667:O4667)</f>
        <v>54456.34</v>
      </c>
      <c r="P4668" s="2">
        <f>+O4668/N4668</f>
        <v>9076.0566666666655</v>
      </c>
    </row>
    <row r="4669" spans="1:16" outlineLevel="2" x14ac:dyDescent="0.2">
      <c r="A4669" s="5">
        <v>46218</v>
      </c>
      <c r="B4669" s="2">
        <v>160933</v>
      </c>
      <c r="C4669" s="2">
        <v>1</v>
      </c>
      <c r="D4669" s="2" t="s">
        <v>45</v>
      </c>
      <c r="E4669" s="2" t="s">
        <v>125</v>
      </c>
      <c r="F4669" s="2" t="s">
        <v>63</v>
      </c>
      <c r="G4669" s="2" t="s">
        <v>22</v>
      </c>
      <c r="H4669" s="2" t="s">
        <v>23</v>
      </c>
      <c r="I4669" s="2" t="s">
        <v>23</v>
      </c>
      <c r="J4669" s="2">
        <v>40</v>
      </c>
      <c r="K4669" s="2" t="s">
        <v>43</v>
      </c>
      <c r="L4669" s="2">
        <v>21</v>
      </c>
      <c r="M4669" s="2" t="s">
        <v>118</v>
      </c>
      <c r="N4669" s="2">
        <v>222</v>
      </c>
      <c r="O4669" s="2">
        <v>8525765.5700000003</v>
      </c>
      <c r="P4669" s="2">
        <v>38404.35</v>
      </c>
    </row>
    <row r="4670" spans="1:16" outlineLevel="1" x14ac:dyDescent="0.2">
      <c r="A4670" s="5"/>
      <c r="D4670" s="3" t="s">
        <v>733</v>
      </c>
      <c r="N4670" s="2">
        <f>SUBTOTAL(9,N4669:N4669)</f>
        <v>222</v>
      </c>
      <c r="O4670" s="2">
        <f>SUBTOTAL(9,O4669:O4669)</f>
        <v>8525765.5700000003</v>
      </c>
      <c r="P4670" s="2">
        <f>+O4670/N4670</f>
        <v>38404.349414414413</v>
      </c>
    </row>
    <row r="4671" spans="1:16" outlineLevel="2" x14ac:dyDescent="0.2">
      <c r="A4671" s="5">
        <v>46232</v>
      </c>
      <c r="B4671" s="2">
        <v>160934</v>
      </c>
      <c r="C4671" s="2">
        <v>2</v>
      </c>
      <c r="D4671" s="2" t="s">
        <v>140</v>
      </c>
      <c r="E4671" s="2" t="s">
        <v>55</v>
      </c>
      <c r="F4671" s="2" t="s">
        <v>23</v>
      </c>
      <c r="G4671" s="2" t="s">
        <v>23</v>
      </c>
      <c r="H4671" s="2" t="s">
        <v>23</v>
      </c>
      <c r="I4671" s="2" t="s">
        <v>23</v>
      </c>
      <c r="J4671" s="2">
        <v>1</v>
      </c>
      <c r="K4671" s="2" t="s">
        <v>24</v>
      </c>
      <c r="L4671" s="2">
        <v>2024</v>
      </c>
      <c r="M4671" s="2" t="s">
        <v>76</v>
      </c>
      <c r="N4671" s="2">
        <v>338</v>
      </c>
      <c r="O4671" s="2">
        <v>14613065.91</v>
      </c>
      <c r="P4671" s="2">
        <v>43233.919999999998</v>
      </c>
    </row>
    <row r="4672" spans="1:16" outlineLevel="2" x14ac:dyDescent="0.2">
      <c r="A4672" s="5">
        <v>46225</v>
      </c>
      <c r="B4672" s="2">
        <v>160934</v>
      </c>
      <c r="C4672" s="2">
        <v>3</v>
      </c>
      <c r="D4672" s="2" t="s">
        <v>140</v>
      </c>
      <c r="E4672" s="2" t="s">
        <v>23</v>
      </c>
      <c r="F4672" s="2" t="s">
        <v>108</v>
      </c>
      <c r="G4672" s="2" t="s">
        <v>22</v>
      </c>
      <c r="H4672" s="2" t="s">
        <v>23</v>
      </c>
      <c r="I4672" s="2" t="s">
        <v>23</v>
      </c>
      <c r="J4672" s="2">
        <v>1</v>
      </c>
      <c r="K4672" s="2" t="s">
        <v>24</v>
      </c>
      <c r="L4672" s="2">
        <v>2024</v>
      </c>
      <c r="M4672" s="2" t="s">
        <v>76</v>
      </c>
      <c r="N4672" s="2">
        <v>111</v>
      </c>
      <c r="O4672" s="2">
        <v>3186018.89</v>
      </c>
      <c r="P4672" s="2">
        <v>28702.87</v>
      </c>
    </row>
    <row r="4673" spans="1:16" outlineLevel="2" x14ac:dyDescent="0.2">
      <c r="A4673" s="5">
        <v>46223</v>
      </c>
      <c r="B4673" s="2">
        <v>160934</v>
      </c>
      <c r="C4673" s="2">
        <v>4</v>
      </c>
      <c r="D4673" s="2" t="s">
        <v>140</v>
      </c>
      <c r="E4673" s="2" t="s">
        <v>342</v>
      </c>
      <c r="F4673" s="2" t="s">
        <v>55</v>
      </c>
      <c r="G4673" s="2" t="s">
        <v>23</v>
      </c>
      <c r="H4673" s="2" t="s">
        <v>23</v>
      </c>
      <c r="I4673" s="2" t="s">
        <v>23</v>
      </c>
      <c r="J4673" s="2">
        <v>1</v>
      </c>
      <c r="K4673" s="2" t="s">
        <v>24</v>
      </c>
      <c r="L4673" s="2">
        <v>2024</v>
      </c>
      <c r="M4673" s="2" t="s">
        <v>76</v>
      </c>
      <c r="N4673" s="2">
        <v>25</v>
      </c>
      <c r="O4673" s="2">
        <v>569875.37</v>
      </c>
      <c r="P4673" s="2">
        <v>22795.01</v>
      </c>
    </row>
    <row r="4674" spans="1:16" outlineLevel="2" x14ac:dyDescent="0.2">
      <c r="A4674" s="5">
        <v>46234</v>
      </c>
      <c r="B4674" s="2">
        <v>160934</v>
      </c>
      <c r="C4674" s="2">
        <v>5</v>
      </c>
      <c r="D4674" s="2" t="s">
        <v>140</v>
      </c>
      <c r="E4674" s="2" t="s">
        <v>55</v>
      </c>
      <c r="F4674" s="2" t="s">
        <v>23</v>
      </c>
      <c r="G4674" s="2" t="s">
        <v>23</v>
      </c>
      <c r="H4674" s="2" t="s">
        <v>23</v>
      </c>
      <c r="I4674" s="2" t="s">
        <v>23</v>
      </c>
      <c r="J4674" s="2">
        <v>1</v>
      </c>
      <c r="K4674" s="2" t="s">
        <v>24</v>
      </c>
      <c r="L4674" s="2">
        <v>2024</v>
      </c>
      <c r="M4674" s="2" t="s">
        <v>76</v>
      </c>
      <c r="N4674" s="2">
        <v>1</v>
      </c>
      <c r="O4674" s="2">
        <v>27701.17</v>
      </c>
      <c r="P4674" s="2">
        <v>27701.17</v>
      </c>
    </row>
    <row r="4675" spans="1:16" outlineLevel="1" x14ac:dyDescent="0.2">
      <c r="A4675" s="5"/>
      <c r="D4675" s="3" t="s">
        <v>696</v>
      </c>
      <c r="N4675" s="2">
        <f>SUBTOTAL(9,N4671:N4674)</f>
        <v>475</v>
      </c>
      <c r="O4675" s="2">
        <f>SUBTOTAL(9,O4671:O4674)</f>
        <v>18396661.340000004</v>
      </c>
      <c r="P4675" s="2">
        <f>+O4675/N4675</f>
        <v>38729.813347368428</v>
      </c>
    </row>
    <row r="4676" spans="1:16" outlineLevel="2" x14ac:dyDescent="0.2">
      <c r="A4676" s="5">
        <v>46218</v>
      </c>
      <c r="B4676" s="2">
        <v>160935</v>
      </c>
      <c r="C4676" s="2">
        <v>4</v>
      </c>
      <c r="D4676" s="2" t="s">
        <v>45</v>
      </c>
      <c r="E4676" s="2" t="s">
        <v>125</v>
      </c>
      <c r="F4676" s="2" t="s">
        <v>289</v>
      </c>
      <c r="G4676" s="2" t="s">
        <v>22</v>
      </c>
      <c r="H4676" s="2" t="s">
        <v>23</v>
      </c>
      <c r="I4676" s="2" t="s">
        <v>23</v>
      </c>
      <c r="J4676" s="2">
        <v>2</v>
      </c>
      <c r="K4676" s="2" t="s">
        <v>48</v>
      </c>
      <c r="L4676" s="2">
        <v>106</v>
      </c>
      <c r="M4676" s="2" t="s">
        <v>486</v>
      </c>
      <c r="N4676" s="2">
        <v>56</v>
      </c>
      <c r="O4676" s="2">
        <v>1829858.02</v>
      </c>
      <c r="P4676" s="2">
        <v>32676.04</v>
      </c>
    </row>
    <row r="4677" spans="1:16" outlineLevel="1" x14ac:dyDescent="0.2">
      <c r="A4677" s="5"/>
      <c r="D4677" s="3" t="s">
        <v>733</v>
      </c>
      <c r="N4677" s="2">
        <f>SUBTOTAL(9,N4676:N4676)</f>
        <v>56</v>
      </c>
      <c r="O4677" s="2">
        <f>SUBTOTAL(9,O4676:O4676)</f>
        <v>1829858.02</v>
      </c>
      <c r="P4677" s="2">
        <f>+O4677/N4677</f>
        <v>32676.036071428571</v>
      </c>
    </row>
    <row r="4678" spans="1:16" outlineLevel="2" x14ac:dyDescent="0.2">
      <c r="A4678" s="5">
        <v>46218</v>
      </c>
      <c r="B4678" s="2">
        <v>160935</v>
      </c>
      <c r="C4678" s="2">
        <v>6</v>
      </c>
      <c r="D4678" s="2" t="s">
        <v>226</v>
      </c>
      <c r="E4678" s="2" t="s">
        <v>585</v>
      </c>
      <c r="F4678" s="2" t="s">
        <v>289</v>
      </c>
      <c r="G4678" s="2" t="s">
        <v>22</v>
      </c>
      <c r="H4678" s="2" t="s">
        <v>23</v>
      </c>
      <c r="I4678" s="2" t="s">
        <v>23</v>
      </c>
      <c r="J4678" s="2">
        <v>2</v>
      </c>
      <c r="K4678" s="2" t="s">
        <v>48</v>
      </c>
      <c r="L4678" s="2">
        <v>801</v>
      </c>
      <c r="M4678" s="2" t="s">
        <v>56</v>
      </c>
      <c r="N4678" s="2">
        <v>24</v>
      </c>
      <c r="O4678" s="2">
        <v>442669.37</v>
      </c>
      <c r="P4678" s="2">
        <v>18444.560000000001</v>
      </c>
    </row>
    <row r="4679" spans="1:16" outlineLevel="1" x14ac:dyDescent="0.2">
      <c r="A4679" s="5"/>
      <c r="D4679" s="3" t="s">
        <v>736</v>
      </c>
      <c r="N4679" s="2">
        <f>SUBTOTAL(9,N4678:N4678)</f>
        <v>24</v>
      </c>
      <c r="O4679" s="2">
        <f>SUBTOTAL(9,O4678:O4678)</f>
        <v>442669.37</v>
      </c>
      <c r="P4679" s="2">
        <f>+O4679/N4679</f>
        <v>18444.557083333333</v>
      </c>
    </row>
    <row r="4680" spans="1:16" outlineLevel="2" x14ac:dyDescent="0.2">
      <c r="A4680" s="5">
        <v>46218</v>
      </c>
      <c r="B4680" s="2">
        <v>160936</v>
      </c>
      <c r="C4680" s="2">
        <v>7</v>
      </c>
      <c r="D4680" s="2" t="s">
        <v>45</v>
      </c>
      <c r="E4680" s="2" t="s">
        <v>125</v>
      </c>
      <c r="F4680" s="2" t="s">
        <v>289</v>
      </c>
      <c r="G4680" s="2" t="s">
        <v>210</v>
      </c>
      <c r="H4680" s="2" t="s">
        <v>23</v>
      </c>
      <c r="I4680" s="2" t="s">
        <v>23</v>
      </c>
      <c r="J4680" s="2">
        <v>2</v>
      </c>
      <c r="K4680" s="2" t="s">
        <v>48</v>
      </c>
      <c r="L4680" s="2">
        <v>106</v>
      </c>
      <c r="M4680" s="2" t="s">
        <v>486</v>
      </c>
      <c r="N4680" s="2">
        <v>27</v>
      </c>
      <c r="O4680" s="2">
        <v>212741.46</v>
      </c>
      <c r="P4680" s="2">
        <v>7879.31</v>
      </c>
    </row>
    <row r="4681" spans="1:16" outlineLevel="1" x14ac:dyDescent="0.2">
      <c r="A4681" s="5"/>
      <c r="D4681" s="3" t="s">
        <v>733</v>
      </c>
      <c r="N4681" s="2">
        <f>SUBTOTAL(9,N4680:N4680)</f>
        <v>27</v>
      </c>
      <c r="O4681" s="2">
        <f>SUBTOTAL(9,O4680:O4680)</f>
        <v>212741.46</v>
      </c>
      <c r="P4681" s="2">
        <f>+O4681/N4681</f>
        <v>7879.3133333333326</v>
      </c>
    </row>
    <row r="4682" spans="1:16" outlineLevel="2" x14ac:dyDescent="0.2">
      <c r="A4682" s="5">
        <v>46218</v>
      </c>
      <c r="B4682" s="2">
        <v>160938</v>
      </c>
      <c r="C4682" s="2">
        <v>501</v>
      </c>
      <c r="D4682" s="2" t="s">
        <v>54</v>
      </c>
      <c r="E4682" s="2" t="s">
        <v>20</v>
      </c>
      <c r="F4682" s="2" t="s">
        <v>23</v>
      </c>
      <c r="G4682" s="2" t="s">
        <v>22</v>
      </c>
      <c r="H4682" s="2" t="s">
        <v>23</v>
      </c>
      <c r="I4682" s="2" t="s">
        <v>23</v>
      </c>
      <c r="J4682" s="2">
        <v>2</v>
      </c>
      <c r="K4682" s="2" t="s">
        <v>48</v>
      </c>
      <c r="L4682" s="2">
        <v>25234</v>
      </c>
      <c r="M4682" s="2" t="s">
        <v>49</v>
      </c>
      <c r="N4682" s="2">
        <v>3</v>
      </c>
      <c r="O4682" s="2">
        <v>32697.79</v>
      </c>
      <c r="P4682" s="2">
        <v>10899.26</v>
      </c>
    </row>
    <row r="4683" spans="1:16" outlineLevel="1" x14ac:dyDescent="0.2">
      <c r="A4683" s="5"/>
      <c r="D4683" s="3" t="s">
        <v>719</v>
      </c>
      <c r="N4683" s="2">
        <f>SUBTOTAL(9,N4682:N4682)</f>
        <v>3</v>
      </c>
      <c r="O4683" s="2">
        <f>SUBTOTAL(9,O4682:O4682)</f>
        <v>32697.79</v>
      </c>
      <c r="P4683" s="2">
        <f>+O4683/N4683</f>
        <v>10899.263333333334</v>
      </c>
    </row>
    <row r="4684" spans="1:16" outlineLevel="2" x14ac:dyDescent="0.2">
      <c r="A4684" s="5">
        <v>46223</v>
      </c>
      <c r="B4684" s="2">
        <v>160947</v>
      </c>
      <c r="C4684" s="2">
        <v>1</v>
      </c>
      <c r="D4684" s="2" t="s">
        <v>140</v>
      </c>
      <c r="E4684" s="2" t="s">
        <v>55</v>
      </c>
      <c r="F4684" s="2" t="s">
        <v>23</v>
      </c>
      <c r="G4684" s="2" t="s">
        <v>23</v>
      </c>
      <c r="H4684" s="2" t="s">
        <v>23</v>
      </c>
      <c r="I4684" s="2" t="s">
        <v>23</v>
      </c>
      <c r="J4684" s="2">
        <v>1</v>
      </c>
      <c r="K4684" s="2" t="s">
        <v>24</v>
      </c>
      <c r="L4684" s="2">
        <v>1833</v>
      </c>
      <c r="M4684" s="2" t="s">
        <v>142</v>
      </c>
      <c r="N4684" s="2">
        <v>12</v>
      </c>
      <c r="O4684" s="2">
        <v>77585.16</v>
      </c>
      <c r="P4684" s="2">
        <v>6465.43</v>
      </c>
    </row>
    <row r="4685" spans="1:16" outlineLevel="1" x14ac:dyDescent="0.2">
      <c r="A4685" s="5"/>
      <c r="D4685" s="3" t="s">
        <v>696</v>
      </c>
      <c r="N4685" s="2">
        <f>SUBTOTAL(9,N4684:N4684)</f>
        <v>12</v>
      </c>
      <c r="O4685" s="2">
        <f>SUBTOTAL(9,O4684:O4684)</f>
        <v>77585.16</v>
      </c>
      <c r="P4685" s="2">
        <f>+O4685/N4685</f>
        <v>6465.43</v>
      </c>
    </row>
    <row r="4686" spans="1:16" outlineLevel="2" x14ac:dyDescent="0.2">
      <c r="A4686" s="5">
        <v>46225</v>
      </c>
      <c r="B4686" s="2">
        <v>160952</v>
      </c>
      <c r="C4686" s="2">
        <v>1</v>
      </c>
      <c r="D4686" s="2" t="s">
        <v>38</v>
      </c>
      <c r="E4686" s="2" t="s">
        <v>39</v>
      </c>
      <c r="F4686" s="2" t="s">
        <v>52</v>
      </c>
      <c r="G4686" s="2" t="s">
        <v>22</v>
      </c>
      <c r="H4686" s="2" t="s">
        <v>23</v>
      </c>
      <c r="I4686" s="2" t="s">
        <v>23</v>
      </c>
      <c r="J4686" s="2">
        <v>1</v>
      </c>
      <c r="K4686" s="2" t="s">
        <v>24</v>
      </c>
      <c r="L4686" s="2">
        <v>206</v>
      </c>
      <c r="M4686" s="2" t="s">
        <v>516</v>
      </c>
      <c r="N4686" s="2">
        <v>22</v>
      </c>
      <c r="O4686" s="2">
        <v>384338.76</v>
      </c>
      <c r="P4686" s="2">
        <v>17469.939999999999</v>
      </c>
    </row>
    <row r="4687" spans="1:16" outlineLevel="2" x14ac:dyDescent="0.2">
      <c r="A4687" s="5">
        <v>46220</v>
      </c>
      <c r="B4687" s="2">
        <v>160953</v>
      </c>
      <c r="C4687" s="2">
        <v>1</v>
      </c>
      <c r="D4687" s="2" t="s">
        <v>38</v>
      </c>
      <c r="E4687" s="2" t="s">
        <v>39</v>
      </c>
      <c r="F4687" s="2" t="s">
        <v>144</v>
      </c>
      <c r="G4687" s="2" t="s">
        <v>22</v>
      </c>
      <c r="H4687" s="2" t="s">
        <v>23</v>
      </c>
      <c r="I4687" s="2" t="s">
        <v>23</v>
      </c>
      <c r="J4687" s="2">
        <v>1</v>
      </c>
      <c r="K4687" s="2" t="s">
        <v>24</v>
      </c>
      <c r="L4687" s="2">
        <v>25101</v>
      </c>
      <c r="M4687" s="2" t="s">
        <v>473</v>
      </c>
      <c r="N4687" s="2">
        <v>208</v>
      </c>
      <c r="O4687" s="2">
        <v>4778287.76</v>
      </c>
      <c r="P4687" s="2">
        <v>22972.54</v>
      </c>
    </row>
    <row r="4688" spans="1:16" outlineLevel="1" x14ac:dyDescent="0.2">
      <c r="A4688" s="5"/>
      <c r="D4688" s="3" t="s">
        <v>721</v>
      </c>
      <c r="N4688" s="2">
        <f>SUBTOTAL(9,N4686:N4687)</f>
        <v>230</v>
      </c>
      <c r="O4688" s="2">
        <f>SUBTOTAL(9,O4686:O4687)</f>
        <v>5162626.5199999996</v>
      </c>
      <c r="P4688" s="2">
        <f>+O4688/N4688</f>
        <v>22446.202260869562</v>
      </c>
    </row>
    <row r="4689" spans="1:16" outlineLevel="2" x14ac:dyDescent="0.2">
      <c r="A4689" s="5">
        <v>46220</v>
      </c>
      <c r="B4689" s="2">
        <v>160954</v>
      </c>
      <c r="C4689" s="2">
        <v>1</v>
      </c>
      <c r="D4689" s="2" t="s">
        <v>128</v>
      </c>
      <c r="E4689" s="2" t="s">
        <v>23</v>
      </c>
      <c r="F4689" s="2" t="s">
        <v>47</v>
      </c>
      <c r="G4689" s="2" t="s">
        <v>22</v>
      </c>
      <c r="H4689" s="2" t="s">
        <v>23</v>
      </c>
      <c r="I4689" s="2" t="s">
        <v>23</v>
      </c>
      <c r="J4689" s="2">
        <v>1</v>
      </c>
      <c r="K4689" s="2" t="s">
        <v>24</v>
      </c>
      <c r="L4689" s="2">
        <v>25213</v>
      </c>
      <c r="M4689" s="2" t="s">
        <v>130</v>
      </c>
      <c r="N4689" s="2">
        <v>2</v>
      </c>
      <c r="O4689" s="2">
        <v>178616.27</v>
      </c>
      <c r="P4689" s="2">
        <v>89308.14</v>
      </c>
    </row>
    <row r="4690" spans="1:16" outlineLevel="1" x14ac:dyDescent="0.2">
      <c r="A4690" s="5"/>
      <c r="D4690" s="3" t="s">
        <v>732</v>
      </c>
      <c r="N4690" s="2">
        <f>SUBTOTAL(9,N4689:N4689)</f>
        <v>2</v>
      </c>
      <c r="O4690" s="2">
        <f>SUBTOTAL(9,O4689:O4689)</f>
        <v>178616.27</v>
      </c>
      <c r="P4690" s="2">
        <f>+O4690/N4690</f>
        <v>89308.134999999995</v>
      </c>
    </row>
    <row r="4691" spans="1:16" outlineLevel="2" x14ac:dyDescent="0.2">
      <c r="A4691" s="5">
        <v>46220</v>
      </c>
      <c r="B4691" s="2">
        <v>160954</v>
      </c>
      <c r="C4691" s="2">
        <v>2</v>
      </c>
      <c r="D4691" s="2" t="s">
        <v>207</v>
      </c>
      <c r="E4691" s="2" t="s">
        <v>23</v>
      </c>
      <c r="F4691" s="2" t="s">
        <v>47</v>
      </c>
      <c r="G4691" s="2" t="s">
        <v>22</v>
      </c>
      <c r="H4691" s="2" t="s">
        <v>23</v>
      </c>
      <c r="I4691" s="2" t="s">
        <v>23</v>
      </c>
      <c r="J4691" s="2">
        <v>1</v>
      </c>
      <c r="K4691" s="2" t="s">
        <v>24</v>
      </c>
      <c r="L4691" s="2">
        <v>25213</v>
      </c>
      <c r="M4691" s="2" t="s">
        <v>130</v>
      </c>
      <c r="N4691" s="2">
        <v>3</v>
      </c>
      <c r="O4691" s="2">
        <v>251424.5</v>
      </c>
      <c r="P4691" s="2">
        <v>83808.17</v>
      </c>
    </row>
    <row r="4692" spans="1:16" outlineLevel="2" x14ac:dyDescent="0.2">
      <c r="A4692" s="5">
        <v>46220</v>
      </c>
      <c r="B4692" s="2">
        <v>160954</v>
      </c>
      <c r="C4692" s="2">
        <v>3</v>
      </c>
      <c r="D4692" s="2" t="s">
        <v>207</v>
      </c>
      <c r="E4692" s="2" t="s">
        <v>23</v>
      </c>
      <c r="F4692" s="2" t="s">
        <v>47</v>
      </c>
      <c r="G4692" s="2" t="s">
        <v>210</v>
      </c>
      <c r="H4692" s="2" t="s">
        <v>23</v>
      </c>
      <c r="I4692" s="2" t="s">
        <v>23</v>
      </c>
      <c r="J4692" s="2">
        <v>1</v>
      </c>
      <c r="K4692" s="2" t="s">
        <v>24</v>
      </c>
      <c r="L4692" s="2">
        <v>25213</v>
      </c>
      <c r="M4692" s="2" t="s">
        <v>130</v>
      </c>
      <c r="N4692" s="2">
        <v>3</v>
      </c>
      <c r="O4692" s="2">
        <v>196983.07</v>
      </c>
      <c r="P4692" s="2">
        <v>65661.02</v>
      </c>
    </row>
    <row r="4693" spans="1:16" outlineLevel="1" x14ac:dyDescent="0.2">
      <c r="A4693" s="5"/>
      <c r="D4693" s="3" t="s">
        <v>699</v>
      </c>
      <c r="N4693" s="2">
        <f>SUBTOTAL(9,N4691:N4692)</f>
        <v>6</v>
      </c>
      <c r="O4693" s="2">
        <f>SUBTOTAL(9,O4691:O4692)</f>
        <v>448407.57</v>
      </c>
      <c r="P4693" s="2">
        <f>+O4693/N4693</f>
        <v>74734.595000000001</v>
      </c>
    </row>
    <row r="4694" spans="1:16" outlineLevel="2" x14ac:dyDescent="0.2">
      <c r="A4694" s="5">
        <v>46220</v>
      </c>
      <c r="B4694" s="2">
        <v>160954</v>
      </c>
      <c r="C4694" s="2">
        <v>4</v>
      </c>
      <c r="D4694" s="2" t="s">
        <v>128</v>
      </c>
      <c r="E4694" s="2" t="s">
        <v>23</v>
      </c>
      <c r="F4694" s="2" t="s">
        <v>47</v>
      </c>
      <c r="G4694" s="2" t="s">
        <v>22</v>
      </c>
      <c r="H4694" s="2" t="s">
        <v>23</v>
      </c>
      <c r="I4694" s="2" t="s">
        <v>23</v>
      </c>
      <c r="J4694" s="2">
        <v>41</v>
      </c>
      <c r="K4694" s="2" t="s">
        <v>129</v>
      </c>
      <c r="L4694" s="2">
        <v>25213</v>
      </c>
      <c r="M4694" s="2" t="s">
        <v>130</v>
      </c>
      <c r="N4694" s="2">
        <v>25</v>
      </c>
      <c r="O4694" s="2">
        <v>88594.15</v>
      </c>
      <c r="P4694" s="2">
        <v>3543.77</v>
      </c>
    </row>
    <row r="4695" spans="1:16" outlineLevel="1" x14ac:dyDescent="0.2">
      <c r="A4695" s="5"/>
      <c r="D4695" s="3" t="s">
        <v>732</v>
      </c>
      <c r="N4695" s="2">
        <f>SUBTOTAL(9,N4694:N4694)</f>
        <v>25</v>
      </c>
      <c r="O4695" s="2">
        <f>SUBTOTAL(9,O4694:O4694)</f>
        <v>88594.15</v>
      </c>
      <c r="P4695" s="2">
        <f>+O4695/N4695</f>
        <v>3543.7659999999996</v>
      </c>
    </row>
    <row r="4696" spans="1:16" outlineLevel="2" x14ac:dyDescent="0.2">
      <c r="A4696" s="5">
        <v>46220</v>
      </c>
      <c r="B4696" s="2">
        <v>160954</v>
      </c>
      <c r="C4696" s="2">
        <v>5</v>
      </c>
      <c r="D4696" s="2" t="s">
        <v>207</v>
      </c>
      <c r="E4696" s="2" t="s">
        <v>23</v>
      </c>
      <c r="F4696" s="2" t="s">
        <v>47</v>
      </c>
      <c r="G4696" s="2" t="s">
        <v>22</v>
      </c>
      <c r="H4696" s="2" t="s">
        <v>209</v>
      </c>
      <c r="I4696" s="2" t="s">
        <v>23</v>
      </c>
      <c r="J4696" s="2">
        <v>41</v>
      </c>
      <c r="K4696" s="2" t="s">
        <v>129</v>
      </c>
      <c r="L4696" s="2">
        <v>25213</v>
      </c>
      <c r="M4696" s="2" t="s">
        <v>130</v>
      </c>
      <c r="N4696" s="2">
        <v>25</v>
      </c>
      <c r="O4696" s="2">
        <v>72725.84</v>
      </c>
      <c r="P4696" s="2">
        <v>2909.03</v>
      </c>
    </row>
    <row r="4697" spans="1:16" outlineLevel="2" x14ac:dyDescent="0.2">
      <c r="A4697" s="5">
        <v>46220</v>
      </c>
      <c r="B4697" s="2">
        <v>160954</v>
      </c>
      <c r="C4697" s="2">
        <v>6</v>
      </c>
      <c r="D4697" s="2" t="s">
        <v>207</v>
      </c>
      <c r="E4697" s="2" t="s">
        <v>23</v>
      </c>
      <c r="F4697" s="2" t="s">
        <v>47</v>
      </c>
      <c r="G4697" s="2" t="s">
        <v>22</v>
      </c>
      <c r="H4697" s="2" t="s">
        <v>208</v>
      </c>
      <c r="I4697" s="2" t="s">
        <v>23</v>
      </c>
      <c r="J4697" s="2">
        <v>41</v>
      </c>
      <c r="K4697" s="2" t="s">
        <v>129</v>
      </c>
      <c r="L4697" s="2">
        <v>25213</v>
      </c>
      <c r="M4697" s="2" t="s">
        <v>130</v>
      </c>
      <c r="N4697" s="2">
        <v>75</v>
      </c>
      <c r="O4697" s="2">
        <v>242539.73</v>
      </c>
      <c r="P4697" s="2">
        <v>3233.86</v>
      </c>
    </row>
    <row r="4698" spans="1:16" outlineLevel="1" x14ac:dyDescent="0.2">
      <c r="A4698" s="5"/>
      <c r="D4698" s="3" t="s">
        <v>699</v>
      </c>
      <c r="N4698" s="2">
        <f>SUBTOTAL(9,N4696:N4697)</f>
        <v>100</v>
      </c>
      <c r="O4698" s="2">
        <f>SUBTOTAL(9,O4696:O4697)</f>
        <v>315265.57</v>
      </c>
      <c r="P4698" s="2">
        <f>+O4698/N4698</f>
        <v>3152.6557000000003</v>
      </c>
    </row>
    <row r="4699" spans="1:16" outlineLevel="2" x14ac:dyDescent="0.2">
      <c r="A4699" s="5">
        <v>46231</v>
      </c>
      <c r="B4699" s="2">
        <v>160955</v>
      </c>
      <c r="C4699" s="2">
        <v>501</v>
      </c>
      <c r="D4699" s="2" t="s">
        <v>26</v>
      </c>
      <c r="E4699" s="2" t="s">
        <v>23</v>
      </c>
      <c r="F4699" s="2" t="s">
        <v>23</v>
      </c>
      <c r="G4699" s="2" t="s">
        <v>22</v>
      </c>
      <c r="H4699" s="2" t="s">
        <v>23</v>
      </c>
      <c r="I4699" s="2" t="s">
        <v>23</v>
      </c>
      <c r="J4699" s="2">
        <v>5</v>
      </c>
      <c r="K4699" s="2" t="s">
        <v>27</v>
      </c>
      <c r="L4699" s="2">
        <v>600</v>
      </c>
      <c r="M4699" s="2" t="s">
        <v>112</v>
      </c>
      <c r="N4699" s="2">
        <v>70</v>
      </c>
      <c r="O4699" s="2">
        <v>332633.06</v>
      </c>
      <c r="P4699" s="2">
        <v>4751.8999999999996</v>
      </c>
    </row>
    <row r="4700" spans="1:16" outlineLevel="1" x14ac:dyDescent="0.2">
      <c r="A4700" s="5"/>
      <c r="D4700" s="3" t="s">
        <v>711</v>
      </c>
      <c r="N4700" s="2">
        <f>SUBTOTAL(9,N4699:N4699)</f>
        <v>70</v>
      </c>
      <c r="O4700" s="2">
        <f>SUBTOTAL(9,O4699:O4699)</f>
        <v>332633.06</v>
      </c>
      <c r="P4700" s="2">
        <f>+O4700/N4700</f>
        <v>4751.9008571428567</v>
      </c>
    </row>
    <row r="4701" spans="1:16" outlineLevel="2" x14ac:dyDescent="0.2">
      <c r="A4701" s="5">
        <v>46224</v>
      </c>
      <c r="B4701" s="2">
        <v>160956</v>
      </c>
      <c r="C4701" s="2">
        <v>501</v>
      </c>
      <c r="D4701" s="2" t="s">
        <v>38</v>
      </c>
      <c r="E4701" s="2" t="s">
        <v>39</v>
      </c>
      <c r="F4701" s="2" t="s">
        <v>23</v>
      </c>
      <c r="G4701" s="2" t="s">
        <v>22</v>
      </c>
      <c r="H4701" s="2" t="s">
        <v>23</v>
      </c>
      <c r="I4701" s="2" t="s">
        <v>23</v>
      </c>
      <c r="J4701" s="2">
        <v>40</v>
      </c>
      <c r="K4701" s="2" t="s">
        <v>43</v>
      </c>
      <c r="L4701" s="2">
        <v>25008</v>
      </c>
      <c r="M4701" s="2" t="s">
        <v>641</v>
      </c>
      <c r="N4701" s="2">
        <v>53</v>
      </c>
      <c r="O4701" s="2">
        <v>928634.15</v>
      </c>
      <c r="P4701" s="2">
        <v>17521.400000000001</v>
      </c>
    </row>
    <row r="4702" spans="1:16" outlineLevel="1" x14ac:dyDescent="0.2">
      <c r="A4702" s="5"/>
      <c r="D4702" s="3" t="s">
        <v>721</v>
      </c>
      <c r="N4702" s="2">
        <f>SUBTOTAL(9,N4701:N4701)</f>
        <v>53</v>
      </c>
      <c r="O4702" s="2">
        <f>SUBTOTAL(9,O4701:O4701)</f>
        <v>928634.15</v>
      </c>
      <c r="P4702" s="2">
        <f>+O4702/N4702</f>
        <v>17521.399056603776</v>
      </c>
    </row>
    <row r="4703" spans="1:16" outlineLevel="2" x14ac:dyDescent="0.2">
      <c r="A4703" s="5">
        <v>46220</v>
      </c>
      <c r="B4703" s="2">
        <v>160957</v>
      </c>
      <c r="C4703" s="2">
        <v>1</v>
      </c>
      <c r="D4703" s="2" t="s">
        <v>474</v>
      </c>
      <c r="E4703" s="2" t="s">
        <v>475</v>
      </c>
      <c r="F4703" s="2" t="s">
        <v>47</v>
      </c>
      <c r="G4703" s="2" t="s">
        <v>22</v>
      </c>
      <c r="H4703" s="2" t="s">
        <v>23</v>
      </c>
      <c r="I4703" s="2" t="s">
        <v>23</v>
      </c>
      <c r="J4703" s="2">
        <v>41</v>
      </c>
      <c r="K4703" s="2" t="s">
        <v>129</v>
      </c>
      <c r="L4703" s="2">
        <v>2338</v>
      </c>
      <c r="M4703" s="2" t="s">
        <v>417</v>
      </c>
      <c r="N4703" s="2">
        <v>480</v>
      </c>
      <c r="O4703" s="2">
        <v>351443.87</v>
      </c>
      <c r="P4703" s="2">
        <v>732.17</v>
      </c>
    </row>
    <row r="4704" spans="1:16" outlineLevel="1" x14ac:dyDescent="0.2">
      <c r="A4704" s="5"/>
      <c r="D4704" s="3" t="s">
        <v>780</v>
      </c>
      <c r="N4704" s="2">
        <f>SUBTOTAL(9,N4703:N4703)</f>
        <v>480</v>
      </c>
      <c r="O4704" s="2">
        <f>SUBTOTAL(9,O4703:O4703)</f>
        <v>351443.87</v>
      </c>
      <c r="P4704" s="2">
        <f>+O4704/N4704</f>
        <v>732.17472916666668</v>
      </c>
    </row>
    <row r="4705" spans="1:16" outlineLevel="2" x14ac:dyDescent="0.2">
      <c r="A4705" s="5">
        <v>46225</v>
      </c>
      <c r="B4705" s="2">
        <v>160958</v>
      </c>
      <c r="C4705" s="2">
        <v>3</v>
      </c>
      <c r="D4705" s="2" t="s">
        <v>45</v>
      </c>
      <c r="E4705" s="2" t="s">
        <v>46</v>
      </c>
      <c r="F4705" s="2" t="s">
        <v>23</v>
      </c>
      <c r="G4705" s="2" t="s">
        <v>23</v>
      </c>
      <c r="H4705" s="2" t="s">
        <v>23</v>
      </c>
      <c r="I4705" s="2" t="s">
        <v>23</v>
      </c>
      <c r="J4705" s="2">
        <v>2</v>
      </c>
      <c r="K4705" s="2" t="s">
        <v>48</v>
      </c>
      <c r="L4705" s="2">
        <v>626</v>
      </c>
      <c r="M4705" s="2" t="s">
        <v>49</v>
      </c>
      <c r="N4705" s="2">
        <v>4</v>
      </c>
      <c r="O4705" s="2">
        <v>26767.71</v>
      </c>
      <c r="P4705" s="2">
        <v>6691.93</v>
      </c>
    </row>
    <row r="4706" spans="1:16" outlineLevel="1" x14ac:dyDescent="0.2">
      <c r="A4706" s="5"/>
      <c r="D4706" s="3" t="s">
        <v>733</v>
      </c>
      <c r="N4706" s="2">
        <f>SUBTOTAL(9,N4705:N4705)</f>
        <v>4</v>
      </c>
      <c r="O4706" s="2">
        <f>SUBTOTAL(9,O4705:O4705)</f>
        <v>26767.71</v>
      </c>
      <c r="P4706" s="2">
        <f>+O4706/N4706</f>
        <v>6691.9274999999998</v>
      </c>
    </row>
    <row r="4707" spans="1:16" outlineLevel="2" x14ac:dyDescent="0.2">
      <c r="A4707" s="5">
        <v>46220</v>
      </c>
      <c r="B4707" s="2">
        <v>160960</v>
      </c>
      <c r="C4707" s="2">
        <v>1</v>
      </c>
      <c r="D4707" s="2" t="s">
        <v>140</v>
      </c>
      <c r="E4707" s="2" t="s">
        <v>23</v>
      </c>
      <c r="F4707" s="2" t="s">
        <v>108</v>
      </c>
      <c r="G4707" s="2" t="s">
        <v>22</v>
      </c>
      <c r="H4707" s="2" t="s">
        <v>23</v>
      </c>
      <c r="I4707" s="2" t="s">
        <v>23</v>
      </c>
      <c r="J4707" s="2">
        <v>1</v>
      </c>
      <c r="K4707" s="2" t="s">
        <v>24</v>
      </c>
      <c r="L4707" s="2">
        <v>1503</v>
      </c>
      <c r="M4707" s="2" t="s">
        <v>603</v>
      </c>
      <c r="N4707" s="2">
        <v>6</v>
      </c>
      <c r="O4707" s="2">
        <v>162473.26</v>
      </c>
      <c r="P4707" s="2">
        <v>27078.880000000001</v>
      </c>
    </row>
    <row r="4708" spans="1:16" outlineLevel="1" x14ac:dyDescent="0.2">
      <c r="A4708" s="5"/>
      <c r="D4708" s="3" t="s">
        <v>696</v>
      </c>
      <c r="N4708" s="2">
        <f>SUBTOTAL(9,N4707:N4707)</f>
        <v>6</v>
      </c>
      <c r="O4708" s="2">
        <f>SUBTOTAL(9,O4707:O4707)</f>
        <v>162473.26</v>
      </c>
      <c r="P4708" s="2">
        <f>+O4708/N4708</f>
        <v>27078.876666666667</v>
      </c>
    </row>
    <row r="4709" spans="1:16" outlineLevel="2" x14ac:dyDescent="0.2">
      <c r="A4709" s="5">
        <v>46232</v>
      </c>
      <c r="B4709" s="2">
        <v>160986</v>
      </c>
      <c r="C4709" s="2">
        <v>1</v>
      </c>
      <c r="D4709" s="2" t="s">
        <v>175</v>
      </c>
      <c r="E4709" s="2" t="s">
        <v>469</v>
      </c>
      <c r="F4709" s="2" t="s">
        <v>40</v>
      </c>
      <c r="G4709" s="2" t="s">
        <v>22</v>
      </c>
      <c r="H4709" s="2" t="s">
        <v>23</v>
      </c>
      <c r="I4709" s="2" t="s">
        <v>23</v>
      </c>
      <c r="J4709" s="2">
        <v>5</v>
      </c>
      <c r="K4709" s="2" t="s">
        <v>27</v>
      </c>
      <c r="L4709" s="2">
        <v>1949</v>
      </c>
      <c r="M4709" s="2" t="s">
        <v>428</v>
      </c>
      <c r="N4709" s="2">
        <v>120</v>
      </c>
      <c r="O4709" s="2">
        <v>3741529.52</v>
      </c>
      <c r="P4709" s="2">
        <v>31179.41</v>
      </c>
    </row>
    <row r="4710" spans="1:16" outlineLevel="1" x14ac:dyDescent="0.2">
      <c r="A4710" s="5"/>
      <c r="D4710" s="3" t="s">
        <v>725</v>
      </c>
      <c r="N4710" s="2">
        <f>SUBTOTAL(9,N4709:N4709)</f>
        <v>120</v>
      </c>
      <c r="O4710" s="2">
        <f>SUBTOTAL(9,O4709:O4709)</f>
        <v>3741529.52</v>
      </c>
      <c r="P4710" s="2">
        <f>+O4710/N4710</f>
        <v>31179.412666666667</v>
      </c>
    </row>
    <row r="4711" spans="1:16" outlineLevel="2" x14ac:dyDescent="0.2">
      <c r="A4711" s="5">
        <v>46218</v>
      </c>
      <c r="B4711" s="2">
        <v>160998</v>
      </c>
      <c r="C4711" s="2">
        <v>9</v>
      </c>
      <c r="D4711" s="2" t="s">
        <v>45</v>
      </c>
      <c r="E4711" s="2" t="s">
        <v>581</v>
      </c>
      <c r="F4711" s="2" t="s">
        <v>289</v>
      </c>
      <c r="G4711" s="2" t="s">
        <v>22</v>
      </c>
      <c r="H4711" s="2" t="s">
        <v>23</v>
      </c>
      <c r="I4711" s="2" t="s">
        <v>23</v>
      </c>
      <c r="J4711" s="2">
        <v>41</v>
      </c>
      <c r="K4711" s="2" t="s">
        <v>129</v>
      </c>
      <c r="L4711" s="2">
        <v>106</v>
      </c>
      <c r="M4711" s="2" t="s">
        <v>486</v>
      </c>
      <c r="N4711" s="2">
        <v>32</v>
      </c>
      <c r="O4711" s="2">
        <v>659251.26</v>
      </c>
      <c r="P4711" s="2">
        <v>20601.599999999999</v>
      </c>
    </row>
    <row r="4712" spans="1:16" outlineLevel="2" x14ac:dyDescent="0.2">
      <c r="A4712" s="5">
        <v>46218</v>
      </c>
      <c r="B4712" s="2">
        <v>160998</v>
      </c>
      <c r="C4712" s="2">
        <v>11</v>
      </c>
      <c r="D4712" s="2" t="s">
        <v>45</v>
      </c>
      <c r="E4712" s="2" t="s">
        <v>227</v>
      </c>
      <c r="F4712" s="2" t="s">
        <v>289</v>
      </c>
      <c r="G4712" s="2" t="s">
        <v>22</v>
      </c>
      <c r="H4712" s="2" t="s">
        <v>23</v>
      </c>
      <c r="I4712" s="2" t="s">
        <v>23</v>
      </c>
      <c r="J4712" s="2">
        <v>41</v>
      </c>
      <c r="K4712" s="2" t="s">
        <v>129</v>
      </c>
      <c r="L4712" s="2">
        <v>106</v>
      </c>
      <c r="M4712" s="2" t="s">
        <v>486</v>
      </c>
      <c r="N4712" s="2">
        <v>16</v>
      </c>
      <c r="O4712" s="2">
        <v>294170.36</v>
      </c>
      <c r="P4712" s="2">
        <v>18385.650000000001</v>
      </c>
    </row>
    <row r="4713" spans="1:16" outlineLevel="2" x14ac:dyDescent="0.2">
      <c r="A4713" s="5">
        <v>46218</v>
      </c>
      <c r="B4713" s="2">
        <v>160998</v>
      </c>
      <c r="C4713" s="2">
        <v>14</v>
      </c>
      <c r="D4713" s="2" t="s">
        <v>45</v>
      </c>
      <c r="E4713" s="2" t="s">
        <v>558</v>
      </c>
      <c r="F4713" s="2" t="s">
        <v>289</v>
      </c>
      <c r="G4713" s="2" t="s">
        <v>22</v>
      </c>
      <c r="H4713" s="2" t="s">
        <v>23</v>
      </c>
      <c r="I4713" s="2" t="s">
        <v>23</v>
      </c>
      <c r="J4713" s="2">
        <v>41</v>
      </c>
      <c r="K4713" s="2" t="s">
        <v>129</v>
      </c>
      <c r="L4713" s="2">
        <v>106</v>
      </c>
      <c r="M4713" s="2" t="s">
        <v>486</v>
      </c>
      <c r="N4713" s="2">
        <v>27</v>
      </c>
      <c r="O4713" s="2">
        <v>630565.44999999995</v>
      </c>
      <c r="P4713" s="2">
        <v>23354.28</v>
      </c>
    </row>
    <row r="4714" spans="1:16" outlineLevel="2" x14ac:dyDescent="0.2">
      <c r="A4714" s="5">
        <v>46218</v>
      </c>
      <c r="B4714" s="2">
        <v>160998</v>
      </c>
      <c r="C4714" s="2">
        <v>15</v>
      </c>
      <c r="D4714" s="2" t="s">
        <v>45</v>
      </c>
      <c r="E4714" s="2" t="s">
        <v>598</v>
      </c>
      <c r="F4714" s="2" t="s">
        <v>289</v>
      </c>
      <c r="G4714" s="2" t="s">
        <v>22</v>
      </c>
      <c r="H4714" s="2" t="s">
        <v>23</v>
      </c>
      <c r="I4714" s="2" t="s">
        <v>23</v>
      </c>
      <c r="J4714" s="2">
        <v>41</v>
      </c>
      <c r="K4714" s="2" t="s">
        <v>129</v>
      </c>
      <c r="L4714" s="2">
        <v>106</v>
      </c>
      <c r="M4714" s="2" t="s">
        <v>486</v>
      </c>
      <c r="N4714" s="2">
        <v>17</v>
      </c>
      <c r="O4714" s="2">
        <v>180258.85</v>
      </c>
      <c r="P4714" s="2">
        <v>10603.46</v>
      </c>
    </row>
    <row r="4715" spans="1:16" outlineLevel="2" x14ac:dyDescent="0.2">
      <c r="A4715" s="5">
        <v>46218</v>
      </c>
      <c r="B4715" s="2">
        <v>160998</v>
      </c>
      <c r="C4715" s="2">
        <v>16</v>
      </c>
      <c r="D4715" s="2" t="s">
        <v>45</v>
      </c>
      <c r="E4715" s="2" t="s">
        <v>592</v>
      </c>
      <c r="F4715" s="2" t="s">
        <v>289</v>
      </c>
      <c r="G4715" s="2" t="s">
        <v>22</v>
      </c>
      <c r="H4715" s="2" t="s">
        <v>23</v>
      </c>
      <c r="I4715" s="2" t="s">
        <v>23</v>
      </c>
      <c r="J4715" s="2">
        <v>41</v>
      </c>
      <c r="K4715" s="2" t="s">
        <v>129</v>
      </c>
      <c r="L4715" s="2">
        <v>106</v>
      </c>
      <c r="M4715" s="2" t="s">
        <v>486</v>
      </c>
      <c r="N4715" s="2">
        <v>19</v>
      </c>
      <c r="O4715" s="2">
        <v>131731.48000000001</v>
      </c>
      <c r="P4715" s="2">
        <v>6933.24</v>
      </c>
    </row>
    <row r="4716" spans="1:16" outlineLevel="2" x14ac:dyDescent="0.2">
      <c r="A4716" s="5">
        <v>46218</v>
      </c>
      <c r="B4716" s="2">
        <v>160998</v>
      </c>
      <c r="C4716" s="2">
        <v>17</v>
      </c>
      <c r="D4716" s="2" t="s">
        <v>45</v>
      </c>
      <c r="E4716" s="2" t="s">
        <v>604</v>
      </c>
      <c r="F4716" s="2" t="s">
        <v>289</v>
      </c>
      <c r="G4716" s="2" t="s">
        <v>22</v>
      </c>
      <c r="H4716" s="2" t="s">
        <v>23</v>
      </c>
      <c r="I4716" s="2" t="s">
        <v>23</v>
      </c>
      <c r="J4716" s="2">
        <v>41</v>
      </c>
      <c r="K4716" s="2" t="s">
        <v>129</v>
      </c>
      <c r="L4716" s="2">
        <v>106</v>
      </c>
      <c r="M4716" s="2" t="s">
        <v>486</v>
      </c>
      <c r="N4716" s="2">
        <v>20</v>
      </c>
      <c r="O4716" s="2">
        <v>302296.76</v>
      </c>
      <c r="P4716" s="2">
        <v>15114.84</v>
      </c>
    </row>
    <row r="4717" spans="1:16" outlineLevel="1" x14ac:dyDescent="0.2">
      <c r="A4717" s="5"/>
      <c r="D4717" s="3" t="s">
        <v>733</v>
      </c>
      <c r="N4717" s="2">
        <f>SUBTOTAL(9,N4711:N4716)</f>
        <v>131</v>
      </c>
      <c r="O4717" s="2">
        <f>SUBTOTAL(9,O4711:O4716)</f>
        <v>2198274.16</v>
      </c>
      <c r="P4717" s="2">
        <f>+O4717/N4717</f>
        <v>16780.718778625956</v>
      </c>
    </row>
    <row r="4718" spans="1:16" outlineLevel="2" x14ac:dyDescent="0.2">
      <c r="A4718" s="5">
        <v>46218</v>
      </c>
      <c r="B4718" s="2">
        <v>160998</v>
      </c>
      <c r="C4718" s="2">
        <v>24</v>
      </c>
      <c r="D4718" s="2" t="s">
        <v>226</v>
      </c>
      <c r="E4718" s="2" t="s">
        <v>581</v>
      </c>
      <c r="F4718" s="2" t="s">
        <v>289</v>
      </c>
      <c r="G4718" s="2" t="s">
        <v>22</v>
      </c>
      <c r="H4718" s="2" t="s">
        <v>23</v>
      </c>
      <c r="I4718" s="2" t="s">
        <v>23</v>
      </c>
      <c r="J4718" s="2">
        <v>41</v>
      </c>
      <c r="K4718" s="2" t="s">
        <v>129</v>
      </c>
      <c r="L4718" s="2">
        <v>106</v>
      </c>
      <c r="M4718" s="2" t="s">
        <v>486</v>
      </c>
      <c r="N4718" s="2">
        <v>50</v>
      </c>
      <c r="O4718" s="2">
        <v>1301048.9099999999</v>
      </c>
      <c r="P4718" s="2">
        <v>26020.98</v>
      </c>
    </row>
    <row r="4719" spans="1:16" outlineLevel="1" x14ac:dyDescent="0.2">
      <c r="A4719" s="5"/>
      <c r="D4719" s="3" t="s">
        <v>736</v>
      </c>
      <c r="N4719" s="2">
        <f>SUBTOTAL(9,N4718:N4718)</f>
        <v>50</v>
      </c>
      <c r="O4719" s="2">
        <f>SUBTOTAL(9,O4718:O4718)</f>
        <v>1301048.9099999999</v>
      </c>
      <c r="P4719" s="2">
        <f>+O4719/N4719</f>
        <v>26020.978199999998</v>
      </c>
    </row>
    <row r="4720" spans="1:16" outlineLevel="2" x14ac:dyDescent="0.2">
      <c r="A4720" s="5">
        <v>46220</v>
      </c>
      <c r="B4720" s="2">
        <v>160998</v>
      </c>
      <c r="C4720" s="2">
        <v>308</v>
      </c>
      <c r="D4720" s="2" t="s">
        <v>45</v>
      </c>
      <c r="E4720" s="2" t="s">
        <v>228</v>
      </c>
      <c r="F4720" s="2" t="s">
        <v>55</v>
      </c>
      <c r="G4720" s="2" t="s">
        <v>23</v>
      </c>
      <c r="H4720" s="2" t="s">
        <v>23</v>
      </c>
      <c r="I4720" s="2" t="s">
        <v>23</v>
      </c>
      <c r="J4720" s="2">
        <v>41</v>
      </c>
      <c r="K4720" s="2" t="s">
        <v>129</v>
      </c>
      <c r="L4720" s="2">
        <v>801</v>
      </c>
      <c r="M4720" s="2" t="s">
        <v>56</v>
      </c>
      <c r="N4720" s="2">
        <v>5</v>
      </c>
      <c r="O4720" s="2">
        <v>45765.94</v>
      </c>
      <c r="P4720" s="2">
        <v>9153.19</v>
      </c>
    </row>
    <row r="4721" spans="1:16" outlineLevel="1" x14ac:dyDescent="0.2">
      <c r="A4721" s="5"/>
      <c r="D4721" s="3" t="s">
        <v>733</v>
      </c>
      <c r="N4721" s="2">
        <f>SUBTOTAL(9,N4720:N4720)</f>
        <v>5</v>
      </c>
      <c r="O4721" s="2">
        <f>SUBTOTAL(9,O4720:O4720)</f>
        <v>45765.94</v>
      </c>
      <c r="P4721" s="2">
        <f>+O4721/N4721</f>
        <v>9153.1880000000001</v>
      </c>
    </row>
    <row r="4722" spans="1:16" outlineLevel="2" x14ac:dyDescent="0.2">
      <c r="A4722" s="5">
        <v>46225</v>
      </c>
      <c r="B4722" s="2">
        <v>161001</v>
      </c>
      <c r="C4722" s="2">
        <v>1</v>
      </c>
      <c r="D4722" s="2" t="s">
        <v>140</v>
      </c>
      <c r="E4722" s="2" t="s">
        <v>55</v>
      </c>
      <c r="F4722" s="2" t="s">
        <v>23</v>
      </c>
      <c r="G4722" s="2" t="s">
        <v>23</v>
      </c>
      <c r="H4722" s="2" t="s">
        <v>23</v>
      </c>
      <c r="I4722" s="2" t="s">
        <v>23</v>
      </c>
      <c r="J4722" s="2">
        <v>1</v>
      </c>
      <c r="K4722" s="2" t="s">
        <v>24</v>
      </c>
      <c r="L4722" s="2">
        <v>1833</v>
      </c>
      <c r="M4722" s="2" t="s">
        <v>142</v>
      </c>
      <c r="N4722" s="2">
        <v>33</v>
      </c>
      <c r="O4722" s="2">
        <v>183111.73</v>
      </c>
      <c r="P4722" s="2">
        <v>5548.84</v>
      </c>
    </row>
    <row r="4723" spans="1:16" outlineLevel="1" x14ac:dyDescent="0.2">
      <c r="A4723" s="5"/>
      <c r="D4723" s="3" t="s">
        <v>696</v>
      </c>
      <c r="N4723" s="2">
        <f>SUBTOTAL(9,N4722:N4722)</f>
        <v>33</v>
      </c>
      <c r="O4723" s="2">
        <f>SUBTOTAL(9,O4722:O4722)</f>
        <v>183111.73</v>
      </c>
      <c r="P4723" s="2">
        <f>+O4723/N4723</f>
        <v>5548.8403030303034</v>
      </c>
    </row>
    <row r="4724" spans="1:16" outlineLevel="2" x14ac:dyDescent="0.2">
      <c r="A4724" s="5">
        <v>46237</v>
      </c>
      <c r="B4724" s="2">
        <v>161007</v>
      </c>
      <c r="C4724" s="2">
        <v>1</v>
      </c>
      <c r="D4724" s="2" t="s">
        <v>102</v>
      </c>
      <c r="E4724" s="2" t="s">
        <v>23</v>
      </c>
      <c r="F4724" s="2" t="s">
        <v>40</v>
      </c>
      <c r="G4724" s="2" t="s">
        <v>22</v>
      </c>
      <c r="H4724" s="2" t="s">
        <v>23</v>
      </c>
      <c r="I4724" s="2" t="s">
        <v>23</v>
      </c>
      <c r="J4724" s="2">
        <v>1</v>
      </c>
      <c r="K4724" s="2" t="s">
        <v>24</v>
      </c>
      <c r="L4724" s="2">
        <v>2521</v>
      </c>
      <c r="M4724" s="2" t="s">
        <v>82</v>
      </c>
      <c r="N4724" s="2">
        <v>245</v>
      </c>
      <c r="O4724" s="2">
        <v>7727706.0999999996</v>
      </c>
      <c r="P4724" s="2">
        <v>31541.66</v>
      </c>
    </row>
    <row r="4725" spans="1:16" outlineLevel="1" x14ac:dyDescent="0.2">
      <c r="A4725" s="5"/>
      <c r="D4725" s="3" t="s">
        <v>707</v>
      </c>
      <c r="N4725" s="2">
        <f>SUBTOTAL(9,N4724:N4724)</f>
        <v>245</v>
      </c>
      <c r="O4725" s="2">
        <f>SUBTOTAL(9,O4724:O4724)</f>
        <v>7727706.0999999996</v>
      </c>
      <c r="P4725" s="2">
        <f>+O4725/N4725</f>
        <v>31541.657551020406</v>
      </c>
    </row>
    <row r="4726" spans="1:16" outlineLevel="2" x14ac:dyDescent="0.2">
      <c r="A4726" s="5">
        <v>46232</v>
      </c>
      <c r="B4726" s="2">
        <v>161008</v>
      </c>
      <c r="C4726" s="2">
        <v>1</v>
      </c>
      <c r="D4726" s="2" t="s">
        <v>160</v>
      </c>
      <c r="E4726" s="2" t="s">
        <v>222</v>
      </c>
      <c r="F4726" s="2" t="s">
        <v>40</v>
      </c>
      <c r="G4726" s="2" t="s">
        <v>22</v>
      </c>
      <c r="H4726" s="2" t="s">
        <v>23</v>
      </c>
      <c r="I4726" s="2" t="s">
        <v>23</v>
      </c>
      <c r="J4726" s="2">
        <v>1</v>
      </c>
      <c r="K4726" s="2" t="s">
        <v>24</v>
      </c>
      <c r="L4726" s="2">
        <v>2521</v>
      </c>
      <c r="M4726" s="2" t="s">
        <v>82</v>
      </c>
      <c r="N4726" s="2">
        <v>160</v>
      </c>
      <c r="O4726" s="2">
        <v>2135930.98</v>
      </c>
      <c r="P4726" s="2">
        <v>13349.57</v>
      </c>
    </row>
    <row r="4727" spans="1:16" outlineLevel="1" x14ac:dyDescent="0.2">
      <c r="A4727" s="5"/>
      <c r="D4727" s="3" t="s">
        <v>709</v>
      </c>
      <c r="N4727" s="2">
        <f>SUBTOTAL(9,N4726:N4726)</f>
        <v>160</v>
      </c>
      <c r="O4727" s="2">
        <f>SUBTOTAL(9,O4726:O4726)</f>
        <v>2135930.98</v>
      </c>
      <c r="P4727" s="2">
        <f>+O4727/N4727</f>
        <v>13349.568625</v>
      </c>
    </row>
    <row r="4728" spans="1:16" outlineLevel="2" x14ac:dyDescent="0.2">
      <c r="A4728" s="5">
        <v>46220</v>
      </c>
      <c r="B4728" s="2">
        <v>161008</v>
      </c>
      <c r="C4728" s="2">
        <v>2</v>
      </c>
      <c r="D4728" s="2" t="s">
        <v>131</v>
      </c>
      <c r="E4728" s="2" t="s">
        <v>132</v>
      </c>
      <c r="F4728" s="2" t="s">
        <v>40</v>
      </c>
      <c r="G4728" s="2" t="s">
        <v>22</v>
      </c>
      <c r="H4728" s="2" t="s">
        <v>23</v>
      </c>
      <c r="I4728" s="2" t="s">
        <v>23</v>
      </c>
      <c r="J4728" s="2">
        <v>1</v>
      </c>
      <c r="K4728" s="2" t="s">
        <v>24</v>
      </c>
      <c r="L4728" s="2">
        <v>2521</v>
      </c>
      <c r="M4728" s="2" t="s">
        <v>82</v>
      </c>
      <c r="N4728" s="2">
        <v>195</v>
      </c>
      <c r="O4728" s="2">
        <v>7263270.9100000001</v>
      </c>
      <c r="P4728" s="2">
        <v>37247.54</v>
      </c>
    </row>
    <row r="4729" spans="1:16" outlineLevel="1" x14ac:dyDescent="0.2">
      <c r="A4729" s="5"/>
      <c r="D4729" s="3" t="s">
        <v>713</v>
      </c>
      <c r="N4729" s="2">
        <f>SUBTOTAL(9,N4728:N4728)</f>
        <v>195</v>
      </c>
      <c r="O4729" s="2">
        <f>SUBTOTAL(9,O4728:O4728)</f>
        <v>7263270.9100000001</v>
      </c>
      <c r="P4729" s="2">
        <f>+O4729/N4729</f>
        <v>37247.543128205129</v>
      </c>
    </row>
    <row r="4730" spans="1:16" outlineLevel="2" x14ac:dyDescent="0.2">
      <c r="A4730" s="5">
        <v>46223</v>
      </c>
      <c r="B4730" s="2">
        <v>161009</v>
      </c>
      <c r="C4730" s="2">
        <v>1</v>
      </c>
      <c r="D4730" s="2" t="s">
        <v>38</v>
      </c>
      <c r="E4730" s="2" t="s">
        <v>39</v>
      </c>
      <c r="F4730" s="2" t="s">
        <v>63</v>
      </c>
      <c r="G4730" s="2" t="s">
        <v>22</v>
      </c>
      <c r="H4730" s="2" t="s">
        <v>23</v>
      </c>
      <c r="I4730" s="2" t="s">
        <v>116</v>
      </c>
      <c r="J4730" s="2">
        <v>1</v>
      </c>
      <c r="K4730" s="2" t="s">
        <v>24</v>
      </c>
      <c r="L4730" s="2">
        <v>1846</v>
      </c>
      <c r="M4730" s="2" t="s">
        <v>134</v>
      </c>
      <c r="N4730" s="2">
        <v>176</v>
      </c>
      <c r="O4730" s="2">
        <v>8727849.2300000004</v>
      </c>
      <c r="P4730" s="2">
        <v>49590.05</v>
      </c>
    </row>
    <row r="4731" spans="1:16" outlineLevel="2" x14ac:dyDescent="0.2">
      <c r="A4731" s="5">
        <v>46223</v>
      </c>
      <c r="B4731" s="2">
        <v>161009</v>
      </c>
      <c r="C4731" s="2">
        <v>2</v>
      </c>
      <c r="D4731" s="2" t="s">
        <v>38</v>
      </c>
      <c r="E4731" s="2" t="s">
        <v>39</v>
      </c>
      <c r="F4731" s="2" t="s">
        <v>63</v>
      </c>
      <c r="G4731" s="2" t="s">
        <v>22</v>
      </c>
      <c r="H4731" s="2" t="s">
        <v>23</v>
      </c>
      <c r="I4731" s="2" t="s">
        <v>135</v>
      </c>
      <c r="J4731" s="2">
        <v>1</v>
      </c>
      <c r="K4731" s="2" t="s">
        <v>24</v>
      </c>
      <c r="L4731" s="2">
        <v>1846</v>
      </c>
      <c r="M4731" s="2" t="s">
        <v>134</v>
      </c>
      <c r="N4731" s="2">
        <v>440</v>
      </c>
      <c r="O4731" s="2">
        <v>36633985.590000004</v>
      </c>
      <c r="P4731" s="2">
        <v>83259.06</v>
      </c>
    </row>
    <row r="4732" spans="1:16" outlineLevel="2" x14ac:dyDescent="0.2">
      <c r="A4732" s="5">
        <v>46223</v>
      </c>
      <c r="B4732" s="2">
        <v>161009</v>
      </c>
      <c r="C4732" s="2">
        <v>3</v>
      </c>
      <c r="D4732" s="2" t="s">
        <v>38</v>
      </c>
      <c r="E4732" s="2" t="s">
        <v>39</v>
      </c>
      <c r="F4732" s="2" t="s">
        <v>63</v>
      </c>
      <c r="G4732" s="2" t="s">
        <v>22</v>
      </c>
      <c r="H4732" s="2" t="s">
        <v>23</v>
      </c>
      <c r="I4732" s="2" t="s">
        <v>133</v>
      </c>
      <c r="J4732" s="2">
        <v>1</v>
      </c>
      <c r="K4732" s="2" t="s">
        <v>24</v>
      </c>
      <c r="L4732" s="2">
        <v>1846</v>
      </c>
      <c r="M4732" s="2" t="s">
        <v>134</v>
      </c>
      <c r="N4732" s="2">
        <v>428</v>
      </c>
      <c r="O4732" s="2">
        <v>24096421.460000001</v>
      </c>
      <c r="P4732" s="2">
        <v>56300.05</v>
      </c>
    </row>
    <row r="4733" spans="1:16" outlineLevel="1" x14ac:dyDescent="0.2">
      <c r="A4733" s="5"/>
      <c r="D4733" s="3" t="s">
        <v>721</v>
      </c>
      <c r="N4733" s="2">
        <f>SUBTOTAL(9,N4730:N4732)</f>
        <v>1044</v>
      </c>
      <c r="O4733" s="2">
        <f>SUBTOTAL(9,O4730:O4732)</f>
        <v>69458256.280000001</v>
      </c>
      <c r="P4733" s="2">
        <f>+O4733/N4733</f>
        <v>66530.896819923379</v>
      </c>
    </row>
    <row r="4734" spans="1:16" outlineLevel="2" x14ac:dyDescent="0.2">
      <c r="A4734" s="5">
        <v>46220</v>
      </c>
      <c r="B4734" s="2">
        <v>161013</v>
      </c>
      <c r="C4734" s="2">
        <v>4</v>
      </c>
      <c r="D4734" s="2" t="s">
        <v>45</v>
      </c>
      <c r="E4734" s="2" t="s">
        <v>125</v>
      </c>
      <c r="F4734" s="2" t="s">
        <v>289</v>
      </c>
      <c r="G4734" s="2" t="s">
        <v>22</v>
      </c>
      <c r="H4734" s="2" t="s">
        <v>23</v>
      </c>
      <c r="I4734" s="2" t="s">
        <v>23</v>
      </c>
      <c r="J4734" s="2">
        <v>2</v>
      </c>
      <c r="K4734" s="2" t="s">
        <v>48</v>
      </c>
      <c r="L4734" s="2">
        <v>106</v>
      </c>
      <c r="M4734" s="2" t="s">
        <v>486</v>
      </c>
      <c r="N4734" s="2">
        <v>112</v>
      </c>
      <c r="O4734" s="2">
        <v>3617572.06</v>
      </c>
      <c r="P4734" s="2">
        <v>32299.75</v>
      </c>
    </row>
    <row r="4735" spans="1:16" outlineLevel="2" x14ac:dyDescent="0.2">
      <c r="A4735" s="5">
        <v>46220</v>
      </c>
      <c r="B4735" s="2">
        <v>161017</v>
      </c>
      <c r="C4735" s="2">
        <v>10</v>
      </c>
      <c r="D4735" s="2" t="s">
        <v>45</v>
      </c>
      <c r="E4735" s="2" t="s">
        <v>558</v>
      </c>
      <c r="F4735" s="2" t="s">
        <v>289</v>
      </c>
      <c r="G4735" s="2" t="s">
        <v>22</v>
      </c>
      <c r="H4735" s="2" t="s">
        <v>23</v>
      </c>
      <c r="I4735" s="2" t="s">
        <v>23</v>
      </c>
      <c r="J4735" s="2">
        <v>41</v>
      </c>
      <c r="K4735" s="2" t="s">
        <v>129</v>
      </c>
      <c r="L4735" s="2">
        <v>801</v>
      </c>
      <c r="M4735" s="2" t="s">
        <v>56</v>
      </c>
      <c r="N4735" s="2">
        <v>27</v>
      </c>
      <c r="O4735" s="2">
        <v>588313.61</v>
      </c>
      <c r="P4735" s="2">
        <v>21789.39</v>
      </c>
    </row>
    <row r="4736" spans="1:16" outlineLevel="2" x14ac:dyDescent="0.2">
      <c r="A4736" s="5">
        <v>46220</v>
      </c>
      <c r="B4736" s="2">
        <v>161017</v>
      </c>
      <c r="C4736" s="2">
        <v>11</v>
      </c>
      <c r="D4736" s="2" t="s">
        <v>45</v>
      </c>
      <c r="E4736" s="2" t="s">
        <v>598</v>
      </c>
      <c r="F4736" s="2" t="s">
        <v>289</v>
      </c>
      <c r="G4736" s="2" t="s">
        <v>22</v>
      </c>
      <c r="H4736" s="2" t="s">
        <v>23</v>
      </c>
      <c r="I4736" s="2" t="s">
        <v>23</v>
      </c>
      <c r="J4736" s="2">
        <v>41</v>
      </c>
      <c r="K4736" s="2" t="s">
        <v>129</v>
      </c>
      <c r="L4736" s="2">
        <v>801</v>
      </c>
      <c r="M4736" s="2" t="s">
        <v>56</v>
      </c>
      <c r="N4736" s="2">
        <v>29</v>
      </c>
      <c r="O4736" s="2">
        <v>438359.13</v>
      </c>
      <c r="P4736" s="2">
        <v>15115.83</v>
      </c>
    </row>
    <row r="4737" spans="1:16" outlineLevel="2" x14ac:dyDescent="0.2">
      <c r="A4737" s="5">
        <v>46220</v>
      </c>
      <c r="B4737" s="2">
        <v>161017</v>
      </c>
      <c r="C4737" s="2">
        <v>12</v>
      </c>
      <c r="D4737" s="2" t="s">
        <v>45</v>
      </c>
      <c r="E4737" s="2" t="s">
        <v>592</v>
      </c>
      <c r="F4737" s="2" t="s">
        <v>289</v>
      </c>
      <c r="G4737" s="2" t="s">
        <v>22</v>
      </c>
      <c r="H4737" s="2" t="s">
        <v>23</v>
      </c>
      <c r="I4737" s="2" t="s">
        <v>23</v>
      </c>
      <c r="J4737" s="2">
        <v>41</v>
      </c>
      <c r="K4737" s="2" t="s">
        <v>129</v>
      </c>
      <c r="L4737" s="2">
        <v>801</v>
      </c>
      <c r="M4737" s="2" t="s">
        <v>56</v>
      </c>
      <c r="N4737" s="2">
        <v>13</v>
      </c>
      <c r="O4737" s="2">
        <v>133551.49</v>
      </c>
      <c r="P4737" s="2">
        <v>10273.19</v>
      </c>
    </row>
    <row r="4738" spans="1:16" outlineLevel="2" x14ac:dyDescent="0.2">
      <c r="A4738" s="5">
        <v>46220</v>
      </c>
      <c r="B4738" s="2">
        <v>161017</v>
      </c>
      <c r="C4738" s="2">
        <v>13</v>
      </c>
      <c r="D4738" s="2" t="s">
        <v>45</v>
      </c>
      <c r="E4738" s="2" t="s">
        <v>604</v>
      </c>
      <c r="F4738" s="2" t="s">
        <v>289</v>
      </c>
      <c r="G4738" s="2" t="s">
        <v>22</v>
      </c>
      <c r="H4738" s="2" t="s">
        <v>23</v>
      </c>
      <c r="I4738" s="2" t="s">
        <v>23</v>
      </c>
      <c r="J4738" s="2">
        <v>41</v>
      </c>
      <c r="K4738" s="2" t="s">
        <v>129</v>
      </c>
      <c r="L4738" s="2">
        <v>801</v>
      </c>
      <c r="M4738" s="2" t="s">
        <v>56</v>
      </c>
      <c r="N4738" s="2">
        <v>20</v>
      </c>
      <c r="O4738" s="2">
        <v>192782.45</v>
      </c>
      <c r="P4738" s="2">
        <v>9639.1200000000008</v>
      </c>
    </row>
    <row r="4739" spans="1:16" outlineLevel="1" x14ac:dyDescent="0.2">
      <c r="A4739" s="5"/>
      <c r="D4739" s="3" t="s">
        <v>733</v>
      </c>
      <c r="N4739" s="2">
        <f>SUBTOTAL(9,N4734:N4738)</f>
        <v>201</v>
      </c>
      <c r="O4739" s="2">
        <f>SUBTOTAL(9,O4734:O4738)</f>
        <v>4970578.74</v>
      </c>
      <c r="P4739" s="2">
        <f>+O4739/N4739</f>
        <v>24729.24746268657</v>
      </c>
    </row>
    <row r="4740" spans="1:16" outlineLevel="2" x14ac:dyDescent="0.2">
      <c r="A4740" s="5">
        <v>46220</v>
      </c>
      <c r="B4740" s="2">
        <v>161017</v>
      </c>
      <c r="C4740" s="2">
        <v>15</v>
      </c>
      <c r="D4740" s="2" t="s">
        <v>226</v>
      </c>
      <c r="E4740" s="2" t="s">
        <v>530</v>
      </c>
      <c r="F4740" s="2" t="s">
        <v>289</v>
      </c>
      <c r="G4740" s="2" t="s">
        <v>22</v>
      </c>
      <c r="H4740" s="2" t="s">
        <v>23</v>
      </c>
      <c r="I4740" s="2" t="s">
        <v>23</v>
      </c>
      <c r="J4740" s="2">
        <v>41</v>
      </c>
      <c r="K4740" s="2" t="s">
        <v>129</v>
      </c>
      <c r="L4740" s="2">
        <v>801</v>
      </c>
      <c r="M4740" s="2" t="s">
        <v>56</v>
      </c>
      <c r="N4740" s="2">
        <v>16</v>
      </c>
      <c r="O4740" s="2">
        <v>347074.56</v>
      </c>
      <c r="P4740" s="2">
        <v>21692.16</v>
      </c>
    </row>
    <row r="4741" spans="1:16" outlineLevel="2" x14ac:dyDescent="0.2">
      <c r="A4741" s="5">
        <v>46220</v>
      </c>
      <c r="B4741" s="2">
        <v>161017</v>
      </c>
      <c r="C4741" s="2">
        <v>19</v>
      </c>
      <c r="D4741" s="2" t="s">
        <v>226</v>
      </c>
      <c r="E4741" s="2" t="s">
        <v>581</v>
      </c>
      <c r="F4741" s="2" t="s">
        <v>289</v>
      </c>
      <c r="G4741" s="2" t="s">
        <v>22</v>
      </c>
      <c r="H4741" s="2" t="s">
        <v>23</v>
      </c>
      <c r="I4741" s="2" t="s">
        <v>23</v>
      </c>
      <c r="J4741" s="2">
        <v>41</v>
      </c>
      <c r="K4741" s="2" t="s">
        <v>129</v>
      </c>
      <c r="L4741" s="2">
        <v>801</v>
      </c>
      <c r="M4741" s="2" t="s">
        <v>56</v>
      </c>
      <c r="N4741" s="2">
        <v>32</v>
      </c>
      <c r="O4741" s="2">
        <v>847232.96</v>
      </c>
      <c r="P4741" s="2">
        <v>26476.03</v>
      </c>
    </row>
    <row r="4742" spans="1:16" outlineLevel="2" x14ac:dyDescent="0.2">
      <c r="A4742" s="5">
        <v>46220</v>
      </c>
      <c r="B4742" s="2">
        <v>161017</v>
      </c>
      <c r="C4742" s="2">
        <v>21</v>
      </c>
      <c r="D4742" s="2" t="s">
        <v>226</v>
      </c>
      <c r="E4742" s="2" t="s">
        <v>83</v>
      </c>
      <c r="F4742" s="2" t="s">
        <v>289</v>
      </c>
      <c r="G4742" s="2" t="s">
        <v>22</v>
      </c>
      <c r="H4742" s="2" t="s">
        <v>23</v>
      </c>
      <c r="I4742" s="2" t="s">
        <v>23</v>
      </c>
      <c r="J4742" s="2">
        <v>41</v>
      </c>
      <c r="K4742" s="2" t="s">
        <v>129</v>
      </c>
      <c r="L4742" s="2">
        <v>801</v>
      </c>
      <c r="M4742" s="2" t="s">
        <v>56</v>
      </c>
      <c r="N4742" s="2">
        <v>16</v>
      </c>
      <c r="O4742" s="2">
        <v>342407.35</v>
      </c>
      <c r="P4742" s="2">
        <v>21400.46</v>
      </c>
    </row>
    <row r="4743" spans="1:16" outlineLevel="2" x14ac:dyDescent="0.2">
      <c r="A4743" s="5">
        <v>46220</v>
      </c>
      <c r="B4743" s="2">
        <v>161017</v>
      </c>
      <c r="C4743" s="2">
        <v>24</v>
      </c>
      <c r="D4743" s="2" t="s">
        <v>226</v>
      </c>
      <c r="E4743" s="2" t="s">
        <v>151</v>
      </c>
      <c r="F4743" s="2" t="s">
        <v>289</v>
      </c>
      <c r="G4743" s="2" t="s">
        <v>22</v>
      </c>
      <c r="H4743" s="2" t="s">
        <v>23</v>
      </c>
      <c r="I4743" s="2" t="s">
        <v>23</v>
      </c>
      <c r="J4743" s="2">
        <v>41</v>
      </c>
      <c r="K4743" s="2" t="s">
        <v>129</v>
      </c>
      <c r="L4743" s="2">
        <v>801</v>
      </c>
      <c r="M4743" s="2" t="s">
        <v>56</v>
      </c>
      <c r="N4743" s="2">
        <v>16</v>
      </c>
      <c r="O4743" s="2">
        <v>312537.21000000002</v>
      </c>
      <c r="P4743" s="2">
        <v>19533.580000000002</v>
      </c>
    </row>
    <row r="4744" spans="1:16" outlineLevel="1" x14ac:dyDescent="0.2">
      <c r="A4744" s="5"/>
      <c r="D4744" s="3" t="s">
        <v>736</v>
      </c>
      <c r="N4744" s="2">
        <f>SUBTOTAL(9,N4740:N4743)</f>
        <v>80</v>
      </c>
      <c r="O4744" s="2">
        <f>SUBTOTAL(9,O4740:O4743)</f>
        <v>1849252.08</v>
      </c>
      <c r="P4744" s="2">
        <f>+O4744/N4744</f>
        <v>23115.651000000002</v>
      </c>
    </row>
    <row r="4745" spans="1:16" outlineLevel="2" x14ac:dyDescent="0.2">
      <c r="A4745" s="5">
        <v>46225</v>
      </c>
      <c r="B4745" s="2">
        <v>161017</v>
      </c>
      <c r="C4745" s="2">
        <v>315</v>
      </c>
      <c r="D4745" s="2" t="s">
        <v>54</v>
      </c>
      <c r="E4745" s="2" t="s">
        <v>30</v>
      </c>
      <c r="F4745" s="2" t="s">
        <v>289</v>
      </c>
      <c r="G4745" s="2" t="s">
        <v>22</v>
      </c>
      <c r="H4745" s="2" t="s">
        <v>23</v>
      </c>
      <c r="I4745" s="2" t="s">
        <v>23</v>
      </c>
      <c r="J4745" s="2">
        <v>2</v>
      </c>
      <c r="K4745" s="2" t="s">
        <v>48</v>
      </c>
      <c r="L4745" s="2">
        <v>801</v>
      </c>
      <c r="M4745" s="2" t="s">
        <v>56</v>
      </c>
      <c r="N4745" s="2">
        <v>4</v>
      </c>
      <c r="O4745" s="2">
        <v>74373.08</v>
      </c>
      <c r="P4745" s="2">
        <v>18593.27</v>
      </c>
    </row>
    <row r="4746" spans="1:16" outlineLevel="1" x14ac:dyDescent="0.2">
      <c r="A4746" s="5"/>
      <c r="D4746" s="3" t="s">
        <v>719</v>
      </c>
      <c r="N4746" s="2">
        <f>SUBTOTAL(9,N4745:N4745)</f>
        <v>4</v>
      </c>
      <c r="O4746" s="2">
        <f>SUBTOTAL(9,O4745:O4745)</f>
        <v>74373.08</v>
      </c>
      <c r="P4746" s="2">
        <f>+O4746/N4746</f>
        <v>18593.27</v>
      </c>
    </row>
    <row r="4747" spans="1:16" outlineLevel="2" x14ac:dyDescent="0.2">
      <c r="A4747" s="5">
        <v>46225</v>
      </c>
      <c r="B4747" s="2">
        <v>161024</v>
      </c>
      <c r="C4747" s="2">
        <v>1</v>
      </c>
      <c r="D4747" s="2" t="s">
        <v>404</v>
      </c>
      <c r="E4747" s="2" t="s">
        <v>23</v>
      </c>
      <c r="F4747" s="2" t="s">
        <v>405</v>
      </c>
      <c r="G4747" s="2" t="s">
        <v>22</v>
      </c>
      <c r="H4747" s="2" t="s">
        <v>23</v>
      </c>
      <c r="I4747" s="2" t="s">
        <v>23</v>
      </c>
      <c r="J4747" s="2">
        <v>86</v>
      </c>
      <c r="K4747" s="2" t="s">
        <v>73</v>
      </c>
      <c r="L4747" s="2">
        <v>600</v>
      </c>
      <c r="M4747" s="2" t="s">
        <v>112</v>
      </c>
      <c r="N4747" s="2">
        <v>14</v>
      </c>
      <c r="O4747" s="2">
        <v>48044.5</v>
      </c>
      <c r="P4747" s="2">
        <v>3431.75</v>
      </c>
    </row>
    <row r="4748" spans="1:16" outlineLevel="1" x14ac:dyDescent="0.2">
      <c r="A4748" s="5"/>
      <c r="D4748" s="3" t="s">
        <v>769</v>
      </c>
      <c r="N4748" s="2">
        <f>SUBTOTAL(9,N4747:N4747)</f>
        <v>14</v>
      </c>
      <c r="O4748" s="2">
        <f>SUBTOTAL(9,O4747:O4747)</f>
        <v>48044.5</v>
      </c>
      <c r="P4748" s="2">
        <f>+O4748/N4748</f>
        <v>3431.75</v>
      </c>
    </row>
    <row r="4749" spans="1:16" outlineLevel="2" x14ac:dyDescent="0.2">
      <c r="A4749" s="5">
        <v>46223</v>
      </c>
      <c r="B4749" s="2">
        <v>161026</v>
      </c>
      <c r="C4749" s="2">
        <v>1</v>
      </c>
      <c r="D4749" s="2" t="s">
        <v>474</v>
      </c>
      <c r="E4749" s="2" t="s">
        <v>475</v>
      </c>
      <c r="F4749" s="2" t="s">
        <v>47</v>
      </c>
      <c r="G4749" s="2" t="s">
        <v>22</v>
      </c>
      <c r="H4749" s="2" t="s">
        <v>23</v>
      </c>
      <c r="I4749" s="2" t="s">
        <v>23</v>
      </c>
      <c r="J4749" s="2">
        <v>41</v>
      </c>
      <c r="K4749" s="2" t="s">
        <v>129</v>
      </c>
      <c r="L4749" s="2">
        <v>2338</v>
      </c>
      <c r="M4749" s="2" t="s">
        <v>417</v>
      </c>
      <c r="N4749" s="2">
        <v>640</v>
      </c>
      <c r="O4749" s="2">
        <v>486364.43</v>
      </c>
      <c r="P4749" s="2">
        <v>759.94</v>
      </c>
    </row>
    <row r="4750" spans="1:16" outlineLevel="1" x14ac:dyDescent="0.2">
      <c r="A4750" s="5"/>
      <c r="D4750" s="3" t="s">
        <v>780</v>
      </c>
      <c r="N4750" s="2">
        <f>SUBTOTAL(9,N4749:N4749)</f>
        <v>640</v>
      </c>
      <c r="O4750" s="2">
        <f>SUBTOTAL(9,O4749:O4749)</f>
        <v>486364.43</v>
      </c>
      <c r="P4750" s="2">
        <f>+O4750/N4750</f>
        <v>759.94442187499999</v>
      </c>
    </row>
    <row r="4751" spans="1:16" outlineLevel="2" x14ac:dyDescent="0.2">
      <c r="A4751" s="5">
        <v>46223</v>
      </c>
      <c r="B4751" s="2">
        <v>161027</v>
      </c>
      <c r="C4751" s="2">
        <v>1</v>
      </c>
      <c r="D4751" s="2" t="s">
        <v>38</v>
      </c>
      <c r="E4751" s="2" t="s">
        <v>39</v>
      </c>
      <c r="F4751" s="2" t="s">
        <v>144</v>
      </c>
      <c r="G4751" s="2" t="s">
        <v>22</v>
      </c>
      <c r="H4751" s="2" t="s">
        <v>23</v>
      </c>
      <c r="I4751" s="2" t="s">
        <v>23</v>
      </c>
      <c r="J4751" s="2">
        <v>1</v>
      </c>
      <c r="K4751" s="2" t="s">
        <v>24</v>
      </c>
      <c r="L4751" s="2">
        <v>25101</v>
      </c>
      <c r="M4751" s="2" t="s">
        <v>473</v>
      </c>
      <c r="N4751" s="2">
        <v>80</v>
      </c>
      <c r="O4751" s="2">
        <v>2195117.04</v>
      </c>
      <c r="P4751" s="2">
        <v>27438.959999999999</v>
      </c>
    </row>
    <row r="4752" spans="1:16" outlineLevel="1" x14ac:dyDescent="0.2">
      <c r="A4752" s="5"/>
      <c r="D4752" s="3" t="s">
        <v>721</v>
      </c>
      <c r="N4752" s="2">
        <f>SUBTOTAL(9,N4751:N4751)</f>
        <v>80</v>
      </c>
      <c r="O4752" s="2">
        <f>SUBTOTAL(9,O4751:O4751)</f>
        <v>2195117.04</v>
      </c>
      <c r="P4752" s="2">
        <f>+O4752/N4752</f>
        <v>27438.963</v>
      </c>
    </row>
    <row r="4753" spans="1:16" outlineLevel="2" x14ac:dyDescent="0.2">
      <c r="A4753" s="5">
        <v>46223</v>
      </c>
      <c r="B4753" s="2">
        <v>161028</v>
      </c>
      <c r="C4753" s="2">
        <v>1</v>
      </c>
      <c r="D4753" s="2" t="s">
        <v>140</v>
      </c>
      <c r="E4753" s="2" t="s">
        <v>23</v>
      </c>
      <c r="F4753" s="2" t="s">
        <v>108</v>
      </c>
      <c r="G4753" s="2" t="s">
        <v>22</v>
      </c>
      <c r="H4753" s="2" t="s">
        <v>23</v>
      </c>
      <c r="I4753" s="2" t="s">
        <v>23</v>
      </c>
      <c r="J4753" s="2">
        <v>1</v>
      </c>
      <c r="K4753" s="2" t="s">
        <v>24</v>
      </c>
      <c r="L4753" s="2">
        <v>1503</v>
      </c>
      <c r="M4753" s="2" t="s">
        <v>603</v>
      </c>
      <c r="N4753" s="2">
        <v>54</v>
      </c>
      <c r="O4753" s="2">
        <v>1416520.78</v>
      </c>
      <c r="P4753" s="2">
        <v>26231.87</v>
      </c>
    </row>
    <row r="4754" spans="1:16" outlineLevel="1" x14ac:dyDescent="0.2">
      <c r="A4754" s="5"/>
      <c r="D4754" s="3" t="s">
        <v>696</v>
      </c>
      <c r="N4754" s="2">
        <f>SUBTOTAL(9,N4753:N4753)</f>
        <v>54</v>
      </c>
      <c r="O4754" s="2">
        <f>SUBTOTAL(9,O4753:O4753)</f>
        <v>1416520.78</v>
      </c>
      <c r="P4754" s="2">
        <f>+O4754/N4754</f>
        <v>26231.866296296295</v>
      </c>
    </row>
    <row r="4755" spans="1:16" outlineLevel="2" x14ac:dyDescent="0.2">
      <c r="A4755" s="5">
        <v>46223</v>
      </c>
      <c r="B4755" s="2">
        <v>161029</v>
      </c>
      <c r="C4755" s="2">
        <v>1</v>
      </c>
      <c r="D4755" s="2" t="s">
        <v>19</v>
      </c>
      <c r="E4755" s="2" t="s">
        <v>20</v>
      </c>
      <c r="F4755" s="2" t="s">
        <v>199</v>
      </c>
      <c r="G4755" s="2" t="s">
        <v>22</v>
      </c>
      <c r="H4755" s="2" t="s">
        <v>23</v>
      </c>
      <c r="I4755" s="2" t="s">
        <v>23</v>
      </c>
      <c r="J4755" s="2">
        <v>39</v>
      </c>
      <c r="K4755" s="2" t="s">
        <v>172</v>
      </c>
      <c r="L4755" s="2">
        <v>1</v>
      </c>
      <c r="M4755" s="2" t="s">
        <v>265</v>
      </c>
      <c r="N4755" s="2">
        <v>80</v>
      </c>
      <c r="O4755" s="2">
        <v>489203.76</v>
      </c>
      <c r="P4755" s="2">
        <v>6115.05</v>
      </c>
    </row>
    <row r="4756" spans="1:16" outlineLevel="1" x14ac:dyDescent="0.2">
      <c r="A4756" s="5"/>
      <c r="D4756" s="3" t="s">
        <v>704</v>
      </c>
      <c r="N4756" s="2">
        <f>SUBTOTAL(9,N4755:N4755)</f>
        <v>80</v>
      </c>
      <c r="O4756" s="2">
        <f>SUBTOTAL(9,O4755:O4755)</f>
        <v>489203.76</v>
      </c>
      <c r="P4756" s="2">
        <f>+O4756/N4756</f>
        <v>6115.0470000000005</v>
      </c>
    </row>
    <row r="4757" spans="1:16" outlineLevel="2" x14ac:dyDescent="0.2">
      <c r="A4757" s="5">
        <v>46224</v>
      </c>
      <c r="B4757" s="2">
        <v>161030</v>
      </c>
      <c r="C4757" s="2">
        <v>501</v>
      </c>
      <c r="D4757" s="2" t="s">
        <v>38</v>
      </c>
      <c r="E4757" s="2" t="s">
        <v>39</v>
      </c>
      <c r="F4757" s="2" t="s">
        <v>23</v>
      </c>
      <c r="G4757" s="2" t="s">
        <v>22</v>
      </c>
      <c r="H4757" s="2" t="s">
        <v>23</v>
      </c>
      <c r="I4757" s="2" t="s">
        <v>23</v>
      </c>
      <c r="J4757" s="2">
        <v>40</v>
      </c>
      <c r="K4757" s="2" t="s">
        <v>43</v>
      </c>
      <c r="L4757" s="2">
        <v>25008</v>
      </c>
      <c r="M4757" s="2" t="s">
        <v>641</v>
      </c>
      <c r="N4757" s="2">
        <v>8</v>
      </c>
      <c r="O4757" s="2">
        <v>202940.56</v>
      </c>
      <c r="P4757" s="2">
        <v>25367.57</v>
      </c>
    </row>
    <row r="4758" spans="1:16" outlineLevel="1" x14ac:dyDescent="0.2">
      <c r="A4758" s="5"/>
      <c r="D4758" s="3" t="s">
        <v>721</v>
      </c>
      <c r="N4758" s="2">
        <f>SUBTOTAL(9,N4757:N4757)</f>
        <v>8</v>
      </c>
      <c r="O4758" s="2">
        <f>SUBTOTAL(9,O4757:O4757)</f>
        <v>202940.56</v>
      </c>
      <c r="P4758" s="2">
        <f>+O4758/N4758</f>
        <v>25367.57</v>
      </c>
    </row>
    <row r="4759" spans="1:16" outlineLevel="2" x14ac:dyDescent="0.2">
      <c r="A4759" s="5">
        <v>46223</v>
      </c>
      <c r="B4759" s="2">
        <v>161031</v>
      </c>
      <c r="C4759" s="2">
        <v>500</v>
      </c>
      <c r="D4759" s="2" t="s">
        <v>54</v>
      </c>
      <c r="E4759" s="2" t="s">
        <v>20</v>
      </c>
      <c r="F4759" s="2" t="s">
        <v>23</v>
      </c>
      <c r="G4759" s="2" t="s">
        <v>22</v>
      </c>
      <c r="H4759" s="2" t="s">
        <v>23</v>
      </c>
      <c r="I4759" s="2" t="s">
        <v>23</v>
      </c>
      <c r="J4759" s="2">
        <v>2</v>
      </c>
      <c r="K4759" s="2" t="s">
        <v>48</v>
      </c>
      <c r="L4759" s="2">
        <v>626</v>
      </c>
      <c r="M4759" s="2" t="s">
        <v>49</v>
      </c>
      <c r="N4759" s="2">
        <v>2</v>
      </c>
      <c r="O4759" s="2">
        <v>2196.3200000000002</v>
      </c>
      <c r="P4759" s="2">
        <v>1098.1600000000001</v>
      </c>
    </row>
    <row r="4760" spans="1:16" outlineLevel="1" x14ac:dyDescent="0.2">
      <c r="A4760" s="5"/>
      <c r="D4760" s="3" t="s">
        <v>719</v>
      </c>
      <c r="N4760" s="2">
        <f>SUBTOTAL(9,N4759:N4759)</f>
        <v>2</v>
      </c>
      <c r="O4760" s="2">
        <f>SUBTOTAL(9,O4759:O4759)</f>
        <v>2196.3200000000002</v>
      </c>
      <c r="P4760" s="2">
        <f>+O4760/N4760</f>
        <v>1098.1600000000001</v>
      </c>
    </row>
    <row r="4761" spans="1:16" outlineLevel="2" x14ac:dyDescent="0.2">
      <c r="A4761" s="5">
        <v>46232</v>
      </c>
      <c r="B4761" s="2">
        <v>161042</v>
      </c>
      <c r="C4761" s="2">
        <v>1</v>
      </c>
      <c r="D4761" s="2" t="s">
        <v>404</v>
      </c>
      <c r="E4761" s="2" t="s">
        <v>23</v>
      </c>
      <c r="F4761" s="2" t="s">
        <v>405</v>
      </c>
      <c r="G4761" s="2" t="s">
        <v>22</v>
      </c>
      <c r="H4761" s="2" t="s">
        <v>23</v>
      </c>
      <c r="I4761" s="2" t="s">
        <v>23</v>
      </c>
      <c r="J4761" s="2">
        <v>86</v>
      </c>
      <c r="K4761" s="2" t="s">
        <v>73</v>
      </c>
      <c r="L4761" s="2">
        <v>1795</v>
      </c>
      <c r="M4761" s="2" t="s">
        <v>506</v>
      </c>
      <c r="N4761" s="2">
        <v>4</v>
      </c>
      <c r="O4761" s="2">
        <v>8126.4</v>
      </c>
      <c r="P4761" s="2">
        <v>2031.6</v>
      </c>
    </row>
    <row r="4762" spans="1:16" outlineLevel="2" x14ac:dyDescent="0.2">
      <c r="A4762" s="5">
        <v>46227</v>
      </c>
      <c r="B4762" s="2">
        <v>161047</v>
      </c>
      <c r="C4762" s="2">
        <v>1</v>
      </c>
      <c r="D4762" s="2" t="s">
        <v>404</v>
      </c>
      <c r="E4762" s="2" t="s">
        <v>23</v>
      </c>
      <c r="F4762" s="2" t="s">
        <v>405</v>
      </c>
      <c r="G4762" s="2" t="s">
        <v>22</v>
      </c>
      <c r="H4762" s="2" t="s">
        <v>23</v>
      </c>
      <c r="I4762" s="2" t="s">
        <v>23</v>
      </c>
      <c r="J4762" s="2">
        <v>1</v>
      </c>
      <c r="K4762" s="2" t="s">
        <v>24</v>
      </c>
      <c r="L4762" s="2">
        <v>25052</v>
      </c>
      <c r="M4762" s="2" t="s">
        <v>642</v>
      </c>
      <c r="N4762" s="2">
        <v>5</v>
      </c>
      <c r="O4762" s="2">
        <v>91833.85</v>
      </c>
      <c r="P4762" s="2">
        <v>18366.77</v>
      </c>
    </row>
    <row r="4763" spans="1:16" outlineLevel="1" x14ac:dyDescent="0.2">
      <c r="A4763" s="5"/>
      <c r="D4763" s="3" t="s">
        <v>769</v>
      </c>
      <c r="N4763" s="2">
        <f>SUBTOTAL(9,N4761:N4762)</f>
        <v>9</v>
      </c>
      <c r="O4763" s="2">
        <f>SUBTOTAL(9,O4761:O4762)</f>
        <v>99960.25</v>
      </c>
      <c r="P4763" s="2">
        <f>+O4763/N4763</f>
        <v>11106.694444444445</v>
      </c>
    </row>
    <row r="4764" spans="1:16" outlineLevel="2" x14ac:dyDescent="0.2">
      <c r="A4764" s="5">
        <v>46223</v>
      </c>
      <c r="B4764" s="2">
        <v>161048</v>
      </c>
      <c r="C4764" s="2">
        <v>1</v>
      </c>
      <c r="D4764" s="2" t="s">
        <v>38</v>
      </c>
      <c r="E4764" s="2" t="s">
        <v>39</v>
      </c>
      <c r="F4764" s="2" t="s">
        <v>40</v>
      </c>
      <c r="G4764" s="2" t="s">
        <v>22</v>
      </c>
      <c r="H4764" s="2" t="s">
        <v>41</v>
      </c>
      <c r="I4764" s="2" t="s">
        <v>394</v>
      </c>
      <c r="J4764" s="2">
        <v>40</v>
      </c>
      <c r="K4764" s="2" t="s">
        <v>43</v>
      </c>
      <c r="L4764" s="2">
        <v>25243</v>
      </c>
      <c r="M4764" s="2" t="s">
        <v>617</v>
      </c>
      <c r="N4764" s="2">
        <v>352</v>
      </c>
      <c r="O4764" s="2">
        <v>11376725.65</v>
      </c>
      <c r="P4764" s="2">
        <v>32320.240000000002</v>
      </c>
    </row>
    <row r="4765" spans="1:16" outlineLevel="2" x14ac:dyDescent="0.2">
      <c r="A4765" s="5">
        <v>46230</v>
      </c>
      <c r="B4765" s="2">
        <v>161048</v>
      </c>
      <c r="C4765" s="2">
        <v>2</v>
      </c>
      <c r="D4765" s="2" t="s">
        <v>38</v>
      </c>
      <c r="E4765" s="2" t="s">
        <v>39</v>
      </c>
      <c r="F4765" s="2" t="s">
        <v>40</v>
      </c>
      <c r="G4765" s="2" t="s">
        <v>41</v>
      </c>
      <c r="H4765" s="2" t="s">
        <v>23</v>
      </c>
      <c r="I4765" s="2" t="s">
        <v>507</v>
      </c>
      <c r="J4765" s="2">
        <v>40</v>
      </c>
      <c r="K4765" s="2" t="s">
        <v>43</v>
      </c>
      <c r="L4765" s="2">
        <v>25243</v>
      </c>
      <c r="M4765" s="2" t="s">
        <v>617</v>
      </c>
      <c r="N4765" s="2">
        <v>176</v>
      </c>
      <c r="O4765" s="2">
        <v>5585699.6799999997</v>
      </c>
      <c r="P4765" s="2">
        <v>31736.93</v>
      </c>
    </row>
    <row r="4766" spans="1:16" outlineLevel="2" x14ac:dyDescent="0.2">
      <c r="A4766" s="5">
        <v>46237</v>
      </c>
      <c r="B4766" s="2">
        <v>161048</v>
      </c>
      <c r="C4766" s="2">
        <v>3</v>
      </c>
      <c r="D4766" s="2" t="s">
        <v>38</v>
      </c>
      <c r="E4766" s="2" t="s">
        <v>39</v>
      </c>
      <c r="F4766" s="2" t="s">
        <v>40</v>
      </c>
      <c r="G4766" s="2" t="s">
        <v>22</v>
      </c>
      <c r="H4766" s="2" t="s">
        <v>41</v>
      </c>
      <c r="I4766" s="2" t="s">
        <v>410</v>
      </c>
      <c r="J4766" s="2">
        <v>40</v>
      </c>
      <c r="K4766" s="2" t="s">
        <v>43</v>
      </c>
      <c r="L4766" s="2">
        <v>25243</v>
      </c>
      <c r="M4766" s="2" t="s">
        <v>617</v>
      </c>
      <c r="N4766" s="2">
        <v>5</v>
      </c>
      <c r="O4766" s="2">
        <v>152467.45000000001</v>
      </c>
      <c r="P4766" s="2">
        <v>30493.49</v>
      </c>
    </row>
    <row r="4767" spans="1:16" outlineLevel="2" x14ac:dyDescent="0.2">
      <c r="A4767" s="5">
        <v>46225</v>
      </c>
      <c r="B4767" s="2">
        <v>161050</v>
      </c>
      <c r="C4767" s="2">
        <v>1</v>
      </c>
      <c r="D4767" s="2" t="s">
        <v>38</v>
      </c>
      <c r="E4767" s="2" t="s">
        <v>39</v>
      </c>
      <c r="F4767" s="2" t="s">
        <v>40</v>
      </c>
      <c r="G4767" s="2" t="s">
        <v>41</v>
      </c>
      <c r="H4767" s="2" t="s">
        <v>23</v>
      </c>
      <c r="I4767" s="2" t="s">
        <v>182</v>
      </c>
      <c r="J4767" s="2">
        <v>40</v>
      </c>
      <c r="K4767" s="2" t="s">
        <v>43</v>
      </c>
      <c r="L4767" s="2">
        <v>25243</v>
      </c>
      <c r="M4767" s="2" t="s">
        <v>617</v>
      </c>
      <c r="N4767" s="2">
        <v>176</v>
      </c>
      <c r="O4767" s="2">
        <v>5354068.17</v>
      </c>
      <c r="P4767" s="2">
        <v>30420.84</v>
      </c>
    </row>
    <row r="4768" spans="1:16" outlineLevel="2" x14ac:dyDescent="0.2">
      <c r="A4768" s="5">
        <v>46225</v>
      </c>
      <c r="B4768" s="2">
        <v>161050</v>
      </c>
      <c r="C4768" s="2">
        <v>2</v>
      </c>
      <c r="D4768" s="2" t="s">
        <v>38</v>
      </c>
      <c r="E4768" s="2" t="s">
        <v>39</v>
      </c>
      <c r="F4768" s="2" t="s">
        <v>40</v>
      </c>
      <c r="G4768" s="2" t="s">
        <v>41</v>
      </c>
      <c r="H4768" s="2" t="s">
        <v>23</v>
      </c>
      <c r="I4768" s="2" t="s">
        <v>184</v>
      </c>
      <c r="J4768" s="2">
        <v>40</v>
      </c>
      <c r="K4768" s="2" t="s">
        <v>43</v>
      </c>
      <c r="L4768" s="2">
        <v>25243</v>
      </c>
      <c r="M4768" s="2" t="s">
        <v>617</v>
      </c>
      <c r="N4768" s="2">
        <v>704</v>
      </c>
      <c r="O4768" s="2">
        <v>22431578.039999999</v>
      </c>
      <c r="P4768" s="2">
        <v>31863.040000000001</v>
      </c>
    </row>
    <row r="4769" spans="1:16" outlineLevel="2" x14ac:dyDescent="0.2">
      <c r="A4769" s="5">
        <v>46232</v>
      </c>
      <c r="B4769" s="2">
        <v>161050</v>
      </c>
      <c r="C4769" s="2">
        <v>3</v>
      </c>
      <c r="D4769" s="2" t="s">
        <v>38</v>
      </c>
      <c r="E4769" s="2" t="s">
        <v>39</v>
      </c>
      <c r="F4769" s="2" t="s">
        <v>40</v>
      </c>
      <c r="G4769" s="2" t="s">
        <v>41</v>
      </c>
      <c r="H4769" s="2" t="s">
        <v>23</v>
      </c>
      <c r="I4769" s="2" t="s">
        <v>580</v>
      </c>
      <c r="J4769" s="2">
        <v>40</v>
      </c>
      <c r="K4769" s="2" t="s">
        <v>43</v>
      </c>
      <c r="L4769" s="2">
        <v>1502</v>
      </c>
      <c r="M4769" s="2" t="s">
        <v>114</v>
      </c>
      <c r="N4769" s="2">
        <v>20</v>
      </c>
      <c r="O4769" s="2">
        <v>572692.19999999995</v>
      </c>
      <c r="P4769" s="2">
        <v>28634.61</v>
      </c>
    </row>
    <row r="4770" spans="1:16" outlineLevel="2" x14ac:dyDescent="0.2">
      <c r="A4770" s="5">
        <v>46232</v>
      </c>
      <c r="B4770" s="2">
        <v>161050</v>
      </c>
      <c r="C4770" s="2">
        <v>4</v>
      </c>
      <c r="D4770" s="2" t="s">
        <v>38</v>
      </c>
      <c r="E4770" s="2" t="s">
        <v>39</v>
      </c>
      <c r="F4770" s="2" t="s">
        <v>40</v>
      </c>
      <c r="G4770" s="2" t="s">
        <v>41</v>
      </c>
      <c r="H4770" s="2" t="s">
        <v>23</v>
      </c>
      <c r="I4770" s="2" t="s">
        <v>643</v>
      </c>
      <c r="J4770" s="2">
        <v>40</v>
      </c>
      <c r="K4770" s="2" t="s">
        <v>43</v>
      </c>
      <c r="L4770" s="2">
        <v>1502</v>
      </c>
      <c r="M4770" s="2" t="s">
        <v>114</v>
      </c>
      <c r="N4770" s="2">
        <v>176</v>
      </c>
      <c r="O4770" s="2">
        <v>5786777.4100000001</v>
      </c>
      <c r="P4770" s="2">
        <v>32879.42</v>
      </c>
    </row>
    <row r="4771" spans="1:16" outlineLevel="2" x14ac:dyDescent="0.2">
      <c r="A4771" s="5">
        <v>46232</v>
      </c>
      <c r="B4771" s="2">
        <v>161050</v>
      </c>
      <c r="C4771" s="2">
        <v>5</v>
      </c>
      <c r="D4771" s="2" t="s">
        <v>38</v>
      </c>
      <c r="E4771" s="2" t="s">
        <v>39</v>
      </c>
      <c r="F4771" s="2" t="s">
        <v>63</v>
      </c>
      <c r="G4771" s="2" t="s">
        <v>41</v>
      </c>
      <c r="H4771" s="2" t="s">
        <v>23</v>
      </c>
      <c r="I4771" s="2" t="s">
        <v>561</v>
      </c>
      <c r="J4771" s="2">
        <v>40</v>
      </c>
      <c r="K4771" s="2" t="s">
        <v>43</v>
      </c>
      <c r="L4771" s="2">
        <v>1502</v>
      </c>
      <c r="M4771" s="2" t="s">
        <v>114</v>
      </c>
      <c r="N4771" s="2">
        <v>88</v>
      </c>
      <c r="O4771" s="2">
        <v>2950325.62</v>
      </c>
      <c r="P4771" s="2">
        <v>33526.43</v>
      </c>
    </row>
    <row r="4772" spans="1:16" outlineLevel="1" x14ac:dyDescent="0.2">
      <c r="A4772" s="5"/>
      <c r="D4772" s="3" t="s">
        <v>721</v>
      </c>
      <c r="N4772" s="2">
        <f>SUBTOTAL(9,N4764:N4771)</f>
        <v>1697</v>
      </c>
      <c r="O4772" s="2">
        <f>SUBTOTAL(9,O4764:O4771)</f>
        <v>54210334.219999991</v>
      </c>
      <c r="P4772" s="2">
        <f>+O4772/N4772</f>
        <v>31944.805079552145</v>
      </c>
    </row>
    <row r="4773" spans="1:16" outlineLevel="2" x14ac:dyDescent="0.2">
      <c r="A4773" s="5">
        <v>46220</v>
      </c>
      <c r="B4773" s="2">
        <v>161051</v>
      </c>
      <c r="C4773" s="2">
        <v>1</v>
      </c>
      <c r="D4773" s="2" t="s">
        <v>19</v>
      </c>
      <c r="E4773" s="2" t="s">
        <v>20</v>
      </c>
      <c r="F4773" s="2" t="s">
        <v>21</v>
      </c>
      <c r="G4773" s="2" t="s">
        <v>22</v>
      </c>
      <c r="H4773" s="2" t="s">
        <v>23</v>
      </c>
      <c r="I4773" s="2" t="s">
        <v>23</v>
      </c>
      <c r="J4773" s="2">
        <v>1</v>
      </c>
      <c r="K4773" s="2" t="s">
        <v>24</v>
      </c>
      <c r="L4773" s="2">
        <v>25205</v>
      </c>
      <c r="M4773" s="2" t="s">
        <v>171</v>
      </c>
      <c r="N4773" s="2">
        <v>193</v>
      </c>
      <c r="O4773" s="2">
        <v>19645799.18</v>
      </c>
      <c r="P4773" s="2">
        <v>101791.71</v>
      </c>
    </row>
    <row r="4774" spans="1:16" outlineLevel="2" x14ac:dyDescent="0.2">
      <c r="A4774" s="5">
        <v>46220</v>
      </c>
      <c r="B4774" s="2">
        <v>161051</v>
      </c>
      <c r="C4774" s="2">
        <v>2</v>
      </c>
      <c r="D4774" s="2" t="s">
        <v>19</v>
      </c>
      <c r="E4774" s="2" t="s">
        <v>20</v>
      </c>
      <c r="F4774" s="2" t="s">
        <v>21</v>
      </c>
      <c r="G4774" s="2" t="s">
        <v>22</v>
      </c>
      <c r="H4774" s="2" t="s">
        <v>23</v>
      </c>
      <c r="I4774" s="2" t="s">
        <v>23</v>
      </c>
      <c r="J4774" s="2">
        <v>1</v>
      </c>
      <c r="K4774" s="2" t="s">
        <v>24</v>
      </c>
      <c r="L4774" s="2">
        <v>25205</v>
      </c>
      <c r="M4774" s="2" t="s">
        <v>171</v>
      </c>
      <c r="N4774" s="2">
        <v>15</v>
      </c>
      <c r="O4774" s="2">
        <v>1463385.08</v>
      </c>
      <c r="P4774" s="2">
        <v>97559.01</v>
      </c>
    </row>
    <row r="4775" spans="1:16" outlineLevel="1" x14ac:dyDescent="0.2">
      <c r="A4775" s="5"/>
      <c r="D4775" s="3" t="s">
        <v>704</v>
      </c>
      <c r="N4775" s="2">
        <f>SUBTOTAL(9,N4773:N4774)</f>
        <v>208</v>
      </c>
      <c r="O4775" s="2">
        <f>SUBTOTAL(9,O4773:O4774)</f>
        <v>21109184.259999998</v>
      </c>
      <c r="P4775" s="2">
        <f>+O4775/N4775</f>
        <v>101486.46278846153</v>
      </c>
    </row>
    <row r="4776" spans="1:16" outlineLevel="2" x14ac:dyDescent="0.2">
      <c r="A4776" s="5">
        <v>46237</v>
      </c>
      <c r="B4776" s="2">
        <v>161052</v>
      </c>
      <c r="C4776" s="2">
        <v>1</v>
      </c>
      <c r="D4776" s="2" t="s">
        <v>92</v>
      </c>
      <c r="E4776" s="2" t="s">
        <v>93</v>
      </c>
      <c r="F4776" s="2" t="s">
        <v>40</v>
      </c>
      <c r="G4776" s="2" t="s">
        <v>22</v>
      </c>
      <c r="H4776" s="2" t="s">
        <v>23</v>
      </c>
      <c r="I4776" s="2" t="s">
        <v>23</v>
      </c>
      <c r="J4776" s="2">
        <v>5</v>
      </c>
      <c r="K4776" s="2" t="s">
        <v>27</v>
      </c>
      <c r="L4776" s="2">
        <v>2521</v>
      </c>
      <c r="M4776" s="2" t="s">
        <v>82</v>
      </c>
      <c r="N4776" s="2">
        <v>70</v>
      </c>
      <c r="O4776" s="2">
        <v>1512753.7</v>
      </c>
      <c r="P4776" s="2">
        <v>21610.77</v>
      </c>
    </row>
    <row r="4777" spans="1:16" outlineLevel="1" x14ac:dyDescent="0.2">
      <c r="A4777" s="5"/>
      <c r="D4777" s="3" t="s">
        <v>702</v>
      </c>
      <c r="N4777" s="2">
        <f>SUBTOTAL(9,N4776:N4776)</f>
        <v>70</v>
      </c>
      <c r="O4777" s="2">
        <f>SUBTOTAL(9,O4776:O4776)</f>
        <v>1512753.7</v>
      </c>
      <c r="P4777" s="2">
        <f>+O4777/N4777</f>
        <v>21610.767142857141</v>
      </c>
    </row>
    <row r="4778" spans="1:16" outlineLevel="2" x14ac:dyDescent="0.2">
      <c r="A4778" s="5">
        <v>46223</v>
      </c>
      <c r="B4778" s="2">
        <v>161052</v>
      </c>
      <c r="C4778" s="2">
        <v>2</v>
      </c>
      <c r="D4778" s="2" t="s">
        <v>175</v>
      </c>
      <c r="E4778" s="2" t="s">
        <v>469</v>
      </c>
      <c r="F4778" s="2" t="s">
        <v>40</v>
      </c>
      <c r="G4778" s="2" t="s">
        <v>22</v>
      </c>
      <c r="H4778" s="2" t="s">
        <v>23</v>
      </c>
      <c r="I4778" s="2" t="s">
        <v>23</v>
      </c>
      <c r="J4778" s="2">
        <v>5</v>
      </c>
      <c r="K4778" s="2" t="s">
        <v>27</v>
      </c>
      <c r="L4778" s="2">
        <v>2521</v>
      </c>
      <c r="M4778" s="2" t="s">
        <v>82</v>
      </c>
      <c r="N4778" s="2">
        <v>40</v>
      </c>
      <c r="O4778" s="2">
        <v>1157766.26</v>
      </c>
      <c r="P4778" s="2">
        <v>28944.16</v>
      </c>
    </row>
    <row r="4779" spans="1:16" outlineLevel="2" x14ac:dyDescent="0.2">
      <c r="A4779" s="5">
        <v>46223</v>
      </c>
      <c r="B4779" s="2">
        <v>161052</v>
      </c>
      <c r="C4779" s="2">
        <v>3</v>
      </c>
      <c r="D4779" s="2" t="s">
        <v>175</v>
      </c>
      <c r="E4779" s="2" t="s">
        <v>619</v>
      </c>
      <c r="F4779" s="2" t="s">
        <v>40</v>
      </c>
      <c r="G4779" s="2" t="s">
        <v>22</v>
      </c>
      <c r="H4779" s="2" t="s">
        <v>23</v>
      </c>
      <c r="I4779" s="2" t="s">
        <v>23</v>
      </c>
      <c r="J4779" s="2">
        <v>5</v>
      </c>
      <c r="K4779" s="2" t="s">
        <v>27</v>
      </c>
      <c r="L4779" s="2">
        <v>2521</v>
      </c>
      <c r="M4779" s="2" t="s">
        <v>82</v>
      </c>
      <c r="N4779" s="2">
        <v>40</v>
      </c>
      <c r="O4779" s="2">
        <v>1152220.45</v>
      </c>
      <c r="P4779" s="2">
        <v>28805.51</v>
      </c>
    </row>
    <row r="4780" spans="1:16" outlineLevel="1" x14ac:dyDescent="0.2">
      <c r="A4780" s="5"/>
      <c r="D4780" s="3" t="s">
        <v>725</v>
      </c>
      <c r="N4780" s="2">
        <f>SUBTOTAL(9,N4778:N4779)</f>
        <v>80</v>
      </c>
      <c r="O4780" s="2">
        <f>SUBTOTAL(9,O4778:O4779)</f>
        <v>2309986.71</v>
      </c>
      <c r="P4780" s="2">
        <f>+O4780/N4780</f>
        <v>28874.833875</v>
      </c>
    </row>
    <row r="4781" spans="1:16" outlineLevel="2" x14ac:dyDescent="0.2">
      <c r="A4781" s="5">
        <v>46225</v>
      </c>
      <c r="B4781" s="2">
        <v>161058</v>
      </c>
      <c r="C4781" s="2">
        <v>1</v>
      </c>
      <c r="D4781" s="2" t="s">
        <v>140</v>
      </c>
      <c r="E4781" s="2" t="s">
        <v>23</v>
      </c>
      <c r="F4781" s="2" t="s">
        <v>108</v>
      </c>
      <c r="G4781" s="2" t="s">
        <v>22</v>
      </c>
      <c r="H4781" s="2" t="s">
        <v>23</v>
      </c>
      <c r="I4781" s="2" t="s">
        <v>23</v>
      </c>
      <c r="J4781" s="2">
        <v>1</v>
      </c>
      <c r="K4781" s="2" t="s">
        <v>24</v>
      </c>
      <c r="L4781" s="2">
        <v>1503</v>
      </c>
      <c r="M4781" s="2" t="s">
        <v>603</v>
      </c>
      <c r="N4781" s="2">
        <v>54</v>
      </c>
      <c r="O4781" s="2">
        <v>1463165.34</v>
      </c>
      <c r="P4781" s="2">
        <v>27095.65</v>
      </c>
    </row>
    <row r="4782" spans="1:16" outlineLevel="1" x14ac:dyDescent="0.2">
      <c r="A4782" s="5"/>
      <c r="D4782" s="3" t="s">
        <v>696</v>
      </c>
      <c r="N4782" s="2">
        <f>SUBTOTAL(9,N4781:N4781)</f>
        <v>54</v>
      </c>
      <c r="O4782" s="2">
        <f>SUBTOTAL(9,O4781:O4781)</f>
        <v>1463165.34</v>
      </c>
      <c r="P4782" s="2">
        <f>+O4782/N4782</f>
        <v>27095.654444444444</v>
      </c>
    </row>
    <row r="4783" spans="1:16" outlineLevel="2" x14ac:dyDescent="0.2">
      <c r="A4783" s="5">
        <v>46225</v>
      </c>
      <c r="B4783" s="2">
        <v>161059</v>
      </c>
      <c r="C4783" s="2">
        <v>1</v>
      </c>
      <c r="D4783" s="2" t="s">
        <v>474</v>
      </c>
      <c r="E4783" s="2" t="s">
        <v>475</v>
      </c>
      <c r="F4783" s="2" t="s">
        <v>47</v>
      </c>
      <c r="G4783" s="2" t="s">
        <v>22</v>
      </c>
      <c r="H4783" s="2" t="s">
        <v>23</v>
      </c>
      <c r="I4783" s="2" t="s">
        <v>23</v>
      </c>
      <c r="J4783" s="2">
        <v>41</v>
      </c>
      <c r="K4783" s="2" t="s">
        <v>129</v>
      </c>
      <c r="L4783" s="2">
        <v>2338</v>
      </c>
      <c r="M4783" s="2" t="s">
        <v>417</v>
      </c>
      <c r="N4783" s="2">
        <v>160</v>
      </c>
      <c r="O4783" s="2">
        <v>88061.22</v>
      </c>
      <c r="P4783" s="2">
        <v>550.38</v>
      </c>
    </row>
    <row r="4784" spans="1:16" outlineLevel="1" x14ac:dyDescent="0.2">
      <c r="A4784" s="5"/>
      <c r="D4784" s="3" t="s">
        <v>780</v>
      </c>
      <c r="N4784" s="2">
        <f>SUBTOTAL(9,N4783:N4783)</f>
        <v>160</v>
      </c>
      <c r="O4784" s="2">
        <f>SUBTOTAL(9,O4783:O4783)</f>
        <v>88061.22</v>
      </c>
      <c r="P4784" s="2">
        <f>+O4784/N4784</f>
        <v>550.38262499999996</v>
      </c>
    </row>
    <row r="4785" spans="1:16" outlineLevel="2" x14ac:dyDescent="0.2">
      <c r="A4785" s="5">
        <v>46225</v>
      </c>
      <c r="B4785" s="2">
        <v>161060</v>
      </c>
      <c r="C4785" s="2">
        <v>1</v>
      </c>
      <c r="D4785" s="2" t="s">
        <v>207</v>
      </c>
      <c r="E4785" s="2" t="s">
        <v>23</v>
      </c>
      <c r="F4785" s="2" t="s">
        <v>47</v>
      </c>
      <c r="G4785" s="2" t="s">
        <v>22</v>
      </c>
      <c r="H4785" s="2" t="s">
        <v>23</v>
      </c>
      <c r="I4785" s="2" t="s">
        <v>23</v>
      </c>
      <c r="J4785" s="2">
        <v>1</v>
      </c>
      <c r="K4785" s="2" t="s">
        <v>24</v>
      </c>
      <c r="L4785" s="2">
        <v>25213</v>
      </c>
      <c r="M4785" s="2" t="s">
        <v>130</v>
      </c>
      <c r="N4785" s="2">
        <v>5</v>
      </c>
      <c r="O4785" s="2">
        <v>416670.62</v>
      </c>
      <c r="P4785" s="2">
        <v>83334.12</v>
      </c>
    </row>
    <row r="4786" spans="1:16" outlineLevel="2" x14ac:dyDescent="0.2">
      <c r="A4786" s="5">
        <v>46225</v>
      </c>
      <c r="B4786" s="2">
        <v>161060</v>
      </c>
      <c r="C4786" s="2">
        <v>2</v>
      </c>
      <c r="D4786" s="2" t="s">
        <v>207</v>
      </c>
      <c r="E4786" s="2" t="s">
        <v>23</v>
      </c>
      <c r="F4786" s="2" t="s">
        <v>47</v>
      </c>
      <c r="G4786" s="2" t="s">
        <v>210</v>
      </c>
      <c r="H4786" s="2" t="s">
        <v>23</v>
      </c>
      <c r="I4786" s="2" t="s">
        <v>23</v>
      </c>
      <c r="J4786" s="2">
        <v>1</v>
      </c>
      <c r="K4786" s="2" t="s">
        <v>24</v>
      </c>
      <c r="L4786" s="2">
        <v>25213</v>
      </c>
      <c r="M4786" s="2" t="s">
        <v>130</v>
      </c>
      <c r="N4786" s="2">
        <v>3</v>
      </c>
      <c r="O4786" s="2">
        <v>197285.07</v>
      </c>
      <c r="P4786" s="2">
        <v>65761.69</v>
      </c>
    </row>
    <row r="4787" spans="1:16" outlineLevel="1" x14ac:dyDescent="0.2">
      <c r="A4787" s="5"/>
      <c r="D4787" s="3" t="s">
        <v>699</v>
      </c>
      <c r="N4787" s="2">
        <f>SUBTOTAL(9,N4785:N4786)</f>
        <v>8</v>
      </c>
      <c r="O4787" s="2">
        <f>SUBTOTAL(9,O4785:O4786)</f>
        <v>613955.68999999994</v>
      </c>
      <c r="P4787" s="2">
        <f>+O4787/N4787</f>
        <v>76744.461249999993</v>
      </c>
    </row>
    <row r="4788" spans="1:16" outlineLevel="2" x14ac:dyDescent="0.2">
      <c r="A4788" s="5">
        <v>46225</v>
      </c>
      <c r="B4788" s="2">
        <v>161060</v>
      </c>
      <c r="C4788" s="2">
        <v>3</v>
      </c>
      <c r="D4788" s="2" t="s">
        <v>128</v>
      </c>
      <c r="E4788" s="2" t="s">
        <v>23</v>
      </c>
      <c r="F4788" s="2" t="s">
        <v>47</v>
      </c>
      <c r="G4788" s="2" t="s">
        <v>22</v>
      </c>
      <c r="H4788" s="2" t="s">
        <v>23</v>
      </c>
      <c r="I4788" s="2" t="s">
        <v>23</v>
      </c>
      <c r="J4788" s="2">
        <v>1</v>
      </c>
      <c r="K4788" s="2" t="s">
        <v>24</v>
      </c>
      <c r="L4788" s="2">
        <v>25213</v>
      </c>
      <c r="M4788" s="2" t="s">
        <v>130</v>
      </c>
      <c r="N4788" s="2">
        <v>6</v>
      </c>
      <c r="O4788" s="2">
        <v>542986.86</v>
      </c>
      <c r="P4788" s="2">
        <v>90497.81</v>
      </c>
    </row>
    <row r="4789" spans="1:16" outlineLevel="1" x14ac:dyDescent="0.2">
      <c r="A4789" s="5"/>
      <c r="D4789" s="3" t="s">
        <v>732</v>
      </c>
      <c r="N4789" s="2">
        <f>SUBTOTAL(9,N4788:N4788)</f>
        <v>6</v>
      </c>
      <c r="O4789" s="2">
        <f>SUBTOTAL(9,O4788:O4788)</f>
        <v>542986.86</v>
      </c>
      <c r="P4789" s="2">
        <f>+O4789/N4789</f>
        <v>90497.81</v>
      </c>
    </row>
    <row r="4790" spans="1:16" outlineLevel="2" x14ac:dyDescent="0.2">
      <c r="A4790" s="5">
        <v>46225</v>
      </c>
      <c r="B4790" s="2">
        <v>161060</v>
      </c>
      <c r="C4790" s="2">
        <v>4</v>
      </c>
      <c r="D4790" s="2" t="s">
        <v>207</v>
      </c>
      <c r="E4790" s="2" t="s">
        <v>23</v>
      </c>
      <c r="F4790" s="2" t="s">
        <v>47</v>
      </c>
      <c r="G4790" s="2" t="s">
        <v>22</v>
      </c>
      <c r="H4790" s="2" t="s">
        <v>208</v>
      </c>
      <c r="I4790" s="2" t="s">
        <v>23</v>
      </c>
      <c r="J4790" s="2">
        <v>41</v>
      </c>
      <c r="K4790" s="2" t="s">
        <v>129</v>
      </c>
      <c r="L4790" s="2">
        <v>25213</v>
      </c>
      <c r="M4790" s="2" t="s">
        <v>130</v>
      </c>
      <c r="N4790" s="2">
        <v>75</v>
      </c>
      <c r="O4790" s="2">
        <v>257941.32</v>
      </c>
      <c r="P4790" s="2">
        <v>3439.22</v>
      </c>
    </row>
    <row r="4791" spans="1:16" outlineLevel="2" x14ac:dyDescent="0.2">
      <c r="A4791" s="5">
        <v>46225</v>
      </c>
      <c r="B4791" s="2">
        <v>161060</v>
      </c>
      <c r="C4791" s="2">
        <v>5</v>
      </c>
      <c r="D4791" s="2" t="s">
        <v>207</v>
      </c>
      <c r="E4791" s="2" t="s">
        <v>23</v>
      </c>
      <c r="F4791" s="2" t="s">
        <v>47</v>
      </c>
      <c r="G4791" s="2" t="s">
        <v>22</v>
      </c>
      <c r="H4791" s="2" t="s">
        <v>209</v>
      </c>
      <c r="I4791" s="2" t="s">
        <v>23</v>
      </c>
      <c r="J4791" s="2">
        <v>41</v>
      </c>
      <c r="K4791" s="2" t="s">
        <v>129</v>
      </c>
      <c r="L4791" s="2">
        <v>25213</v>
      </c>
      <c r="M4791" s="2" t="s">
        <v>130</v>
      </c>
      <c r="N4791" s="2">
        <v>50</v>
      </c>
      <c r="O4791" s="2">
        <v>151700.21</v>
      </c>
      <c r="P4791" s="2">
        <v>3034</v>
      </c>
    </row>
    <row r="4792" spans="1:16" outlineLevel="1" x14ac:dyDescent="0.2">
      <c r="A4792" s="5"/>
      <c r="D4792" s="3" t="s">
        <v>699</v>
      </c>
      <c r="N4792" s="2">
        <f>SUBTOTAL(9,N4790:N4791)</f>
        <v>125</v>
      </c>
      <c r="O4792" s="2">
        <f>SUBTOTAL(9,O4790:O4791)</f>
        <v>409641.53</v>
      </c>
      <c r="P4792" s="2">
        <f>+O4792/N4792</f>
        <v>3277.1322400000004</v>
      </c>
    </row>
    <row r="4793" spans="1:16" outlineLevel="2" x14ac:dyDescent="0.2">
      <c r="A4793" s="5">
        <v>46225</v>
      </c>
      <c r="B4793" s="2">
        <v>161060</v>
      </c>
      <c r="C4793" s="2">
        <v>6</v>
      </c>
      <c r="D4793" s="2" t="s">
        <v>128</v>
      </c>
      <c r="E4793" s="2" t="s">
        <v>23</v>
      </c>
      <c r="F4793" s="2" t="s">
        <v>47</v>
      </c>
      <c r="G4793" s="2" t="s">
        <v>22</v>
      </c>
      <c r="H4793" s="2" t="s">
        <v>23</v>
      </c>
      <c r="I4793" s="2" t="s">
        <v>23</v>
      </c>
      <c r="J4793" s="2">
        <v>41</v>
      </c>
      <c r="K4793" s="2" t="s">
        <v>129</v>
      </c>
      <c r="L4793" s="2">
        <v>25213</v>
      </c>
      <c r="M4793" s="2" t="s">
        <v>130</v>
      </c>
      <c r="N4793" s="2">
        <v>50</v>
      </c>
      <c r="O4793" s="2">
        <v>183909.06</v>
      </c>
      <c r="P4793" s="2">
        <v>3678.18</v>
      </c>
    </row>
    <row r="4794" spans="1:16" outlineLevel="1" x14ac:dyDescent="0.2">
      <c r="A4794" s="5"/>
      <c r="D4794" s="3" t="s">
        <v>732</v>
      </c>
      <c r="N4794" s="2">
        <f>SUBTOTAL(9,N4793:N4793)</f>
        <v>50</v>
      </c>
      <c r="O4794" s="2">
        <f>SUBTOTAL(9,O4793:O4793)</f>
        <v>183909.06</v>
      </c>
      <c r="P4794" s="2">
        <f>+O4794/N4794</f>
        <v>3678.1812</v>
      </c>
    </row>
    <row r="4795" spans="1:16" outlineLevel="2" x14ac:dyDescent="0.2">
      <c r="A4795" s="5">
        <v>46225</v>
      </c>
      <c r="B4795" s="2">
        <v>161060</v>
      </c>
      <c r="C4795" s="2">
        <v>7</v>
      </c>
      <c r="D4795" s="2" t="s">
        <v>294</v>
      </c>
      <c r="E4795" s="2" t="s">
        <v>23</v>
      </c>
      <c r="F4795" s="2" t="s">
        <v>47</v>
      </c>
      <c r="G4795" s="2" t="s">
        <v>22</v>
      </c>
      <c r="H4795" s="2" t="s">
        <v>23</v>
      </c>
      <c r="I4795" s="2" t="s">
        <v>23</v>
      </c>
      <c r="J4795" s="2">
        <v>41</v>
      </c>
      <c r="K4795" s="2" t="s">
        <v>129</v>
      </c>
      <c r="L4795" s="2">
        <v>25213</v>
      </c>
      <c r="M4795" s="2" t="s">
        <v>130</v>
      </c>
      <c r="N4795" s="2">
        <v>25</v>
      </c>
      <c r="O4795" s="2">
        <v>85793.75</v>
      </c>
      <c r="P4795" s="2">
        <v>3431.75</v>
      </c>
    </row>
    <row r="4796" spans="1:16" outlineLevel="1" x14ac:dyDescent="0.2">
      <c r="A4796" s="5"/>
      <c r="D4796" s="3" t="s">
        <v>740</v>
      </c>
      <c r="N4796" s="2">
        <f>SUBTOTAL(9,N4795:N4795)</f>
        <v>25</v>
      </c>
      <c r="O4796" s="2">
        <f>SUBTOTAL(9,O4795:O4795)</f>
        <v>85793.75</v>
      </c>
      <c r="P4796" s="2">
        <f>+O4796/N4796</f>
        <v>3431.75</v>
      </c>
    </row>
    <row r="4797" spans="1:16" outlineLevel="2" x14ac:dyDescent="0.2">
      <c r="A4797" s="5">
        <v>46237</v>
      </c>
      <c r="B4797" s="2">
        <v>161067</v>
      </c>
      <c r="C4797" s="2">
        <v>1</v>
      </c>
      <c r="D4797" s="2" t="s">
        <v>38</v>
      </c>
      <c r="E4797" s="2" t="s">
        <v>39</v>
      </c>
      <c r="F4797" s="2" t="s">
        <v>40</v>
      </c>
      <c r="G4797" s="2" t="s">
        <v>41</v>
      </c>
      <c r="H4797" s="2" t="s">
        <v>23</v>
      </c>
      <c r="I4797" s="2" t="s">
        <v>23</v>
      </c>
      <c r="J4797" s="2">
        <v>40</v>
      </c>
      <c r="K4797" s="2" t="s">
        <v>43</v>
      </c>
      <c r="L4797" s="2">
        <v>25243</v>
      </c>
      <c r="M4797" s="2" t="s">
        <v>617</v>
      </c>
      <c r="N4797" s="2">
        <v>68</v>
      </c>
      <c r="O4797" s="2">
        <v>1745919.95</v>
      </c>
      <c r="P4797" s="2">
        <v>25675.29</v>
      </c>
    </row>
    <row r="4798" spans="1:16" outlineLevel="1" x14ac:dyDescent="0.2">
      <c r="A4798" s="5"/>
      <c r="D4798" s="3" t="s">
        <v>721</v>
      </c>
      <c r="N4798" s="2">
        <f>SUBTOTAL(9,N4797:N4797)</f>
        <v>68</v>
      </c>
      <c r="O4798" s="2">
        <f>SUBTOTAL(9,O4797:O4797)</f>
        <v>1745919.95</v>
      </c>
      <c r="P4798" s="2">
        <f>+O4798/N4798</f>
        <v>25675.293382352942</v>
      </c>
    </row>
    <row r="4799" spans="1:16" outlineLevel="2" x14ac:dyDescent="0.2">
      <c r="A4799" s="5">
        <v>46227</v>
      </c>
      <c r="B4799" s="2">
        <v>161079</v>
      </c>
      <c r="C4799" s="2">
        <v>1</v>
      </c>
      <c r="D4799" s="2" t="s">
        <v>404</v>
      </c>
      <c r="E4799" s="2" t="s">
        <v>23</v>
      </c>
      <c r="F4799" s="2" t="s">
        <v>405</v>
      </c>
      <c r="G4799" s="2" t="s">
        <v>22</v>
      </c>
      <c r="H4799" s="2" t="s">
        <v>23</v>
      </c>
      <c r="I4799" s="2" t="s">
        <v>23</v>
      </c>
      <c r="J4799" s="2">
        <v>1</v>
      </c>
      <c r="K4799" s="2" t="s">
        <v>24</v>
      </c>
      <c r="L4799" s="2">
        <v>25190</v>
      </c>
      <c r="M4799" s="2" t="s">
        <v>644</v>
      </c>
      <c r="N4799" s="2">
        <v>20</v>
      </c>
      <c r="O4799" s="2">
        <v>124641.4</v>
      </c>
      <c r="P4799" s="2">
        <v>6232.07</v>
      </c>
    </row>
    <row r="4800" spans="1:16" outlineLevel="2" x14ac:dyDescent="0.2">
      <c r="A4800" s="5">
        <v>46227</v>
      </c>
      <c r="B4800" s="2">
        <v>161081</v>
      </c>
      <c r="C4800" s="2">
        <v>1</v>
      </c>
      <c r="D4800" s="2" t="s">
        <v>404</v>
      </c>
      <c r="E4800" s="2" t="s">
        <v>23</v>
      </c>
      <c r="F4800" s="2" t="s">
        <v>405</v>
      </c>
      <c r="G4800" s="2" t="s">
        <v>22</v>
      </c>
      <c r="H4800" s="2" t="s">
        <v>23</v>
      </c>
      <c r="I4800" s="2" t="s">
        <v>23</v>
      </c>
      <c r="J4800" s="2">
        <v>1</v>
      </c>
      <c r="K4800" s="2" t="s">
        <v>24</v>
      </c>
      <c r="L4800" s="2">
        <v>2009</v>
      </c>
      <c r="M4800" s="2" t="s">
        <v>645</v>
      </c>
      <c r="N4800" s="2">
        <v>35</v>
      </c>
      <c r="O4800" s="2">
        <v>490686.57</v>
      </c>
      <c r="P4800" s="2">
        <v>14019.62</v>
      </c>
    </row>
    <row r="4801" spans="1:16" outlineLevel="2" x14ac:dyDescent="0.2">
      <c r="A4801" s="5">
        <v>46227</v>
      </c>
      <c r="B4801" s="2">
        <v>161090</v>
      </c>
      <c r="C4801" s="2">
        <v>1</v>
      </c>
      <c r="D4801" s="2" t="s">
        <v>404</v>
      </c>
      <c r="E4801" s="2" t="s">
        <v>23</v>
      </c>
      <c r="F4801" s="2" t="s">
        <v>405</v>
      </c>
      <c r="G4801" s="2" t="s">
        <v>22</v>
      </c>
      <c r="H4801" s="2" t="s">
        <v>23</v>
      </c>
      <c r="I4801" s="2" t="s">
        <v>23</v>
      </c>
      <c r="J4801" s="2">
        <v>77</v>
      </c>
      <c r="K4801" s="2" t="s">
        <v>646</v>
      </c>
      <c r="L4801" s="2">
        <v>1795</v>
      </c>
      <c r="M4801" s="2" t="s">
        <v>506</v>
      </c>
      <c r="N4801" s="2">
        <v>5</v>
      </c>
      <c r="O4801" s="2">
        <v>12491.6</v>
      </c>
      <c r="P4801" s="2">
        <v>2498.3200000000002</v>
      </c>
    </row>
    <row r="4802" spans="1:16" outlineLevel="2" x14ac:dyDescent="0.2">
      <c r="A4802" s="5">
        <v>46225</v>
      </c>
      <c r="B4802" s="2">
        <v>161090</v>
      </c>
      <c r="C4802" s="2">
        <v>2</v>
      </c>
      <c r="D4802" s="2" t="s">
        <v>404</v>
      </c>
      <c r="E4802" s="2" t="s">
        <v>23</v>
      </c>
      <c r="F4802" s="2" t="s">
        <v>405</v>
      </c>
      <c r="G4802" s="2" t="s">
        <v>22</v>
      </c>
      <c r="H4802" s="2" t="s">
        <v>23</v>
      </c>
      <c r="I4802" s="2" t="s">
        <v>23</v>
      </c>
      <c r="J4802" s="2">
        <v>86</v>
      </c>
      <c r="K4802" s="2" t="s">
        <v>73</v>
      </c>
      <c r="L4802" s="2">
        <v>1795</v>
      </c>
      <c r="M4802" s="2" t="s">
        <v>506</v>
      </c>
      <c r="N4802" s="2">
        <v>4</v>
      </c>
      <c r="O4802" s="2">
        <v>122005.96</v>
      </c>
      <c r="P4802" s="2">
        <v>30501.49</v>
      </c>
    </row>
    <row r="4803" spans="1:16" outlineLevel="1" x14ac:dyDescent="0.2">
      <c r="A4803" s="5"/>
      <c r="D4803" s="3" t="s">
        <v>769</v>
      </c>
      <c r="N4803" s="2">
        <f>SUBTOTAL(9,N4799:N4802)</f>
        <v>64</v>
      </c>
      <c r="O4803" s="2">
        <f>SUBTOTAL(9,O4799:O4802)</f>
        <v>749825.52999999991</v>
      </c>
      <c r="P4803" s="2">
        <f>+O4803/N4803</f>
        <v>11716.023906249999</v>
      </c>
    </row>
    <row r="4804" spans="1:16" outlineLevel="2" x14ac:dyDescent="0.2">
      <c r="A4804" s="5">
        <v>46232</v>
      </c>
      <c r="B4804" s="2">
        <v>161093</v>
      </c>
      <c r="C4804" s="2">
        <v>2</v>
      </c>
      <c r="D4804" s="2" t="s">
        <v>83</v>
      </c>
      <c r="E4804" s="2" t="s">
        <v>633</v>
      </c>
      <c r="F4804" s="2" t="s">
        <v>85</v>
      </c>
      <c r="G4804" s="2" t="s">
        <v>22</v>
      </c>
      <c r="H4804" s="2" t="s">
        <v>23</v>
      </c>
      <c r="I4804" s="2" t="s">
        <v>647</v>
      </c>
      <c r="J4804" s="2">
        <v>2</v>
      </c>
      <c r="K4804" s="2" t="s">
        <v>48</v>
      </c>
      <c r="L4804" s="2">
        <v>2810</v>
      </c>
      <c r="M4804" s="2" t="s">
        <v>648</v>
      </c>
      <c r="N4804" s="2">
        <v>96</v>
      </c>
      <c r="O4804" s="2">
        <v>5354369.46</v>
      </c>
      <c r="P4804" s="2">
        <v>55774.68</v>
      </c>
    </row>
    <row r="4805" spans="1:16" outlineLevel="2" x14ac:dyDescent="0.2">
      <c r="A4805" s="5">
        <v>46223</v>
      </c>
      <c r="B4805" s="2">
        <v>161093</v>
      </c>
      <c r="C4805" s="2">
        <v>3</v>
      </c>
      <c r="D4805" s="2" t="s">
        <v>83</v>
      </c>
      <c r="E4805" s="2" t="s">
        <v>633</v>
      </c>
      <c r="F4805" s="2" t="s">
        <v>85</v>
      </c>
      <c r="G4805" s="2" t="s">
        <v>22</v>
      </c>
      <c r="H4805" s="2" t="s">
        <v>23</v>
      </c>
      <c r="I4805" s="2" t="s">
        <v>23</v>
      </c>
      <c r="J4805" s="2">
        <v>2</v>
      </c>
      <c r="K4805" s="2" t="s">
        <v>48</v>
      </c>
      <c r="L4805" s="2">
        <v>2810</v>
      </c>
      <c r="M4805" s="2" t="s">
        <v>648</v>
      </c>
      <c r="N4805" s="2">
        <v>224</v>
      </c>
      <c r="O4805" s="2">
        <v>12660230.369999999</v>
      </c>
      <c r="P4805" s="2">
        <v>56518.89</v>
      </c>
    </row>
    <row r="4806" spans="1:16" outlineLevel="1" x14ac:dyDescent="0.2">
      <c r="A4806" s="5"/>
      <c r="D4806" s="3" t="s">
        <v>701</v>
      </c>
      <c r="N4806" s="2">
        <f>SUBTOTAL(9,N4804:N4805)</f>
        <v>320</v>
      </c>
      <c r="O4806" s="2">
        <f>SUBTOTAL(9,O4804:O4805)</f>
        <v>18014599.829999998</v>
      </c>
      <c r="P4806" s="2">
        <f>+O4806/N4806</f>
        <v>56295.624468749993</v>
      </c>
    </row>
    <row r="4807" spans="1:16" outlineLevel="2" x14ac:dyDescent="0.2">
      <c r="A4807" s="5">
        <v>46232</v>
      </c>
      <c r="B4807" s="2">
        <v>161094</v>
      </c>
      <c r="C4807" s="2">
        <v>1</v>
      </c>
      <c r="D4807" s="2" t="s">
        <v>150</v>
      </c>
      <c r="E4807" s="2" t="s">
        <v>151</v>
      </c>
      <c r="F4807" s="2" t="s">
        <v>40</v>
      </c>
      <c r="G4807" s="2" t="s">
        <v>22</v>
      </c>
      <c r="H4807" s="2" t="s">
        <v>23</v>
      </c>
      <c r="I4807" s="2" t="s">
        <v>23</v>
      </c>
      <c r="J4807" s="2">
        <v>1</v>
      </c>
      <c r="K4807" s="2" t="s">
        <v>24</v>
      </c>
      <c r="L4807" s="2">
        <v>634</v>
      </c>
      <c r="M4807" s="2" t="s">
        <v>153</v>
      </c>
      <c r="N4807" s="2">
        <v>86</v>
      </c>
      <c r="O4807" s="2">
        <v>1018791.52</v>
      </c>
      <c r="P4807" s="2">
        <v>11846.41</v>
      </c>
    </row>
    <row r="4808" spans="1:16" outlineLevel="2" x14ac:dyDescent="0.2">
      <c r="A4808" s="5">
        <v>46238</v>
      </c>
      <c r="B4808" s="2">
        <v>161094</v>
      </c>
      <c r="C4808" s="2">
        <v>2</v>
      </c>
      <c r="D4808" s="2" t="s">
        <v>150</v>
      </c>
      <c r="E4808" s="2" t="s">
        <v>151</v>
      </c>
      <c r="F4808" s="2" t="s">
        <v>40</v>
      </c>
      <c r="G4808" s="2" t="s">
        <v>22</v>
      </c>
      <c r="H4808" s="2" t="s">
        <v>23</v>
      </c>
      <c r="I4808" s="2" t="s">
        <v>482</v>
      </c>
      <c r="J4808" s="2">
        <v>1</v>
      </c>
      <c r="K4808" s="2" t="s">
        <v>24</v>
      </c>
      <c r="L4808" s="2">
        <v>634</v>
      </c>
      <c r="M4808" s="2" t="s">
        <v>153</v>
      </c>
      <c r="N4808" s="2">
        <v>65</v>
      </c>
      <c r="O4808" s="2">
        <v>776073.29</v>
      </c>
      <c r="P4808" s="2">
        <v>11939.59</v>
      </c>
    </row>
    <row r="4809" spans="1:16" outlineLevel="1" x14ac:dyDescent="0.2">
      <c r="A4809" s="5"/>
      <c r="D4809" s="3" t="s">
        <v>718</v>
      </c>
      <c r="N4809" s="2">
        <f>SUBTOTAL(9,N4807:N4808)</f>
        <v>151</v>
      </c>
      <c r="O4809" s="2">
        <f>SUBTOTAL(9,O4807:O4808)</f>
        <v>1794864.81</v>
      </c>
      <c r="P4809" s="2">
        <f>+O4809/N4809</f>
        <v>11886.521920529802</v>
      </c>
    </row>
    <row r="4810" spans="1:16" outlineLevel="2" x14ac:dyDescent="0.2">
      <c r="A4810" s="5">
        <v>46223</v>
      </c>
      <c r="B4810" s="2">
        <v>161095</v>
      </c>
      <c r="C4810" s="2">
        <v>2</v>
      </c>
      <c r="D4810" s="2" t="s">
        <v>197</v>
      </c>
      <c r="E4810" s="2" t="s">
        <v>649</v>
      </c>
      <c r="F4810" s="2" t="s">
        <v>40</v>
      </c>
      <c r="G4810" s="2" t="s">
        <v>22</v>
      </c>
      <c r="H4810" s="2" t="s">
        <v>23</v>
      </c>
      <c r="I4810" s="2" t="s">
        <v>23</v>
      </c>
      <c r="J4810" s="2">
        <v>1</v>
      </c>
      <c r="K4810" s="2" t="s">
        <v>24</v>
      </c>
      <c r="L4810" s="2">
        <v>2541</v>
      </c>
      <c r="M4810" s="2" t="s">
        <v>534</v>
      </c>
      <c r="N4810" s="2">
        <v>210</v>
      </c>
      <c r="O4810" s="2">
        <v>12670448.050000001</v>
      </c>
      <c r="P4810" s="2">
        <v>60335.47</v>
      </c>
    </row>
    <row r="4811" spans="1:16" outlineLevel="2" x14ac:dyDescent="0.2">
      <c r="A4811" s="5">
        <v>46238</v>
      </c>
      <c r="B4811" s="2">
        <v>161095</v>
      </c>
      <c r="C4811" s="2">
        <v>3</v>
      </c>
      <c r="D4811" s="2" t="s">
        <v>197</v>
      </c>
      <c r="E4811" s="2" t="s">
        <v>538</v>
      </c>
      <c r="F4811" s="2" t="s">
        <v>40</v>
      </c>
      <c r="G4811" s="2" t="s">
        <v>22</v>
      </c>
      <c r="H4811" s="2" t="s">
        <v>23</v>
      </c>
      <c r="I4811" s="2" t="s">
        <v>23</v>
      </c>
      <c r="J4811" s="2">
        <v>1</v>
      </c>
      <c r="K4811" s="2" t="s">
        <v>24</v>
      </c>
      <c r="L4811" s="2">
        <v>2541</v>
      </c>
      <c r="M4811" s="2" t="s">
        <v>534</v>
      </c>
      <c r="N4811" s="2">
        <v>133</v>
      </c>
      <c r="O4811" s="2">
        <v>5521096.8399999999</v>
      </c>
      <c r="P4811" s="2">
        <v>41512.01</v>
      </c>
    </row>
    <row r="4812" spans="1:16" outlineLevel="2" x14ac:dyDescent="0.2">
      <c r="A4812" s="5">
        <v>46246</v>
      </c>
      <c r="B4812" s="2">
        <v>161095</v>
      </c>
      <c r="C4812" s="2">
        <v>4</v>
      </c>
      <c r="D4812" s="2" t="s">
        <v>197</v>
      </c>
      <c r="E4812" s="2" t="s">
        <v>538</v>
      </c>
      <c r="F4812" s="2" t="s">
        <v>40</v>
      </c>
      <c r="G4812" s="2" t="s">
        <v>22</v>
      </c>
      <c r="H4812" s="2" t="s">
        <v>23</v>
      </c>
      <c r="I4812" s="2" t="s">
        <v>23</v>
      </c>
      <c r="J4812" s="2">
        <v>86</v>
      </c>
      <c r="K4812" s="2" t="s">
        <v>73</v>
      </c>
      <c r="L4812" s="2">
        <v>2541</v>
      </c>
      <c r="M4812" s="2" t="s">
        <v>534</v>
      </c>
      <c r="N4812" s="2">
        <v>4</v>
      </c>
      <c r="O4812" s="2">
        <v>148110.24</v>
      </c>
      <c r="P4812" s="2">
        <v>37027.56</v>
      </c>
    </row>
    <row r="4813" spans="1:16" outlineLevel="1" x14ac:dyDescent="0.2">
      <c r="A4813" s="5"/>
      <c r="D4813" s="3" t="s">
        <v>734</v>
      </c>
      <c r="N4813" s="2">
        <f>SUBTOTAL(9,N4810:N4812)</f>
        <v>347</v>
      </c>
      <c r="O4813" s="2">
        <f>SUBTOTAL(9,O4810:O4812)</f>
        <v>18339655.129999999</v>
      </c>
      <c r="P4813" s="2">
        <f>+O4813/N4813</f>
        <v>52852.032074927949</v>
      </c>
    </row>
    <row r="4814" spans="1:16" outlineLevel="2" x14ac:dyDescent="0.2">
      <c r="A4814" s="5">
        <v>46227</v>
      </c>
      <c r="B4814" s="2">
        <v>161096</v>
      </c>
      <c r="C4814" s="2">
        <v>1</v>
      </c>
      <c r="D4814" s="2" t="s">
        <v>38</v>
      </c>
      <c r="E4814" s="2" t="s">
        <v>39</v>
      </c>
      <c r="F4814" s="2" t="s">
        <v>40</v>
      </c>
      <c r="G4814" s="2" t="s">
        <v>41</v>
      </c>
      <c r="H4814" s="2" t="s">
        <v>23</v>
      </c>
      <c r="I4814" s="2" t="s">
        <v>79</v>
      </c>
      <c r="J4814" s="2">
        <v>40</v>
      </c>
      <c r="K4814" s="2" t="s">
        <v>43</v>
      </c>
      <c r="L4814" s="2">
        <v>2579</v>
      </c>
      <c r="M4814" s="2" t="s">
        <v>44</v>
      </c>
      <c r="N4814" s="2">
        <v>672</v>
      </c>
      <c r="O4814" s="2">
        <v>14789594.460000001</v>
      </c>
      <c r="P4814" s="2">
        <v>22008.33</v>
      </c>
    </row>
    <row r="4815" spans="1:16" outlineLevel="2" x14ac:dyDescent="0.2">
      <c r="A4815" s="5">
        <v>46227</v>
      </c>
      <c r="B4815" s="2">
        <v>161096</v>
      </c>
      <c r="C4815" s="2">
        <v>2</v>
      </c>
      <c r="D4815" s="2" t="s">
        <v>38</v>
      </c>
      <c r="E4815" s="2" t="s">
        <v>39</v>
      </c>
      <c r="F4815" s="2" t="s">
        <v>40</v>
      </c>
      <c r="G4815" s="2" t="s">
        <v>41</v>
      </c>
      <c r="H4815" s="2" t="s">
        <v>23</v>
      </c>
      <c r="I4815" s="2" t="s">
        <v>220</v>
      </c>
      <c r="J4815" s="2">
        <v>40</v>
      </c>
      <c r="K4815" s="2" t="s">
        <v>43</v>
      </c>
      <c r="L4815" s="2">
        <v>2579</v>
      </c>
      <c r="M4815" s="2" t="s">
        <v>44</v>
      </c>
      <c r="N4815" s="2">
        <v>476</v>
      </c>
      <c r="O4815" s="2">
        <v>13468039.73</v>
      </c>
      <c r="P4815" s="2">
        <v>28294.2</v>
      </c>
    </row>
    <row r="4816" spans="1:16" outlineLevel="2" x14ac:dyDescent="0.2">
      <c r="A4816" s="5">
        <v>46227</v>
      </c>
      <c r="B4816" s="2">
        <v>161096</v>
      </c>
      <c r="C4816" s="2">
        <v>3</v>
      </c>
      <c r="D4816" s="2" t="s">
        <v>38</v>
      </c>
      <c r="E4816" s="2" t="s">
        <v>39</v>
      </c>
      <c r="F4816" s="2" t="s">
        <v>40</v>
      </c>
      <c r="G4816" s="2" t="s">
        <v>41</v>
      </c>
      <c r="H4816" s="2" t="s">
        <v>23</v>
      </c>
      <c r="I4816" s="2" t="s">
        <v>580</v>
      </c>
      <c r="J4816" s="2">
        <v>40</v>
      </c>
      <c r="K4816" s="2" t="s">
        <v>43</v>
      </c>
      <c r="L4816" s="2">
        <v>2579</v>
      </c>
      <c r="M4816" s="2" t="s">
        <v>44</v>
      </c>
      <c r="N4816" s="2">
        <v>192</v>
      </c>
      <c r="O4816" s="2">
        <v>5625352.4699999997</v>
      </c>
      <c r="P4816" s="2">
        <v>29298.71</v>
      </c>
    </row>
    <row r="4817" spans="1:16" outlineLevel="2" x14ac:dyDescent="0.2">
      <c r="A4817" s="5">
        <v>46230</v>
      </c>
      <c r="B4817" s="2">
        <v>161097</v>
      </c>
      <c r="C4817" s="2">
        <v>1</v>
      </c>
      <c r="D4817" s="2" t="s">
        <v>38</v>
      </c>
      <c r="E4817" s="2" t="s">
        <v>39</v>
      </c>
      <c r="F4817" s="2" t="s">
        <v>40</v>
      </c>
      <c r="G4817" s="2" t="s">
        <v>22</v>
      </c>
      <c r="H4817" s="2" t="s">
        <v>41</v>
      </c>
      <c r="I4817" s="2" t="s">
        <v>79</v>
      </c>
      <c r="J4817" s="2">
        <v>40</v>
      </c>
      <c r="K4817" s="2" t="s">
        <v>43</v>
      </c>
      <c r="L4817" s="2">
        <v>2579</v>
      </c>
      <c r="M4817" s="2" t="s">
        <v>44</v>
      </c>
      <c r="N4817" s="2">
        <v>284</v>
      </c>
      <c r="O4817" s="2">
        <v>6235162.9500000002</v>
      </c>
      <c r="P4817" s="2">
        <v>21954.799999999999</v>
      </c>
    </row>
    <row r="4818" spans="1:16" outlineLevel="2" x14ac:dyDescent="0.2">
      <c r="A4818" s="5">
        <v>46237</v>
      </c>
      <c r="B4818" s="2">
        <v>161097</v>
      </c>
      <c r="C4818" s="2">
        <v>2</v>
      </c>
      <c r="D4818" s="2" t="s">
        <v>38</v>
      </c>
      <c r="E4818" s="2" t="s">
        <v>39</v>
      </c>
      <c r="F4818" s="2" t="s">
        <v>40</v>
      </c>
      <c r="G4818" s="2" t="s">
        <v>41</v>
      </c>
      <c r="H4818" s="2" t="s">
        <v>41</v>
      </c>
      <c r="I4818" s="2" t="s">
        <v>184</v>
      </c>
      <c r="J4818" s="2">
        <v>40</v>
      </c>
      <c r="K4818" s="2" t="s">
        <v>43</v>
      </c>
      <c r="L4818" s="2">
        <v>25243</v>
      </c>
      <c r="M4818" s="2" t="s">
        <v>617</v>
      </c>
      <c r="N4818" s="2">
        <v>76</v>
      </c>
      <c r="O4818" s="2">
        <v>2052407.87</v>
      </c>
      <c r="P4818" s="2">
        <v>27005.37</v>
      </c>
    </row>
    <row r="4819" spans="1:16" outlineLevel="2" x14ac:dyDescent="0.2">
      <c r="A4819" s="5">
        <v>46237</v>
      </c>
      <c r="B4819" s="2">
        <v>161097</v>
      </c>
      <c r="C4819" s="2">
        <v>3</v>
      </c>
      <c r="D4819" s="2" t="s">
        <v>38</v>
      </c>
      <c r="E4819" s="2" t="s">
        <v>39</v>
      </c>
      <c r="F4819" s="2" t="s">
        <v>40</v>
      </c>
      <c r="G4819" s="2" t="s">
        <v>41</v>
      </c>
      <c r="H4819" s="2" t="s">
        <v>41</v>
      </c>
      <c r="I4819" s="2" t="s">
        <v>614</v>
      </c>
      <c r="J4819" s="2">
        <v>40</v>
      </c>
      <c r="K4819" s="2" t="s">
        <v>43</v>
      </c>
      <c r="L4819" s="2">
        <v>25243</v>
      </c>
      <c r="M4819" s="2" t="s">
        <v>617</v>
      </c>
      <c r="N4819" s="2">
        <v>96</v>
      </c>
      <c r="O4819" s="2">
        <v>2974659.72</v>
      </c>
      <c r="P4819" s="2">
        <v>30986.04</v>
      </c>
    </row>
    <row r="4820" spans="1:16" outlineLevel="1" x14ac:dyDescent="0.2">
      <c r="A4820" s="5"/>
      <c r="D4820" s="3" t="s">
        <v>721</v>
      </c>
      <c r="N4820" s="2">
        <f>SUBTOTAL(9,N4814:N4819)</f>
        <v>1796</v>
      </c>
      <c r="O4820" s="2">
        <f>SUBTOTAL(9,O4814:O4819)</f>
        <v>45145217.200000003</v>
      </c>
      <c r="P4820" s="2">
        <f>+O4820/N4820</f>
        <v>25136.535189309579</v>
      </c>
    </row>
    <row r="4821" spans="1:16" outlineLevel="2" x14ac:dyDescent="0.2">
      <c r="A4821" s="5">
        <v>46223</v>
      </c>
      <c r="B4821" s="2">
        <v>161110</v>
      </c>
      <c r="C4821" s="2">
        <v>6</v>
      </c>
      <c r="D4821" s="2" t="s">
        <v>45</v>
      </c>
      <c r="E4821" s="2" t="s">
        <v>125</v>
      </c>
      <c r="F4821" s="2" t="s">
        <v>289</v>
      </c>
      <c r="G4821" s="2" t="s">
        <v>22</v>
      </c>
      <c r="H4821" s="2" t="s">
        <v>23</v>
      </c>
      <c r="I4821" s="2" t="s">
        <v>23</v>
      </c>
      <c r="J4821" s="2">
        <v>2</v>
      </c>
      <c r="K4821" s="2" t="s">
        <v>48</v>
      </c>
      <c r="L4821" s="2">
        <v>106</v>
      </c>
      <c r="M4821" s="2" t="s">
        <v>486</v>
      </c>
      <c r="N4821" s="2">
        <v>112</v>
      </c>
      <c r="O4821" s="2">
        <v>3093403.79</v>
      </c>
      <c r="P4821" s="2">
        <v>27619.68</v>
      </c>
    </row>
    <row r="4822" spans="1:16" outlineLevel="1" x14ac:dyDescent="0.2">
      <c r="A4822" s="5"/>
      <c r="D4822" s="3" t="s">
        <v>733</v>
      </c>
      <c r="N4822" s="2">
        <f>SUBTOTAL(9,N4821:N4821)</f>
        <v>112</v>
      </c>
      <c r="O4822" s="2">
        <f>SUBTOTAL(9,O4821:O4821)</f>
        <v>3093403.79</v>
      </c>
      <c r="P4822" s="2">
        <f>+O4822/N4822</f>
        <v>27619.676696428571</v>
      </c>
    </row>
    <row r="4823" spans="1:16" outlineLevel="2" x14ac:dyDescent="0.2">
      <c r="A4823" s="5">
        <v>46223</v>
      </c>
      <c r="B4823" s="2">
        <v>161110</v>
      </c>
      <c r="C4823" s="2">
        <v>8</v>
      </c>
      <c r="D4823" s="2" t="s">
        <v>226</v>
      </c>
      <c r="E4823" s="2" t="s">
        <v>585</v>
      </c>
      <c r="F4823" s="2" t="s">
        <v>289</v>
      </c>
      <c r="G4823" s="2" t="s">
        <v>22</v>
      </c>
      <c r="H4823" s="2" t="s">
        <v>23</v>
      </c>
      <c r="I4823" s="2" t="s">
        <v>23</v>
      </c>
      <c r="J4823" s="2">
        <v>2</v>
      </c>
      <c r="K4823" s="2" t="s">
        <v>48</v>
      </c>
      <c r="L4823" s="2">
        <v>106</v>
      </c>
      <c r="M4823" s="2" t="s">
        <v>486</v>
      </c>
      <c r="N4823" s="2">
        <v>32</v>
      </c>
      <c r="O4823" s="2">
        <v>626941.27</v>
      </c>
      <c r="P4823" s="2">
        <v>19591.91</v>
      </c>
    </row>
    <row r="4824" spans="1:16" outlineLevel="1" x14ac:dyDescent="0.2">
      <c r="A4824" s="5"/>
      <c r="D4824" s="3" t="s">
        <v>736</v>
      </c>
      <c r="N4824" s="2">
        <f>SUBTOTAL(9,N4823:N4823)</f>
        <v>32</v>
      </c>
      <c r="O4824" s="2">
        <f>SUBTOTAL(9,O4823:O4823)</f>
        <v>626941.27</v>
      </c>
      <c r="P4824" s="2">
        <f>+O4824/N4824</f>
        <v>19591.914687500001</v>
      </c>
    </row>
    <row r="4825" spans="1:16" outlineLevel="2" x14ac:dyDescent="0.2">
      <c r="A4825" s="5">
        <v>46227</v>
      </c>
      <c r="B4825" s="2">
        <v>161113</v>
      </c>
      <c r="C4825" s="2">
        <v>1</v>
      </c>
      <c r="D4825" s="2" t="s">
        <v>57</v>
      </c>
      <c r="E4825" s="2" t="s">
        <v>58</v>
      </c>
      <c r="F4825" s="2" t="s">
        <v>31</v>
      </c>
      <c r="G4825" s="2" t="s">
        <v>22</v>
      </c>
      <c r="H4825" s="2" t="s">
        <v>23</v>
      </c>
      <c r="I4825" s="2" t="s">
        <v>23</v>
      </c>
      <c r="J4825" s="2">
        <v>1</v>
      </c>
      <c r="K4825" s="2" t="s">
        <v>24</v>
      </c>
      <c r="L4825" s="2">
        <v>1857</v>
      </c>
      <c r="M4825" s="2" t="s">
        <v>206</v>
      </c>
      <c r="N4825" s="2">
        <v>6</v>
      </c>
      <c r="O4825" s="2">
        <v>118601.62</v>
      </c>
      <c r="P4825" s="2">
        <v>19766.939999999999</v>
      </c>
    </row>
    <row r="4826" spans="1:16" outlineLevel="1" x14ac:dyDescent="0.2">
      <c r="A4826" s="5"/>
      <c r="D4826" s="3" t="s">
        <v>716</v>
      </c>
      <c r="N4826" s="2">
        <f>SUBTOTAL(9,N4825:N4825)</f>
        <v>6</v>
      </c>
      <c r="O4826" s="2">
        <f>SUBTOTAL(9,O4825:O4825)</f>
        <v>118601.62</v>
      </c>
      <c r="P4826" s="2">
        <f>+O4826/N4826</f>
        <v>19766.936666666665</v>
      </c>
    </row>
    <row r="4827" spans="1:16" outlineLevel="2" x14ac:dyDescent="0.2">
      <c r="A4827" s="5">
        <v>46223</v>
      </c>
      <c r="B4827" s="2">
        <v>161115</v>
      </c>
      <c r="C4827" s="2">
        <v>9</v>
      </c>
      <c r="D4827" s="2" t="s">
        <v>45</v>
      </c>
      <c r="E4827" s="2" t="s">
        <v>581</v>
      </c>
      <c r="F4827" s="2" t="s">
        <v>289</v>
      </c>
      <c r="G4827" s="2" t="s">
        <v>22</v>
      </c>
      <c r="H4827" s="2" t="s">
        <v>23</v>
      </c>
      <c r="I4827" s="2" t="s">
        <v>23</v>
      </c>
      <c r="J4827" s="2">
        <v>2</v>
      </c>
      <c r="K4827" s="2" t="s">
        <v>48</v>
      </c>
      <c r="L4827" s="2">
        <v>801</v>
      </c>
      <c r="M4827" s="2" t="s">
        <v>56</v>
      </c>
      <c r="N4827" s="2">
        <v>16</v>
      </c>
      <c r="O4827" s="2">
        <v>532828.80000000005</v>
      </c>
      <c r="P4827" s="2">
        <v>33301.800000000003</v>
      </c>
    </row>
    <row r="4828" spans="1:16" outlineLevel="2" x14ac:dyDescent="0.2">
      <c r="A4828" s="5">
        <v>46223</v>
      </c>
      <c r="B4828" s="2">
        <v>161115</v>
      </c>
      <c r="C4828" s="2">
        <v>10</v>
      </c>
      <c r="D4828" s="2" t="s">
        <v>45</v>
      </c>
      <c r="E4828" s="2" t="s">
        <v>581</v>
      </c>
      <c r="F4828" s="2" t="s">
        <v>289</v>
      </c>
      <c r="G4828" s="2" t="s">
        <v>22</v>
      </c>
      <c r="H4828" s="2" t="s">
        <v>23</v>
      </c>
      <c r="I4828" s="2" t="s">
        <v>23</v>
      </c>
      <c r="J4828" s="2">
        <v>41</v>
      </c>
      <c r="K4828" s="2" t="s">
        <v>129</v>
      </c>
      <c r="L4828" s="2">
        <v>801</v>
      </c>
      <c r="M4828" s="2" t="s">
        <v>56</v>
      </c>
      <c r="N4828" s="2">
        <v>80</v>
      </c>
      <c r="O4828" s="2">
        <v>1454577.88</v>
      </c>
      <c r="P4828" s="2">
        <v>18182.22</v>
      </c>
    </row>
    <row r="4829" spans="1:16" outlineLevel="2" x14ac:dyDescent="0.2">
      <c r="A4829" s="5">
        <v>46223</v>
      </c>
      <c r="B4829" s="2">
        <v>161115</v>
      </c>
      <c r="C4829" s="2">
        <v>14</v>
      </c>
      <c r="D4829" s="2" t="s">
        <v>45</v>
      </c>
      <c r="E4829" s="2" t="s">
        <v>650</v>
      </c>
      <c r="F4829" s="2" t="s">
        <v>289</v>
      </c>
      <c r="G4829" s="2" t="s">
        <v>22</v>
      </c>
      <c r="H4829" s="2" t="s">
        <v>23</v>
      </c>
      <c r="I4829" s="2" t="s">
        <v>23</v>
      </c>
      <c r="J4829" s="2">
        <v>41</v>
      </c>
      <c r="K4829" s="2" t="s">
        <v>129</v>
      </c>
      <c r="L4829" s="2">
        <v>801</v>
      </c>
      <c r="M4829" s="2" t="s">
        <v>56</v>
      </c>
      <c r="N4829" s="2">
        <v>48</v>
      </c>
      <c r="O4829" s="2">
        <v>814750.93</v>
      </c>
      <c r="P4829" s="2">
        <v>16973.98</v>
      </c>
    </row>
    <row r="4830" spans="1:16" outlineLevel="1" x14ac:dyDescent="0.2">
      <c r="A4830" s="5"/>
      <c r="D4830" s="3" t="s">
        <v>733</v>
      </c>
      <c r="N4830" s="2">
        <f>SUBTOTAL(9,N4827:N4829)</f>
        <v>144</v>
      </c>
      <c r="O4830" s="2">
        <f>SUBTOTAL(9,O4827:O4829)</f>
        <v>2802157.61</v>
      </c>
      <c r="P4830" s="2">
        <f>+O4830/N4830</f>
        <v>19459.427847222221</v>
      </c>
    </row>
    <row r="4831" spans="1:16" outlineLevel="2" x14ac:dyDescent="0.2">
      <c r="A4831" s="5">
        <v>46223</v>
      </c>
      <c r="B4831" s="2">
        <v>161115</v>
      </c>
      <c r="C4831" s="2">
        <v>20</v>
      </c>
      <c r="D4831" s="2" t="s">
        <v>226</v>
      </c>
      <c r="E4831" s="2" t="s">
        <v>586</v>
      </c>
      <c r="F4831" s="2" t="s">
        <v>289</v>
      </c>
      <c r="G4831" s="2" t="s">
        <v>22</v>
      </c>
      <c r="H4831" s="2" t="s">
        <v>23</v>
      </c>
      <c r="I4831" s="2" t="s">
        <v>23</v>
      </c>
      <c r="J4831" s="2">
        <v>41</v>
      </c>
      <c r="K4831" s="2" t="s">
        <v>129</v>
      </c>
      <c r="L4831" s="2">
        <v>801</v>
      </c>
      <c r="M4831" s="2" t="s">
        <v>56</v>
      </c>
      <c r="N4831" s="2">
        <v>13</v>
      </c>
      <c r="O4831" s="2">
        <v>263037.58</v>
      </c>
      <c r="P4831" s="2">
        <v>20233.66</v>
      </c>
    </row>
    <row r="4832" spans="1:16" outlineLevel="2" x14ac:dyDescent="0.2">
      <c r="A4832" s="5">
        <v>46223</v>
      </c>
      <c r="B4832" s="2">
        <v>161115</v>
      </c>
      <c r="C4832" s="2">
        <v>22</v>
      </c>
      <c r="D4832" s="2" t="s">
        <v>226</v>
      </c>
      <c r="E4832" s="2" t="s">
        <v>544</v>
      </c>
      <c r="F4832" s="2" t="s">
        <v>289</v>
      </c>
      <c r="G4832" s="2" t="s">
        <v>22</v>
      </c>
      <c r="H4832" s="2" t="s">
        <v>23</v>
      </c>
      <c r="I4832" s="2" t="s">
        <v>23</v>
      </c>
      <c r="J4832" s="2">
        <v>41</v>
      </c>
      <c r="K4832" s="2" t="s">
        <v>129</v>
      </c>
      <c r="L4832" s="2">
        <v>801</v>
      </c>
      <c r="M4832" s="2" t="s">
        <v>56</v>
      </c>
      <c r="N4832" s="2">
        <v>49</v>
      </c>
      <c r="O4832" s="2">
        <v>1086330.58</v>
      </c>
      <c r="P4832" s="2">
        <v>22170.01</v>
      </c>
    </row>
    <row r="4833" spans="1:16" outlineLevel="2" x14ac:dyDescent="0.2">
      <c r="A4833" s="5">
        <v>46223</v>
      </c>
      <c r="B4833" s="2">
        <v>161115</v>
      </c>
      <c r="C4833" s="2">
        <v>25</v>
      </c>
      <c r="D4833" s="2" t="s">
        <v>226</v>
      </c>
      <c r="E4833" s="2" t="s">
        <v>651</v>
      </c>
      <c r="F4833" s="2" t="s">
        <v>289</v>
      </c>
      <c r="G4833" s="2" t="s">
        <v>22</v>
      </c>
      <c r="H4833" s="2" t="s">
        <v>23</v>
      </c>
      <c r="I4833" s="2" t="s">
        <v>23</v>
      </c>
      <c r="J4833" s="2">
        <v>41</v>
      </c>
      <c r="K4833" s="2" t="s">
        <v>129</v>
      </c>
      <c r="L4833" s="2">
        <v>801</v>
      </c>
      <c r="M4833" s="2" t="s">
        <v>56</v>
      </c>
      <c r="N4833" s="2">
        <v>35</v>
      </c>
      <c r="O4833" s="2">
        <v>892998.92</v>
      </c>
      <c r="P4833" s="2">
        <v>25514.25</v>
      </c>
    </row>
    <row r="4834" spans="1:16" outlineLevel="1" x14ac:dyDescent="0.2">
      <c r="A4834" s="5"/>
      <c r="D4834" s="3" t="s">
        <v>736</v>
      </c>
      <c r="N4834" s="2">
        <f>SUBTOTAL(9,N4831:N4833)</f>
        <v>97</v>
      </c>
      <c r="O4834" s="2">
        <f>SUBTOTAL(9,O4831:O4833)</f>
        <v>2242367.08</v>
      </c>
      <c r="P4834" s="2">
        <f>+O4834/N4834</f>
        <v>23117.186391752577</v>
      </c>
    </row>
    <row r="4835" spans="1:16" outlineLevel="2" x14ac:dyDescent="0.2">
      <c r="A4835" s="5">
        <v>46223</v>
      </c>
      <c r="B4835" s="2">
        <v>161115</v>
      </c>
      <c r="C4835" s="2">
        <v>27</v>
      </c>
      <c r="D4835" s="2" t="s">
        <v>45</v>
      </c>
      <c r="E4835" s="2" t="s">
        <v>46</v>
      </c>
      <c r="F4835" s="2" t="s">
        <v>289</v>
      </c>
      <c r="G4835" s="2" t="s">
        <v>22</v>
      </c>
      <c r="H4835" s="2" t="s">
        <v>23</v>
      </c>
      <c r="I4835" s="2" t="s">
        <v>23</v>
      </c>
      <c r="J4835" s="2">
        <v>2</v>
      </c>
      <c r="K4835" s="2" t="s">
        <v>48</v>
      </c>
      <c r="L4835" s="2">
        <v>801</v>
      </c>
      <c r="M4835" s="2" t="s">
        <v>56</v>
      </c>
      <c r="N4835" s="2">
        <v>2</v>
      </c>
      <c r="O4835" s="2">
        <v>27399.16</v>
      </c>
      <c r="P4835" s="2">
        <v>13699.58</v>
      </c>
    </row>
    <row r="4836" spans="1:16" outlineLevel="1" x14ac:dyDescent="0.2">
      <c r="A4836" s="5"/>
      <c r="D4836" s="3" t="s">
        <v>733</v>
      </c>
      <c r="N4836" s="2">
        <f>SUBTOTAL(9,N4835:N4835)</f>
        <v>2</v>
      </c>
      <c r="O4836" s="2">
        <f>SUBTOTAL(9,O4835:O4835)</f>
        <v>27399.16</v>
      </c>
      <c r="P4836" s="2">
        <f>+O4836/N4836</f>
        <v>13699.58</v>
      </c>
    </row>
    <row r="4837" spans="1:16" outlineLevel="2" x14ac:dyDescent="0.2">
      <c r="A4837" s="5">
        <v>46223</v>
      </c>
      <c r="B4837" s="2">
        <v>161115</v>
      </c>
      <c r="C4837" s="2">
        <v>29</v>
      </c>
      <c r="D4837" s="2" t="s">
        <v>226</v>
      </c>
      <c r="E4837" s="2" t="s">
        <v>83</v>
      </c>
      <c r="F4837" s="2" t="s">
        <v>289</v>
      </c>
      <c r="G4837" s="2" t="s">
        <v>22</v>
      </c>
      <c r="H4837" s="2" t="s">
        <v>23</v>
      </c>
      <c r="I4837" s="2" t="s">
        <v>23</v>
      </c>
      <c r="J4837" s="2">
        <v>41</v>
      </c>
      <c r="K4837" s="2" t="s">
        <v>129</v>
      </c>
      <c r="L4837" s="2">
        <v>801</v>
      </c>
      <c r="M4837" s="2" t="s">
        <v>56</v>
      </c>
      <c r="N4837" s="2">
        <v>32</v>
      </c>
      <c r="O4837" s="2">
        <v>737361.78</v>
      </c>
      <c r="P4837" s="2">
        <v>23042.560000000001</v>
      </c>
    </row>
    <row r="4838" spans="1:16" outlineLevel="2" x14ac:dyDescent="0.2">
      <c r="A4838" s="5">
        <v>46223</v>
      </c>
      <c r="B4838" s="2">
        <v>161115</v>
      </c>
      <c r="C4838" s="2">
        <v>32</v>
      </c>
      <c r="D4838" s="2" t="s">
        <v>226</v>
      </c>
      <c r="E4838" s="2" t="s">
        <v>151</v>
      </c>
      <c r="F4838" s="2" t="s">
        <v>289</v>
      </c>
      <c r="G4838" s="2" t="s">
        <v>22</v>
      </c>
      <c r="H4838" s="2" t="s">
        <v>23</v>
      </c>
      <c r="I4838" s="2" t="s">
        <v>23</v>
      </c>
      <c r="J4838" s="2">
        <v>41</v>
      </c>
      <c r="K4838" s="2" t="s">
        <v>129</v>
      </c>
      <c r="L4838" s="2">
        <v>801</v>
      </c>
      <c r="M4838" s="2" t="s">
        <v>56</v>
      </c>
      <c r="N4838" s="2">
        <v>12</v>
      </c>
      <c r="O4838" s="2">
        <v>173097.93</v>
      </c>
      <c r="P4838" s="2">
        <v>14424.83</v>
      </c>
    </row>
    <row r="4839" spans="1:16" outlineLevel="1" x14ac:dyDescent="0.2">
      <c r="A4839" s="5"/>
      <c r="D4839" s="3" t="s">
        <v>736</v>
      </c>
      <c r="N4839" s="2">
        <f>SUBTOTAL(9,N4837:N4838)</f>
        <v>44</v>
      </c>
      <c r="O4839" s="2">
        <f>SUBTOTAL(9,O4837:O4838)</f>
        <v>910459.71</v>
      </c>
      <c r="P4839" s="2">
        <f>+O4839/N4839</f>
        <v>20692.266136363636</v>
      </c>
    </row>
    <row r="4840" spans="1:16" outlineLevel="2" x14ac:dyDescent="0.2">
      <c r="A4840" s="5">
        <v>46234</v>
      </c>
      <c r="B4840" s="2">
        <v>161115</v>
      </c>
      <c r="C4840" s="2">
        <v>319</v>
      </c>
      <c r="D4840" s="2" t="s">
        <v>54</v>
      </c>
      <c r="E4840" s="2" t="s">
        <v>30</v>
      </c>
      <c r="F4840" s="2" t="s">
        <v>289</v>
      </c>
      <c r="G4840" s="2" t="s">
        <v>22</v>
      </c>
      <c r="H4840" s="2" t="s">
        <v>23</v>
      </c>
      <c r="I4840" s="2" t="s">
        <v>23</v>
      </c>
      <c r="J4840" s="2">
        <v>2</v>
      </c>
      <c r="K4840" s="2" t="s">
        <v>48</v>
      </c>
      <c r="L4840" s="2">
        <v>801</v>
      </c>
      <c r="M4840" s="2" t="s">
        <v>56</v>
      </c>
      <c r="N4840" s="2">
        <v>6</v>
      </c>
      <c r="O4840" s="2">
        <v>26191.14</v>
      </c>
      <c r="P4840" s="2">
        <v>4365.1899999999996</v>
      </c>
    </row>
    <row r="4841" spans="1:16" outlineLevel="1" x14ac:dyDescent="0.2">
      <c r="A4841" s="5"/>
      <c r="D4841" s="3" t="s">
        <v>719</v>
      </c>
      <c r="N4841" s="2">
        <f>SUBTOTAL(9,N4840:N4840)</f>
        <v>6</v>
      </c>
      <c r="O4841" s="2">
        <f>SUBTOTAL(9,O4840:O4840)</f>
        <v>26191.14</v>
      </c>
      <c r="P4841" s="2">
        <f>+O4841/N4841</f>
        <v>4365.1899999999996</v>
      </c>
    </row>
    <row r="4842" spans="1:16" outlineLevel="2" x14ac:dyDescent="0.2">
      <c r="A4842" s="5">
        <v>46232</v>
      </c>
      <c r="B4842" s="2">
        <v>161120</v>
      </c>
      <c r="C4842" s="2">
        <v>2</v>
      </c>
      <c r="D4842" s="2" t="s">
        <v>404</v>
      </c>
      <c r="E4842" s="2" t="s">
        <v>23</v>
      </c>
      <c r="F4842" s="2" t="s">
        <v>405</v>
      </c>
      <c r="G4842" s="2" t="s">
        <v>22</v>
      </c>
      <c r="H4842" s="2" t="s">
        <v>23</v>
      </c>
      <c r="I4842" s="2" t="s">
        <v>23</v>
      </c>
      <c r="J4842" s="2">
        <v>86</v>
      </c>
      <c r="K4842" s="2" t="s">
        <v>73</v>
      </c>
      <c r="L4842" s="2">
        <v>1795</v>
      </c>
      <c r="M4842" s="2" t="s">
        <v>506</v>
      </c>
      <c r="N4842" s="2">
        <v>6</v>
      </c>
      <c r="O4842" s="2">
        <v>58861.53</v>
      </c>
      <c r="P4842" s="2">
        <v>9810.25</v>
      </c>
    </row>
    <row r="4843" spans="1:16" outlineLevel="1" x14ac:dyDescent="0.2">
      <c r="A4843" s="5"/>
      <c r="D4843" s="3" t="s">
        <v>769</v>
      </c>
      <c r="N4843" s="2">
        <f>SUBTOTAL(9,N4842:N4842)</f>
        <v>6</v>
      </c>
      <c r="O4843" s="2">
        <f>SUBTOTAL(9,O4842:O4842)</f>
        <v>58861.53</v>
      </c>
      <c r="P4843" s="2">
        <f>+O4843/N4843</f>
        <v>9810.2549999999992</v>
      </c>
    </row>
    <row r="4844" spans="1:16" outlineLevel="2" x14ac:dyDescent="0.2">
      <c r="A4844" s="5">
        <v>46239</v>
      </c>
      <c r="B4844" s="2">
        <v>161122</v>
      </c>
      <c r="C4844" s="2">
        <v>1</v>
      </c>
      <c r="D4844" s="2" t="s">
        <v>38</v>
      </c>
      <c r="E4844" s="2" t="s">
        <v>39</v>
      </c>
      <c r="F4844" s="2" t="s">
        <v>52</v>
      </c>
      <c r="G4844" s="2" t="s">
        <v>22</v>
      </c>
      <c r="H4844" s="2" t="s">
        <v>23</v>
      </c>
      <c r="I4844" s="2" t="s">
        <v>23</v>
      </c>
      <c r="J4844" s="2">
        <v>1</v>
      </c>
      <c r="K4844" s="2" t="s">
        <v>24</v>
      </c>
      <c r="L4844" s="2">
        <v>206</v>
      </c>
      <c r="M4844" s="2" t="s">
        <v>516</v>
      </c>
      <c r="N4844" s="2">
        <v>69</v>
      </c>
      <c r="O4844" s="2">
        <v>933748.31</v>
      </c>
      <c r="P4844" s="2">
        <v>13532.58</v>
      </c>
    </row>
    <row r="4845" spans="1:16" outlineLevel="2" x14ac:dyDescent="0.2">
      <c r="A4845" s="5">
        <v>46237</v>
      </c>
      <c r="B4845" s="2">
        <v>161122</v>
      </c>
      <c r="C4845" s="2">
        <v>2</v>
      </c>
      <c r="D4845" s="2" t="s">
        <v>38</v>
      </c>
      <c r="E4845" s="2" t="s">
        <v>39</v>
      </c>
      <c r="F4845" s="2" t="s">
        <v>52</v>
      </c>
      <c r="G4845" s="2" t="s">
        <v>22</v>
      </c>
      <c r="H4845" s="2" t="s">
        <v>23</v>
      </c>
      <c r="I4845" s="2" t="s">
        <v>23</v>
      </c>
      <c r="J4845" s="2">
        <v>1</v>
      </c>
      <c r="K4845" s="2" t="s">
        <v>24</v>
      </c>
      <c r="L4845" s="2">
        <v>206</v>
      </c>
      <c r="M4845" s="2" t="s">
        <v>516</v>
      </c>
      <c r="N4845" s="2">
        <v>47</v>
      </c>
      <c r="O4845" s="2">
        <v>781653.38</v>
      </c>
      <c r="P4845" s="2">
        <v>16630.919999999998</v>
      </c>
    </row>
    <row r="4846" spans="1:16" outlineLevel="1" x14ac:dyDescent="0.2">
      <c r="A4846" s="5"/>
      <c r="D4846" s="3" t="s">
        <v>721</v>
      </c>
      <c r="N4846" s="2">
        <f>SUBTOTAL(9,N4844:N4845)</f>
        <v>116</v>
      </c>
      <c r="O4846" s="2">
        <f>SUBTOTAL(9,O4844:O4845)</f>
        <v>1715401.69</v>
      </c>
      <c r="P4846" s="2">
        <f>+O4846/N4846</f>
        <v>14787.945603448276</v>
      </c>
    </row>
    <row r="4847" spans="1:16" outlineLevel="2" x14ac:dyDescent="0.2">
      <c r="A4847" s="5">
        <v>46230</v>
      </c>
      <c r="B4847" s="2">
        <v>161125</v>
      </c>
      <c r="C4847" s="2">
        <v>1</v>
      </c>
      <c r="D4847" s="2" t="s">
        <v>119</v>
      </c>
      <c r="E4847" s="2" t="s">
        <v>370</v>
      </c>
      <c r="F4847" s="2" t="s">
        <v>627</v>
      </c>
      <c r="G4847" s="2" t="s">
        <v>22</v>
      </c>
      <c r="H4847" s="2" t="s">
        <v>23</v>
      </c>
      <c r="I4847" s="2" t="s">
        <v>561</v>
      </c>
      <c r="J4847" s="2">
        <v>1</v>
      </c>
      <c r="K4847" s="2" t="s">
        <v>24</v>
      </c>
      <c r="L4847" s="2">
        <v>2535</v>
      </c>
      <c r="M4847" s="2" t="s">
        <v>628</v>
      </c>
      <c r="N4847" s="2">
        <v>489</v>
      </c>
      <c r="O4847" s="2">
        <v>23533300.309999999</v>
      </c>
      <c r="P4847" s="2">
        <v>48125.36</v>
      </c>
    </row>
    <row r="4848" spans="1:16" outlineLevel="2" x14ac:dyDescent="0.2">
      <c r="A4848" s="5">
        <v>46251</v>
      </c>
      <c r="B4848" s="2">
        <v>161125</v>
      </c>
      <c r="C4848" s="2">
        <v>3</v>
      </c>
      <c r="D4848" s="2" t="s">
        <v>119</v>
      </c>
      <c r="E4848" s="2" t="s">
        <v>370</v>
      </c>
      <c r="F4848" s="2" t="s">
        <v>627</v>
      </c>
      <c r="G4848" s="2" t="s">
        <v>22</v>
      </c>
      <c r="H4848" s="2" t="s">
        <v>23</v>
      </c>
      <c r="I4848" s="2" t="s">
        <v>513</v>
      </c>
      <c r="J4848" s="2">
        <v>1</v>
      </c>
      <c r="K4848" s="2" t="s">
        <v>24</v>
      </c>
      <c r="L4848" s="2">
        <v>2535</v>
      </c>
      <c r="M4848" s="2" t="s">
        <v>628</v>
      </c>
      <c r="N4848" s="2">
        <v>441</v>
      </c>
      <c r="O4848" s="2">
        <v>21318294.899999999</v>
      </c>
      <c r="P4848" s="2">
        <v>48340.800000000003</v>
      </c>
    </row>
    <row r="4849" spans="1:16" outlineLevel="2" x14ac:dyDescent="0.2">
      <c r="A4849" s="5">
        <v>46246</v>
      </c>
      <c r="B4849" s="2">
        <v>161125</v>
      </c>
      <c r="C4849" s="2">
        <v>4</v>
      </c>
      <c r="D4849" s="2" t="s">
        <v>119</v>
      </c>
      <c r="E4849" s="2" t="s">
        <v>370</v>
      </c>
      <c r="F4849" s="2" t="s">
        <v>627</v>
      </c>
      <c r="G4849" s="2" t="s">
        <v>22</v>
      </c>
      <c r="H4849" s="2" t="s">
        <v>23</v>
      </c>
      <c r="I4849" s="2" t="s">
        <v>652</v>
      </c>
      <c r="J4849" s="2">
        <v>1</v>
      </c>
      <c r="K4849" s="2" t="s">
        <v>24</v>
      </c>
      <c r="L4849" s="2">
        <v>2535</v>
      </c>
      <c r="M4849" s="2" t="s">
        <v>628</v>
      </c>
      <c r="N4849" s="2">
        <v>43</v>
      </c>
      <c r="O4849" s="2">
        <v>1937557.13</v>
      </c>
      <c r="P4849" s="2">
        <v>45059.47</v>
      </c>
    </row>
    <row r="4850" spans="1:16" outlineLevel="1" x14ac:dyDescent="0.2">
      <c r="A4850" s="5"/>
      <c r="D4850" s="3" t="s">
        <v>708</v>
      </c>
      <c r="N4850" s="2">
        <f>SUBTOTAL(9,N4847:N4849)</f>
        <v>973</v>
      </c>
      <c r="O4850" s="2">
        <f>SUBTOTAL(9,O4847:O4849)</f>
        <v>46789152.339999996</v>
      </c>
      <c r="P4850" s="2">
        <f>+O4850/N4850</f>
        <v>48087.515251798555</v>
      </c>
    </row>
    <row r="4851" spans="1:16" outlineLevel="2" x14ac:dyDescent="0.2">
      <c r="A4851" s="5">
        <v>46225</v>
      </c>
      <c r="B4851" s="2">
        <v>161127</v>
      </c>
      <c r="C4851" s="2">
        <v>3</v>
      </c>
      <c r="D4851" s="2" t="s">
        <v>45</v>
      </c>
      <c r="E4851" s="2" t="s">
        <v>125</v>
      </c>
      <c r="F4851" s="2" t="s">
        <v>289</v>
      </c>
      <c r="G4851" s="2" t="s">
        <v>22</v>
      </c>
      <c r="H4851" s="2" t="s">
        <v>23</v>
      </c>
      <c r="I4851" s="2" t="s">
        <v>23</v>
      </c>
      <c r="J4851" s="2">
        <v>2</v>
      </c>
      <c r="K4851" s="2" t="s">
        <v>48</v>
      </c>
      <c r="L4851" s="2">
        <v>106</v>
      </c>
      <c r="M4851" s="2" t="s">
        <v>486</v>
      </c>
      <c r="N4851" s="2">
        <v>168</v>
      </c>
      <c r="O4851" s="2">
        <v>5019705.04</v>
      </c>
      <c r="P4851" s="2">
        <v>29879.200000000001</v>
      </c>
    </row>
    <row r="4852" spans="1:16" outlineLevel="1" x14ac:dyDescent="0.2">
      <c r="A4852" s="5"/>
      <c r="D4852" s="3" t="s">
        <v>733</v>
      </c>
      <c r="N4852" s="2">
        <f>SUBTOTAL(9,N4851:N4851)</f>
        <v>168</v>
      </c>
      <c r="O4852" s="2">
        <f>SUBTOTAL(9,O4851:O4851)</f>
        <v>5019705.04</v>
      </c>
      <c r="P4852" s="2">
        <f>+O4852/N4852</f>
        <v>29879.196666666667</v>
      </c>
    </row>
    <row r="4853" spans="1:16" outlineLevel="2" x14ac:dyDescent="0.2">
      <c r="A4853" s="5">
        <v>46225</v>
      </c>
      <c r="B4853" s="2">
        <v>161127</v>
      </c>
      <c r="C4853" s="2">
        <v>5</v>
      </c>
      <c r="D4853" s="2" t="s">
        <v>226</v>
      </c>
      <c r="E4853" s="2" t="s">
        <v>585</v>
      </c>
      <c r="F4853" s="2" t="s">
        <v>289</v>
      </c>
      <c r="G4853" s="2" t="s">
        <v>22</v>
      </c>
      <c r="H4853" s="2" t="s">
        <v>23</v>
      </c>
      <c r="I4853" s="2" t="s">
        <v>23</v>
      </c>
      <c r="J4853" s="2">
        <v>2</v>
      </c>
      <c r="K4853" s="2" t="s">
        <v>48</v>
      </c>
      <c r="L4853" s="2">
        <v>106</v>
      </c>
      <c r="M4853" s="2" t="s">
        <v>486</v>
      </c>
      <c r="N4853" s="2">
        <v>24</v>
      </c>
      <c r="O4853" s="2">
        <v>392565.8</v>
      </c>
      <c r="P4853" s="2">
        <v>16356.91</v>
      </c>
    </row>
    <row r="4854" spans="1:16" outlineLevel="1" x14ac:dyDescent="0.2">
      <c r="A4854" s="5"/>
      <c r="D4854" s="3" t="s">
        <v>736</v>
      </c>
      <c r="N4854" s="2">
        <f>SUBTOTAL(9,N4853:N4853)</f>
        <v>24</v>
      </c>
      <c r="O4854" s="2">
        <f>SUBTOTAL(9,O4853:O4853)</f>
        <v>392565.8</v>
      </c>
      <c r="P4854" s="2">
        <f>+O4854/N4854</f>
        <v>16356.908333333333</v>
      </c>
    </row>
    <row r="4855" spans="1:16" outlineLevel="2" x14ac:dyDescent="0.2">
      <c r="A4855" s="5">
        <v>46225</v>
      </c>
      <c r="B4855" s="2">
        <v>161132</v>
      </c>
      <c r="C4855" s="2">
        <v>3</v>
      </c>
      <c r="D4855" s="2" t="s">
        <v>45</v>
      </c>
      <c r="E4855" s="2" t="s">
        <v>650</v>
      </c>
      <c r="F4855" s="2" t="s">
        <v>289</v>
      </c>
      <c r="G4855" s="2" t="s">
        <v>22</v>
      </c>
      <c r="H4855" s="2" t="s">
        <v>23</v>
      </c>
      <c r="I4855" s="2" t="s">
        <v>23</v>
      </c>
      <c r="J4855" s="2">
        <v>41</v>
      </c>
      <c r="K4855" s="2" t="s">
        <v>129</v>
      </c>
      <c r="L4855" s="2">
        <v>801</v>
      </c>
      <c r="M4855" s="2" t="s">
        <v>56</v>
      </c>
      <c r="N4855" s="2">
        <v>21</v>
      </c>
      <c r="O4855" s="2">
        <v>369645.87</v>
      </c>
      <c r="P4855" s="2">
        <v>17602.18</v>
      </c>
    </row>
    <row r="4856" spans="1:16" outlineLevel="2" x14ac:dyDescent="0.2">
      <c r="A4856" s="5">
        <v>46225</v>
      </c>
      <c r="B4856" s="2">
        <v>161132</v>
      </c>
      <c r="C4856" s="2">
        <v>6</v>
      </c>
      <c r="D4856" s="2" t="s">
        <v>45</v>
      </c>
      <c r="E4856" s="2" t="s">
        <v>558</v>
      </c>
      <c r="F4856" s="2" t="s">
        <v>289</v>
      </c>
      <c r="G4856" s="2" t="s">
        <v>22</v>
      </c>
      <c r="H4856" s="2" t="s">
        <v>23</v>
      </c>
      <c r="I4856" s="2" t="s">
        <v>23</v>
      </c>
      <c r="J4856" s="2">
        <v>2</v>
      </c>
      <c r="K4856" s="2" t="s">
        <v>48</v>
      </c>
      <c r="L4856" s="2">
        <v>801</v>
      </c>
      <c r="M4856" s="2" t="s">
        <v>56</v>
      </c>
      <c r="N4856" s="2">
        <v>28</v>
      </c>
      <c r="O4856" s="2">
        <v>433298.57</v>
      </c>
      <c r="P4856" s="2">
        <v>15474.95</v>
      </c>
    </row>
    <row r="4857" spans="1:16" outlineLevel="1" x14ac:dyDescent="0.2">
      <c r="A4857" s="5"/>
      <c r="D4857" s="3" t="s">
        <v>733</v>
      </c>
      <c r="N4857" s="2">
        <f>SUBTOTAL(9,N4855:N4856)</f>
        <v>49</v>
      </c>
      <c r="O4857" s="2">
        <f>SUBTOTAL(9,O4855:O4856)</f>
        <v>802944.44</v>
      </c>
      <c r="P4857" s="2">
        <f>+O4857/N4857</f>
        <v>16386.621224489794</v>
      </c>
    </row>
    <row r="4858" spans="1:16" outlineLevel="2" x14ac:dyDescent="0.2">
      <c r="A4858" s="5">
        <v>46225</v>
      </c>
      <c r="B4858" s="2">
        <v>161132</v>
      </c>
      <c r="C4858" s="2">
        <v>8</v>
      </c>
      <c r="D4858" s="2" t="s">
        <v>226</v>
      </c>
      <c r="E4858" s="2" t="s">
        <v>544</v>
      </c>
      <c r="F4858" s="2" t="s">
        <v>289</v>
      </c>
      <c r="G4858" s="2" t="s">
        <v>22</v>
      </c>
      <c r="H4858" s="2" t="s">
        <v>23</v>
      </c>
      <c r="I4858" s="2" t="s">
        <v>23</v>
      </c>
      <c r="J4858" s="2">
        <v>41</v>
      </c>
      <c r="K4858" s="2" t="s">
        <v>129</v>
      </c>
      <c r="L4858" s="2">
        <v>801</v>
      </c>
      <c r="M4858" s="2" t="s">
        <v>56</v>
      </c>
      <c r="N4858" s="2">
        <v>8</v>
      </c>
      <c r="O4858" s="2">
        <v>148801.12</v>
      </c>
      <c r="P4858" s="2">
        <v>18600.14</v>
      </c>
    </row>
    <row r="4859" spans="1:16" outlineLevel="2" x14ac:dyDescent="0.2">
      <c r="A4859" s="5">
        <v>46225</v>
      </c>
      <c r="B4859" s="2">
        <v>161132</v>
      </c>
      <c r="C4859" s="2">
        <v>9</v>
      </c>
      <c r="D4859" s="2" t="s">
        <v>226</v>
      </c>
      <c r="E4859" s="2" t="s">
        <v>651</v>
      </c>
      <c r="F4859" s="2" t="s">
        <v>289</v>
      </c>
      <c r="G4859" s="2" t="s">
        <v>22</v>
      </c>
      <c r="H4859" s="2" t="s">
        <v>23</v>
      </c>
      <c r="I4859" s="2" t="s">
        <v>23</v>
      </c>
      <c r="J4859" s="2">
        <v>41</v>
      </c>
      <c r="K4859" s="2" t="s">
        <v>129</v>
      </c>
      <c r="L4859" s="2">
        <v>801</v>
      </c>
      <c r="M4859" s="2" t="s">
        <v>56</v>
      </c>
      <c r="N4859" s="2">
        <v>43</v>
      </c>
      <c r="O4859" s="2">
        <v>1098739.77</v>
      </c>
      <c r="P4859" s="2">
        <v>25552.09</v>
      </c>
    </row>
    <row r="4860" spans="1:16" outlineLevel="2" x14ac:dyDescent="0.2">
      <c r="A4860" s="5">
        <v>46225</v>
      </c>
      <c r="B4860" s="2">
        <v>161132</v>
      </c>
      <c r="C4860" s="2">
        <v>11</v>
      </c>
      <c r="D4860" s="2" t="s">
        <v>226</v>
      </c>
      <c r="E4860" s="2" t="s">
        <v>586</v>
      </c>
      <c r="F4860" s="2" t="s">
        <v>289</v>
      </c>
      <c r="G4860" s="2" t="s">
        <v>22</v>
      </c>
      <c r="H4860" s="2" t="s">
        <v>23</v>
      </c>
      <c r="I4860" s="2" t="s">
        <v>23</v>
      </c>
      <c r="J4860" s="2">
        <v>41</v>
      </c>
      <c r="K4860" s="2" t="s">
        <v>129</v>
      </c>
      <c r="L4860" s="2">
        <v>801</v>
      </c>
      <c r="M4860" s="2" t="s">
        <v>56</v>
      </c>
      <c r="N4860" s="2">
        <v>24</v>
      </c>
      <c r="O4860" s="2">
        <v>501146.88</v>
      </c>
      <c r="P4860" s="2">
        <v>20881.12</v>
      </c>
    </row>
    <row r="4861" spans="1:16" outlineLevel="1" x14ac:dyDescent="0.2">
      <c r="A4861" s="5"/>
      <c r="D4861" s="3" t="s">
        <v>736</v>
      </c>
      <c r="N4861" s="2">
        <f>SUBTOTAL(9,N4858:N4860)</f>
        <v>75</v>
      </c>
      <c r="O4861" s="2">
        <f>SUBTOTAL(9,O4858:O4860)</f>
        <v>1748687.77</v>
      </c>
      <c r="P4861" s="2">
        <f>+O4861/N4861</f>
        <v>23315.836933333332</v>
      </c>
    </row>
    <row r="4862" spans="1:16" outlineLevel="2" x14ac:dyDescent="0.2">
      <c r="A4862" s="5">
        <v>46234</v>
      </c>
      <c r="B4862" s="2">
        <v>161132</v>
      </c>
      <c r="C4862" s="2">
        <v>309</v>
      </c>
      <c r="D4862" s="2" t="s">
        <v>45</v>
      </c>
      <c r="E4862" s="2" t="s">
        <v>228</v>
      </c>
      <c r="F4862" s="2" t="s">
        <v>289</v>
      </c>
      <c r="G4862" s="2" t="s">
        <v>23</v>
      </c>
      <c r="H4862" s="2" t="s">
        <v>23</v>
      </c>
      <c r="I4862" s="2" t="s">
        <v>23</v>
      </c>
      <c r="J4862" s="2">
        <v>2</v>
      </c>
      <c r="K4862" s="2" t="s">
        <v>48</v>
      </c>
      <c r="L4862" s="2">
        <v>801</v>
      </c>
      <c r="M4862" s="2" t="s">
        <v>56</v>
      </c>
      <c r="N4862" s="2">
        <v>1</v>
      </c>
      <c r="O4862" s="2">
        <v>5290.63</v>
      </c>
      <c r="P4862" s="2">
        <v>5290.63</v>
      </c>
    </row>
    <row r="4863" spans="1:16" outlineLevel="2" x14ac:dyDescent="0.2">
      <c r="A4863" s="5">
        <v>46234</v>
      </c>
      <c r="B4863" s="2">
        <v>161132</v>
      </c>
      <c r="C4863" s="2">
        <v>313</v>
      </c>
      <c r="D4863" s="2" t="s">
        <v>45</v>
      </c>
      <c r="E4863" s="2" t="s">
        <v>228</v>
      </c>
      <c r="F4863" s="2" t="s">
        <v>289</v>
      </c>
      <c r="G4863" s="2" t="s">
        <v>22</v>
      </c>
      <c r="H4863" s="2" t="s">
        <v>23</v>
      </c>
      <c r="I4863" s="2" t="s">
        <v>23</v>
      </c>
      <c r="J4863" s="2">
        <v>2</v>
      </c>
      <c r="K4863" s="2" t="s">
        <v>48</v>
      </c>
      <c r="L4863" s="2">
        <v>801</v>
      </c>
      <c r="M4863" s="2" t="s">
        <v>56</v>
      </c>
      <c r="N4863" s="2">
        <v>3</v>
      </c>
      <c r="O4863" s="2">
        <v>17754.77</v>
      </c>
      <c r="P4863" s="2">
        <v>5918.26</v>
      </c>
    </row>
    <row r="4864" spans="1:16" outlineLevel="2" x14ac:dyDescent="0.2">
      <c r="A4864" s="5">
        <v>46234</v>
      </c>
      <c r="B4864" s="2">
        <v>161132</v>
      </c>
      <c r="C4864" s="2">
        <v>315</v>
      </c>
      <c r="D4864" s="2" t="s">
        <v>45</v>
      </c>
      <c r="E4864" s="2" t="s">
        <v>228</v>
      </c>
      <c r="F4864" s="2" t="s">
        <v>289</v>
      </c>
      <c r="G4864" s="2" t="s">
        <v>23</v>
      </c>
      <c r="H4864" s="2" t="s">
        <v>23</v>
      </c>
      <c r="I4864" s="2" t="s">
        <v>23</v>
      </c>
      <c r="J4864" s="2">
        <v>2</v>
      </c>
      <c r="K4864" s="2" t="s">
        <v>48</v>
      </c>
      <c r="L4864" s="2">
        <v>801</v>
      </c>
      <c r="M4864" s="2" t="s">
        <v>56</v>
      </c>
      <c r="N4864" s="2">
        <v>5</v>
      </c>
      <c r="O4864" s="2">
        <v>45121.93</v>
      </c>
      <c r="P4864" s="2">
        <v>9024.39</v>
      </c>
    </row>
    <row r="4865" spans="1:16" outlineLevel="1" x14ac:dyDescent="0.2">
      <c r="A4865" s="5"/>
      <c r="D4865" s="3" t="s">
        <v>733</v>
      </c>
      <c r="N4865" s="2">
        <f>SUBTOTAL(9,N4862:N4864)</f>
        <v>9</v>
      </c>
      <c r="O4865" s="2">
        <f>SUBTOTAL(9,O4862:O4864)</f>
        <v>68167.33</v>
      </c>
      <c r="P4865" s="2">
        <f>+O4865/N4865</f>
        <v>7574.1477777777782</v>
      </c>
    </row>
    <row r="4866" spans="1:16" outlineLevel="2" x14ac:dyDescent="0.2">
      <c r="A4866" s="5">
        <v>46225</v>
      </c>
      <c r="B4866" s="2">
        <v>161133</v>
      </c>
      <c r="C4866" s="2">
        <v>1</v>
      </c>
      <c r="D4866" s="2" t="s">
        <v>178</v>
      </c>
      <c r="E4866" s="2" t="s">
        <v>179</v>
      </c>
      <c r="F4866" s="2" t="s">
        <v>108</v>
      </c>
      <c r="G4866" s="2" t="s">
        <v>22</v>
      </c>
      <c r="H4866" s="2" t="s">
        <v>23</v>
      </c>
      <c r="I4866" s="2" t="s">
        <v>109</v>
      </c>
      <c r="J4866" s="2">
        <v>1</v>
      </c>
      <c r="K4866" s="2" t="s">
        <v>24</v>
      </c>
      <c r="L4866" s="2">
        <v>1037</v>
      </c>
      <c r="M4866" s="2" t="s">
        <v>181</v>
      </c>
      <c r="N4866" s="2">
        <v>16</v>
      </c>
      <c r="O4866" s="2">
        <v>911804.96</v>
      </c>
      <c r="P4866" s="2">
        <v>56987.81</v>
      </c>
    </row>
    <row r="4867" spans="1:16" outlineLevel="2" x14ac:dyDescent="0.2">
      <c r="A4867" s="5">
        <v>46225</v>
      </c>
      <c r="B4867" s="2">
        <v>161133</v>
      </c>
      <c r="C4867" s="2">
        <v>2</v>
      </c>
      <c r="D4867" s="2" t="s">
        <v>178</v>
      </c>
      <c r="E4867" s="2" t="s">
        <v>179</v>
      </c>
      <c r="F4867" s="2" t="s">
        <v>108</v>
      </c>
      <c r="G4867" s="2" t="s">
        <v>22</v>
      </c>
      <c r="H4867" s="2" t="s">
        <v>23</v>
      </c>
      <c r="I4867" s="2" t="s">
        <v>101</v>
      </c>
      <c r="J4867" s="2">
        <v>1</v>
      </c>
      <c r="K4867" s="2" t="s">
        <v>24</v>
      </c>
      <c r="L4867" s="2">
        <v>1037</v>
      </c>
      <c r="M4867" s="2" t="s">
        <v>181</v>
      </c>
      <c r="N4867" s="2">
        <v>105</v>
      </c>
      <c r="O4867" s="2">
        <v>6008435.71</v>
      </c>
      <c r="P4867" s="2">
        <v>57223.199999999997</v>
      </c>
    </row>
    <row r="4868" spans="1:16" outlineLevel="2" x14ac:dyDescent="0.2">
      <c r="A4868" s="5">
        <v>46230</v>
      </c>
      <c r="B4868" s="2">
        <v>161133</v>
      </c>
      <c r="C4868" s="2">
        <v>3</v>
      </c>
      <c r="D4868" s="2" t="s">
        <v>178</v>
      </c>
      <c r="E4868" s="2" t="s">
        <v>179</v>
      </c>
      <c r="F4868" s="2" t="s">
        <v>108</v>
      </c>
      <c r="G4868" s="2" t="s">
        <v>22</v>
      </c>
      <c r="H4868" s="2" t="s">
        <v>23</v>
      </c>
      <c r="I4868" s="2" t="s">
        <v>152</v>
      </c>
      <c r="J4868" s="2">
        <v>1</v>
      </c>
      <c r="K4868" s="2" t="s">
        <v>24</v>
      </c>
      <c r="L4868" s="2">
        <v>1037</v>
      </c>
      <c r="M4868" s="2" t="s">
        <v>181</v>
      </c>
      <c r="N4868" s="2">
        <v>40</v>
      </c>
      <c r="O4868" s="2">
        <v>2209408.44</v>
      </c>
      <c r="P4868" s="2">
        <v>55235.21</v>
      </c>
    </row>
    <row r="4869" spans="1:16" outlineLevel="2" x14ac:dyDescent="0.2">
      <c r="A4869" s="5">
        <v>46230</v>
      </c>
      <c r="B4869" s="2">
        <v>161133</v>
      </c>
      <c r="C4869" s="2">
        <v>4</v>
      </c>
      <c r="D4869" s="2" t="s">
        <v>178</v>
      </c>
      <c r="E4869" s="2" t="s">
        <v>179</v>
      </c>
      <c r="F4869" s="2" t="s">
        <v>108</v>
      </c>
      <c r="G4869" s="2" t="s">
        <v>22</v>
      </c>
      <c r="H4869" s="2" t="s">
        <v>23</v>
      </c>
      <c r="I4869" s="2" t="s">
        <v>154</v>
      </c>
      <c r="J4869" s="2">
        <v>1</v>
      </c>
      <c r="K4869" s="2" t="s">
        <v>24</v>
      </c>
      <c r="L4869" s="2">
        <v>1037</v>
      </c>
      <c r="M4869" s="2" t="s">
        <v>181</v>
      </c>
      <c r="N4869" s="2">
        <v>8</v>
      </c>
      <c r="O4869" s="2">
        <v>479238.42</v>
      </c>
      <c r="P4869" s="2">
        <v>59904.800000000003</v>
      </c>
    </row>
    <row r="4870" spans="1:16" outlineLevel="1" x14ac:dyDescent="0.2">
      <c r="A4870" s="5"/>
      <c r="D4870" s="3" t="s">
        <v>730</v>
      </c>
      <c r="N4870" s="2">
        <f>SUBTOTAL(9,N4866:N4869)</f>
        <v>169</v>
      </c>
      <c r="O4870" s="2">
        <f>SUBTOTAL(9,O4866:O4869)</f>
        <v>9608887.5299999993</v>
      </c>
      <c r="P4870" s="2">
        <f>+O4870/N4870</f>
        <v>56857.32266272189</v>
      </c>
    </row>
    <row r="4871" spans="1:16" outlineLevel="2" x14ac:dyDescent="0.2">
      <c r="A4871" s="5">
        <v>46246</v>
      </c>
      <c r="B4871" s="2">
        <v>161138</v>
      </c>
      <c r="C4871" s="2">
        <v>1</v>
      </c>
      <c r="D4871" s="2" t="s">
        <v>160</v>
      </c>
      <c r="E4871" s="2" t="s">
        <v>222</v>
      </c>
      <c r="F4871" s="2" t="s">
        <v>40</v>
      </c>
      <c r="G4871" s="2" t="s">
        <v>22</v>
      </c>
      <c r="H4871" s="2" t="s">
        <v>23</v>
      </c>
      <c r="I4871" s="2" t="s">
        <v>23</v>
      </c>
      <c r="J4871" s="2">
        <v>1</v>
      </c>
      <c r="K4871" s="2" t="s">
        <v>24</v>
      </c>
      <c r="L4871" s="2">
        <v>2521</v>
      </c>
      <c r="M4871" s="2" t="s">
        <v>82</v>
      </c>
      <c r="N4871" s="2">
        <v>217</v>
      </c>
      <c r="O4871" s="2">
        <v>3924341.63</v>
      </c>
      <c r="P4871" s="2">
        <v>18084.52</v>
      </c>
    </row>
    <row r="4872" spans="1:16" outlineLevel="1" x14ac:dyDescent="0.2">
      <c r="A4872" s="5"/>
      <c r="D4872" s="3" t="s">
        <v>709</v>
      </c>
      <c r="N4872" s="2">
        <f>SUBTOTAL(9,N4871:N4871)</f>
        <v>217</v>
      </c>
      <c r="O4872" s="2">
        <f>SUBTOTAL(9,O4871:O4871)</f>
        <v>3924341.63</v>
      </c>
      <c r="P4872" s="2">
        <f>+O4872/N4872</f>
        <v>18084.523640552994</v>
      </c>
    </row>
    <row r="4873" spans="1:16" outlineLevel="2" x14ac:dyDescent="0.2">
      <c r="A4873" s="5">
        <v>46230</v>
      </c>
      <c r="B4873" s="2">
        <v>161138</v>
      </c>
      <c r="C4873" s="2">
        <v>2</v>
      </c>
      <c r="D4873" s="2" t="s">
        <v>131</v>
      </c>
      <c r="E4873" s="2" t="s">
        <v>132</v>
      </c>
      <c r="F4873" s="2" t="s">
        <v>40</v>
      </c>
      <c r="G4873" s="2" t="s">
        <v>22</v>
      </c>
      <c r="H4873" s="2" t="s">
        <v>23</v>
      </c>
      <c r="I4873" s="2" t="s">
        <v>23</v>
      </c>
      <c r="J4873" s="2">
        <v>1</v>
      </c>
      <c r="K4873" s="2" t="s">
        <v>24</v>
      </c>
      <c r="L4873" s="2">
        <v>2521</v>
      </c>
      <c r="M4873" s="2" t="s">
        <v>82</v>
      </c>
      <c r="N4873" s="2">
        <v>260</v>
      </c>
      <c r="O4873" s="2">
        <v>9427807.4299999997</v>
      </c>
      <c r="P4873" s="2">
        <v>36260.800000000003</v>
      </c>
    </row>
    <row r="4874" spans="1:16" outlineLevel="1" x14ac:dyDescent="0.2">
      <c r="A4874" s="5"/>
      <c r="D4874" s="3" t="s">
        <v>713</v>
      </c>
      <c r="N4874" s="2">
        <f>SUBTOTAL(9,N4873:N4873)</f>
        <v>260</v>
      </c>
      <c r="O4874" s="2">
        <f>SUBTOTAL(9,O4873:O4873)</f>
        <v>9427807.4299999997</v>
      </c>
      <c r="P4874" s="2">
        <f>+O4874/N4874</f>
        <v>36260.79780769231</v>
      </c>
    </row>
    <row r="4875" spans="1:16" outlineLevel="2" x14ac:dyDescent="0.2">
      <c r="A4875" s="5">
        <v>46227</v>
      </c>
      <c r="B4875" s="2">
        <v>161142</v>
      </c>
      <c r="C4875" s="2">
        <v>1</v>
      </c>
      <c r="D4875" s="2" t="s">
        <v>207</v>
      </c>
      <c r="E4875" s="2" t="s">
        <v>23</v>
      </c>
      <c r="F4875" s="2" t="s">
        <v>47</v>
      </c>
      <c r="G4875" s="2" t="s">
        <v>22</v>
      </c>
      <c r="H4875" s="2" t="s">
        <v>208</v>
      </c>
      <c r="I4875" s="2" t="s">
        <v>23</v>
      </c>
      <c r="J4875" s="2">
        <v>41</v>
      </c>
      <c r="K4875" s="2" t="s">
        <v>129</v>
      </c>
      <c r="L4875" s="2">
        <v>25213</v>
      </c>
      <c r="M4875" s="2" t="s">
        <v>130</v>
      </c>
      <c r="N4875" s="2">
        <v>25</v>
      </c>
      <c r="O4875" s="2">
        <v>85793.75</v>
      </c>
      <c r="P4875" s="2">
        <v>3431.75</v>
      </c>
    </row>
    <row r="4876" spans="1:16" outlineLevel="2" x14ac:dyDescent="0.2">
      <c r="A4876" s="5">
        <v>46227</v>
      </c>
      <c r="B4876" s="2">
        <v>161142</v>
      </c>
      <c r="C4876" s="2">
        <v>2</v>
      </c>
      <c r="D4876" s="2" t="s">
        <v>207</v>
      </c>
      <c r="E4876" s="2" t="s">
        <v>23</v>
      </c>
      <c r="F4876" s="2" t="s">
        <v>47</v>
      </c>
      <c r="G4876" s="2" t="s">
        <v>22</v>
      </c>
      <c r="H4876" s="2" t="s">
        <v>209</v>
      </c>
      <c r="I4876" s="2" t="s">
        <v>23</v>
      </c>
      <c r="J4876" s="2">
        <v>41</v>
      </c>
      <c r="K4876" s="2" t="s">
        <v>129</v>
      </c>
      <c r="L4876" s="2">
        <v>25213</v>
      </c>
      <c r="M4876" s="2" t="s">
        <v>130</v>
      </c>
      <c r="N4876" s="2">
        <v>25</v>
      </c>
      <c r="O4876" s="2">
        <v>74966.09</v>
      </c>
      <c r="P4876" s="2">
        <v>2998.64</v>
      </c>
    </row>
    <row r="4877" spans="1:16" outlineLevel="2" x14ac:dyDescent="0.2">
      <c r="A4877" s="5">
        <v>46227</v>
      </c>
      <c r="B4877" s="2">
        <v>161142</v>
      </c>
      <c r="C4877" s="2">
        <v>3</v>
      </c>
      <c r="D4877" s="2" t="s">
        <v>207</v>
      </c>
      <c r="E4877" s="2" t="s">
        <v>23</v>
      </c>
      <c r="F4877" s="2" t="s">
        <v>47</v>
      </c>
      <c r="G4877" s="2" t="s">
        <v>22</v>
      </c>
      <c r="H4877" s="2" t="s">
        <v>23</v>
      </c>
      <c r="I4877" s="2" t="s">
        <v>23</v>
      </c>
      <c r="J4877" s="2">
        <v>1</v>
      </c>
      <c r="K4877" s="2" t="s">
        <v>24</v>
      </c>
      <c r="L4877" s="2">
        <v>25213</v>
      </c>
      <c r="M4877" s="2" t="s">
        <v>130</v>
      </c>
      <c r="N4877" s="2">
        <v>5</v>
      </c>
      <c r="O4877" s="2">
        <v>407940.24</v>
      </c>
      <c r="P4877" s="2">
        <v>81588.05</v>
      </c>
    </row>
    <row r="4878" spans="1:16" outlineLevel="2" x14ac:dyDescent="0.2">
      <c r="A4878" s="5">
        <v>46227</v>
      </c>
      <c r="B4878" s="2">
        <v>161142</v>
      </c>
      <c r="C4878" s="2">
        <v>4</v>
      </c>
      <c r="D4878" s="2" t="s">
        <v>207</v>
      </c>
      <c r="E4878" s="2" t="s">
        <v>23</v>
      </c>
      <c r="F4878" s="2" t="s">
        <v>47</v>
      </c>
      <c r="G4878" s="2" t="s">
        <v>210</v>
      </c>
      <c r="H4878" s="2" t="s">
        <v>23</v>
      </c>
      <c r="I4878" s="2" t="s">
        <v>23</v>
      </c>
      <c r="J4878" s="2">
        <v>1</v>
      </c>
      <c r="K4878" s="2" t="s">
        <v>24</v>
      </c>
      <c r="L4878" s="2">
        <v>25213</v>
      </c>
      <c r="M4878" s="2" t="s">
        <v>130</v>
      </c>
      <c r="N4878" s="2">
        <v>2</v>
      </c>
      <c r="O4878" s="2">
        <v>130077.46</v>
      </c>
      <c r="P4878" s="2">
        <v>65038.73</v>
      </c>
    </row>
    <row r="4879" spans="1:16" outlineLevel="1" x14ac:dyDescent="0.2">
      <c r="A4879" s="5"/>
      <c r="D4879" s="3" t="s">
        <v>699</v>
      </c>
      <c r="N4879" s="2">
        <f>SUBTOTAL(9,N4875:N4878)</f>
        <v>57</v>
      </c>
      <c r="O4879" s="2">
        <f>SUBTOTAL(9,O4875:O4878)</f>
        <v>698777.53999999992</v>
      </c>
      <c r="P4879" s="2">
        <f>+O4879/N4879</f>
        <v>12259.255087719297</v>
      </c>
    </row>
    <row r="4880" spans="1:16" outlineLevel="2" x14ac:dyDescent="0.2">
      <c r="A4880" s="5">
        <v>46227</v>
      </c>
      <c r="B4880" s="2">
        <v>161142</v>
      </c>
      <c r="C4880" s="2">
        <v>5</v>
      </c>
      <c r="D4880" s="2" t="s">
        <v>128</v>
      </c>
      <c r="E4880" s="2" t="s">
        <v>23</v>
      </c>
      <c r="F4880" s="2" t="s">
        <v>47</v>
      </c>
      <c r="G4880" s="2" t="s">
        <v>22</v>
      </c>
      <c r="H4880" s="2" t="s">
        <v>23</v>
      </c>
      <c r="I4880" s="2" t="s">
        <v>23</v>
      </c>
      <c r="J4880" s="2">
        <v>1</v>
      </c>
      <c r="K4880" s="2" t="s">
        <v>24</v>
      </c>
      <c r="L4880" s="2">
        <v>25213</v>
      </c>
      <c r="M4880" s="2" t="s">
        <v>130</v>
      </c>
      <c r="N4880" s="2">
        <v>2</v>
      </c>
      <c r="O4880" s="2">
        <v>182350.02</v>
      </c>
      <c r="P4880" s="2">
        <v>91175.01</v>
      </c>
    </row>
    <row r="4881" spans="1:16" outlineLevel="1" x14ac:dyDescent="0.2">
      <c r="A4881" s="5"/>
      <c r="D4881" s="3" t="s">
        <v>732</v>
      </c>
      <c r="N4881" s="2">
        <f>SUBTOTAL(9,N4880:N4880)</f>
        <v>2</v>
      </c>
      <c r="O4881" s="2">
        <f>SUBTOTAL(9,O4880:O4880)</f>
        <v>182350.02</v>
      </c>
      <c r="P4881" s="2">
        <f>+O4881/N4881</f>
        <v>91175.01</v>
      </c>
    </row>
    <row r="4882" spans="1:16" outlineLevel="2" x14ac:dyDescent="0.2">
      <c r="A4882" s="5">
        <v>46227</v>
      </c>
      <c r="B4882" s="2">
        <v>161143</v>
      </c>
      <c r="C4882" s="2">
        <v>1</v>
      </c>
      <c r="D4882" s="2" t="s">
        <v>140</v>
      </c>
      <c r="E4882" s="2" t="s">
        <v>23</v>
      </c>
      <c r="F4882" s="2" t="s">
        <v>108</v>
      </c>
      <c r="G4882" s="2" t="s">
        <v>22</v>
      </c>
      <c r="H4882" s="2" t="s">
        <v>23</v>
      </c>
      <c r="I4882" s="2" t="s">
        <v>23</v>
      </c>
      <c r="J4882" s="2">
        <v>1</v>
      </c>
      <c r="K4882" s="2" t="s">
        <v>24</v>
      </c>
      <c r="L4882" s="2">
        <v>1503</v>
      </c>
      <c r="M4882" s="2" t="s">
        <v>603</v>
      </c>
      <c r="N4882" s="2">
        <v>55</v>
      </c>
      <c r="O4882" s="2">
        <v>1766508.31</v>
      </c>
      <c r="P4882" s="2">
        <v>32118.33</v>
      </c>
    </row>
    <row r="4883" spans="1:16" outlineLevel="1" x14ac:dyDescent="0.2">
      <c r="A4883" s="5"/>
      <c r="D4883" s="3" t="s">
        <v>696</v>
      </c>
      <c r="N4883" s="2">
        <f>SUBTOTAL(9,N4882:N4882)</f>
        <v>55</v>
      </c>
      <c r="O4883" s="2">
        <f>SUBTOTAL(9,O4882:O4882)</f>
        <v>1766508.31</v>
      </c>
      <c r="P4883" s="2">
        <f>+O4883/N4883</f>
        <v>32118.33290909091</v>
      </c>
    </row>
    <row r="4884" spans="1:16" outlineLevel="2" x14ac:dyDescent="0.2">
      <c r="A4884" s="5">
        <v>46227</v>
      </c>
      <c r="B4884" s="2">
        <v>161144</v>
      </c>
      <c r="C4884" s="2">
        <v>1</v>
      </c>
      <c r="D4884" s="2" t="s">
        <v>19</v>
      </c>
      <c r="E4884" s="2" t="s">
        <v>20</v>
      </c>
      <c r="F4884" s="2" t="s">
        <v>199</v>
      </c>
      <c r="G4884" s="2" t="s">
        <v>22</v>
      </c>
      <c r="H4884" s="2" t="s">
        <v>23</v>
      </c>
      <c r="I4884" s="2" t="s">
        <v>23</v>
      </c>
      <c r="J4884" s="2">
        <v>39</v>
      </c>
      <c r="K4884" s="2" t="s">
        <v>172</v>
      </c>
      <c r="L4884" s="2">
        <v>1</v>
      </c>
      <c r="M4884" s="2" t="s">
        <v>265</v>
      </c>
      <c r="N4884" s="2">
        <v>100</v>
      </c>
      <c r="O4884" s="2">
        <v>625073.88</v>
      </c>
      <c r="P4884" s="2">
        <v>6250.74</v>
      </c>
    </row>
    <row r="4885" spans="1:16" outlineLevel="1" x14ac:dyDescent="0.2">
      <c r="A4885" s="5"/>
      <c r="D4885" s="3" t="s">
        <v>704</v>
      </c>
      <c r="N4885" s="2">
        <f>SUBTOTAL(9,N4884:N4884)</f>
        <v>100</v>
      </c>
      <c r="O4885" s="2">
        <f>SUBTOTAL(9,O4884:O4884)</f>
        <v>625073.88</v>
      </c>
      <c r="P4885" s="2">
        <f>+O4885/N4885</f>
        <v>6250.7388000000001</v>
      </c>
    </row>
    <row r="4886" spans="1:16" outlineLevel="2" x14ac:dyDescent="0.2">
      <c r="A4886" s="5">
        <v>46230</v>
      </c>
      <c r="B4886" s="2">
        <v>161161</v>
      </c>
      <c r="C4886" s="2">
        <v>1</v>
      </c>
      <c r="D4886" s="2" t="s">
        <v>140</v>
      </c>
      <c r="E4886" s="2" t="s">
        <v>23</v>
      </c>
      <c r="F4886" s="2" t="s">
        <v>108</v>
      </c>
      <c r="G4886" s="2" t="s">
        <v>22</v>
      </c>
      <c r="H4886" s="2" t="s">
        <v>23</v>
      </c>
      <c r="I4886" s="2" t="s">
        <v>23</v>
      </c>
      <c r="J4886" s="2">
        <v>1</v>
      </c>
      <c r="K4886" s="2" t="s">
        <v>24</v>
      </c>
      <c r="L4886" s="2">
        <v>1503</v>
      </c>
      <c r="M4886" s="2" t="s">
        <v>603</v>
      </c>
      <c r="N4886" s="2">
        <v>36</v>
      </c>
      <c r="O4886" s="2">
        <v>1334790.1200000001</v>
      </c>
      <c r="P4886" s="2">
        <v>37077.5</v>
      </c>
    </row>
    <row r="4887" spans="1:16" outlineLevel="1" x14ac:dyDescent="0.2">
      <c r="A4887" s="5"/>
      <c r="D4887" s="3" t="s">
        <v>696</v>
      </c>
      <c r="N4887" s="2">
        <f>SUBTOTAL(9,N4886:N4886)</f>
        <v>36</v>
      </c>
      <c r="O4887" s="2">
        <f>SUBTOTAL(9,O4886:O4886)</f>
        <v>1334790.1200000001</v>
      </c>
      <c r="P4887" s="2">
        <f>+O4887/N4887</f>
        <v>37077.503333333334</v>
      </c>
    </row>
    <row r="4888" spans="1:16" outlineLevel="2" x14ac:dyDescent="0.2">
      <c r="A4888" s="5">
        <v>46230</v>
      </c>
      <c r="B4888" s="2">
        <v>161162</v>
      </c>
      <c r="C4888" s="2">
        <v>1</v>
      </c>
      <c r="D4888" s="2" t="s">
        <v>19</v>
      </c>
      <c r="E4888" s="2" t="s">
        <v>20</v>
      </c>
      <c r="F4888" s="2" t="s">
        <v>199</v>
      </c>
      <c r="G4888" s="2" t="s">
        <v>22</v>
      </c>
      <c r="H4888" s="2" t="s">
        <v>23</v>
      </c>
      <c r="I4888" s="2" t="s">
        <v>23</v>
      </c>
      <c r="J4888" s="2">
        <v>39</v>
      </c>
      <c r="K4888" s="2" t="s">
        <v>172</v>
      </c>
      <c r="L4888" s="2">
        <v>1</v>
      </c>
      <c r="M4888" s="2" t="s">
        <v>265</v>
      </c>
      <c r="N4888" s="2">
        <v>60</v>
      </c>
      <c r="O4888" s="2">
        <v>368323.8</v>
      </c>
      <c r="P4888" s="2">
        <v>6138.73</v>
      </c>
    </row>
    <row r="4889" spans="1:16" outlineLevel="1" x14ac:dyDescent="0.2">
      <c r="A4889" s="5"/>
      <c r="D4889" s="3" t="s">
        <v>704</v>
      </c>
      <c r="N4889" s="2">
        <f>SUBTOTAL(9,N4888:N4888)</f>
        <v>60</v>
      </c>
      <c r="O4889" s="2">
        <f>SUBTOTAL(9,O4888:O4888)</f>
        <v>368323.8</v>
      </c>
      <c r="P4889" s="2">
        <f>+O4889/N4889</f>
        <v>6138.73</v>
      </c>
    </row>
    <row r="4890" spans="1:16" outlineLevel="2" x14ac:dyDescent="0.2">
      <c r="A4890" s="5">
        <v>46230</v>
      </c>
      <c r="B4890" s="2">
        <v>161164</v>
      </c>
      <c r="C4890" s="2">
        <v>1</v>
      </c>
      <c r="D4890" s="2" t="s">
        <v>474</v>
      </c>
      <c r="E4890" s="2" t="s">
        <v>475</v>
      </c>
      <c r="F4890" s="2" t="s">
        <v>47</v>
      </c>
      <c r="G4890" s="2" t="s">
        <v>22</v>
      </c>
      <c r="H4890" s="2" t="s">
        <v>23</v>
      </c>
      <c r="I4890" s="2" t="s">
        <v>23</v>
      </c>
      <c r="J4890" s="2">
        <v>41</v>
      </c>
      <c r="K4890" s="2" t="s">
        <v>129</v>
      </c>
      <c r="L4890" s="2">
        <v>2338</v>
      </c>
      <c r="M4890" s="2" t="s">
        <v>417</v>
      </c>
      <c r="N4890" s="2">
        <v>512</v>
      </c>
      <c r="O4890" s="2">
        <v>427009.4</v>
      </c>
      <c r="P4890" s="2">
        <v>834</v>
      </c>
    </row>
    <row r="4891" spans="1:16" outlineLevel="1" x14ac:dyDescent="0.2">
      <c r="A4891" s="5"/>
      <c r="D4891" s="3" t="s">
        <v>780</v>
      </c>
      <c r="N4891" s="2">
        <f>SUBTOTAL(9,N4890:N4890)</f>
        <v>512</v>
      </c>
      <c r="O4891" s="2">
        <f>SUBTOTAL(9,O4890:O4890)</f>
        <v>427009.4</v>
      </c>
      <c r="P4891" s="2">
        <f>+O4891/N4891</f>
        <v>834.00273437500005</v>
      </c>
    </row>
    <row r="4892" spans="1:16" outlineLevel="2" x14ac:dyDescent="0.2">
      <c r="A4892" s="5">
        <v>46230</v>
      </c>
      <c r="B4892" s="2">
        <v>161165</v>
      </c>
      <c r="C4892" s="2">
        <v>1</v>
      </c>
      <c r="D4892" s="2" t="s">
        <v>128</v>
      </c>
      <c r="E4892" s="2" t="s">
        <v>23</v>
      </c>
      <c r="F4892" s="2" t="s">
        <v>47</v>
      </c>
      <c r="G4892" s="2" t="s">
        <v>22</v>
      </c>
      <c r="H4892" s="2" t="s">
        <v>23</v>
      </c>
      <c r="I4892" s="2" t="s">
        <v>23</v>
      </c>
      <c r="J4892" s="2">
        <v>41</v>
      </c>
      <c r="K4892" s="2" t="s">
        <v>129</v>
      </c>
      <c r="L4892" s="2">
        <v>25213</v>
      </c>
      <c r="M4892" s="2" t="s">
        <v>130</v>
      </c>
      <c r="N4892" s="2">
        <v>75</v>
      </c>
      <c r="O4892" s="2">
        <v>272827.18</v>
      </c>
      <c r="P4892" s="2">
        <v>3637.7</v>
      </c>
    </row>
    <row r="4893" spans="1:16" outlineLevel="1" x14ac:dyDescent="0.2">
      <c r="A4893" s="5"/>
      <c r="D4893" s="3" t="s">
        <v>732</v>
      </c>
      <c r="N4893" s="2">
        <f>SUBTOTAL(9,N4892:N4892)</f>
        <v>75</v>
      </c>
      <c r="O4893" s="2">
        <f>SUBTOTAL(9,O4892:O4892)</f>
        <v>272827.18</v>
      </c>
      <c r="P4893" s="2">
        <f>+O4893/N4893</f>
        <v>3637.6957333333335</v>
      </c>
    </row>
    <row r="4894" spans="1:16" outlineLevel="2" x14ac:dyDescent="0.2">
      <c r="A4894" s="5">
        <v>46230</v>
      </c>
      <c r="B4894" s="2">
        <v>161165</v>
      </c>
      <c r="C4894" s="2">
        <v>2</v>
      </c>
      <c r="D4894" s="2" t="s">
        <v>207</v>
      </c>
      <c r="E4894" s="2" t="s">
        <v>23</v>
      </c>
      <c r="F4894" s="2" t="s">
        <v>47</v>
      </c>
      <c r="G4894" s="2" t="s">
        <v>22</v>
      </c>
      <c r="H4894" s="2" t="s">
        <v>208</v>
      </c>
      <c r="I4894" s="2" t="s">
        <v>23</v>
      </c>
      <c r="J4894" s="2">
        <v>41</v>
      </c>
      <c r="K4894" s="2" t="s">
        <v>129</v>
      </c>
      <c r="L4894" s="2">
        <v>25213</v>
      </c>
      <c r="M4894" s="2" t="s">
        <v>130</v>
      </c>
      <c r="N4894" s="2">
        <v>100</v>
      </c>
      <c r="O4894" s="2">
        <v>343175</v>
      </c>
      <c r="P4894" s="2">
        <v>3431.75</v>
      </c>
    </row>
    <row r="4895" spans="1:16" outlineLevel="2" x14ac:dyDescent="0.2">
      <c r="A4895" s="5">
        <v>46230</v>
      </c>
      <c r="B4895" s="2">
        <v>161165</v>
      </c>
      <c r="C4895" s="2">
        <v>3</v>
      </c>
      <c r="D4895" s="2" t="s">
        <v>207</v>
      </c>
      <c r="E4895" s="2" t="s">
        <v>23</v>
      </c>
      <c r="F4895" s="2" t="s">
        <v>47</v>
      </c>
      <c r="G4895" s="2" t="s">
        <v>22</v>
      </c>
      <c r="H4895" s="2" t="s">
        <v>209</v>
      </c>
      <c r="I4895" s="2" t="s">
        <v>23</v>
      </c>
      <c r="J4895" s="2">
        <v>41</v>
      </c>
      <c r="K4895" s="2" t="s">
        <v>129</v>
      </c>
      <c r="L4895" s="2">
        <v>25213</v>
      </c>
      <c r="M4895" s="2" t="s">
        <v>130</v>
      </c>
      <c r="N4895" s="2">
        <v>50</v>
      </c>
      <c r="O4895" s="2">
        <v>156768.31</v>
      </c>
      <c r="P4895" s="2">
        <v>3135.37</v>
      </c>
    </row>
    <row r="4896" spans="1:16" outlineLevel="2" x14ac:dyDescent="0.2">
      <c r="A4896" s="5">
        <v>46230</v>
      </c>
      <c r="B4896" s="2">
        <v>161165</v>
      </c>
      <c r="C4896" s="2">
        <v>4</v>
      </c>
      <c r="D4896" s="2" t="s">
        <v>207</v>
      </c>
      <c r="E4896" s="2" t="s">
        <v>23</v>
      </c>
      <c r="F4896" s="2" t="s">
        <v>47</v>
      </c>
      <c r="G4896" s="2" t="s">
        <v>210</v>
      </c>
      <c r="H4896" s="2" t="s">
        <v>23</v>
      </c>
      <c r="I4896" s="2" t="s">
        <v>23</v>
      </c>
      <c r="J4896" s="2">
        <v>1</v>
      </c>
      <c r="K4896" s="2" t="s">
        <v>24</v>
      </c>
      <c r="L4896" s="2">
        <v>25213</v>
      </c>
      <c r="M4896" s="2" t="s">
        <v>130</v>
      </c>
      <c r="N4896" s="2">
        <v>6</v>
      </c>
      <c r="O4896" s="2">
        <v>390232.38</v>
      </c>
      <c r="P4896" s="2">
        <v>65038.73</v>
      </c>
    </row>
    <row r="4897" spans="1:16" outlineLevel="1" x14ac:dyDescent="0.2">
      <c r="A4897" s="5"/>
      <c r="D4897" s="3" t="s">
        <v>699</v>
      </c>
      <c r="N4897" s="2">
        <f>SUBTOTAL(9,N4894:N4896)</f>
        <v>156</v>
      </c>
      <c r="O4897" s="2">
        <f>SUBTOTAL(9,O4894:O4896)</f>
        <v>890175.69</v>
      </c>
      <c r="P4897" s="2">
        <f>+O4897/N4897</f>
        <v>5706.2544230769226</v>
      </c>
    </row>
    <row r="4898" spans="1:16" outlineLevel="2" x14ac:dyDescent="0.2">
      <c r="A4898" s="5">
        <v>46230</v>
      </c>
      <c r="B4898" s="2">
        <v>161165</v>
      </c>
      <c r="C4898" s="2">
        <v>5</v>
      </c>
      <c r="D4898" s="2" t="s">
        <v>128</v>
      </c>
      <c r="E4898" s="2" t="s">
        <v>23</v>
      </c>
      <c r="F4898" s="2" t="s">
        <v>47</v>
      </c>
      <c r="G4898" s="2" t="s">
        <v>210</v>
      </c>
      <c r="H4898" s="2" t="s">
        <v>23</v>
      </c>
      <c r="I4898" s="2" t="s">
        <v>23</v>
      </c>
      <c r="J4898" s="2">
        <v>1</v>
      </c>
      <c r="K4898" s="2" t="s">
        <v>24</v>
      </c>
      <c r="L4898" s="2">
        <v>25213</v>
      </c>
      <c r="M4898" s="2" t="s">
        <v>130</v>
      </c>
      <c r="N4898" s="2">
        <v>6</v>
      </c>
      <c r="O4898" s="2">
        <v>512512.84</v>
      </c>
      <c r="P4898" s="2">
        <v>85418.81</v>
      </c>
    </row>
    <row r="4899" spans="1:16" outlineLevel="1" x14ac:dyDescent="0.2">
      <c r="A4899" s="5"/>
      <c r="D4899" s="3" t="s">
        <v>732</v>
      </c>
      <c r="N4899" s="2">
        <f>SUBTOTAL(9,N4898:N4898)</f>
        <v>6</v>
      </c>
      <c r="O4899" s="2">
        <f>SUBTOTAL(9,O4898:O4898)</f>
        <v>512512.84</v>
      </c>
      <c r="P4899" s="2">
        <f>+O4899/N4899</f>
        <v>85418.806666666671</v>
      </c>
    </row>
    <row r="4900" spans="1:16" outlineLevel="2" x14ac:dyDescent="0.2">
      <c r="A4900" s="5">
        <v>46231</v>
      </c>
      <c r="B4900" s="2">
        <v>161168</v>
      </c>
      <c r="C4900" s="2">
        <v>6</v>
      </c>
      <c r="D4900" s="2" t="s">
        <v>54</v>
      </c>
      <c r="E4900" s="2" t="s">
        <v>30</v>
      </c>
      <c r="F4900" s="2" t="s">
        <v>23</v>
      </c>
      <c r="G4900" s="2" t="s">
        <v>22</v>
      </c>
      <c r="H4900" s="2" t="s">
        <v>23</v>
      </c>
      <c r="I4900" s="2" t="s">
        <v>23</v>
      </c>
      <c r="J4900" s="2">
        <v>2</v>
      </c>
      <c r="K4900" s="2" t="s">
        <v>48</v>
      </c>
      <c r="L4900" s="2">
        <v>626</v>
      </c>
      <c r="M4900" s="2" t="s">
        <v>49</v>
      </c>
      <c r="N4900" s="2">
        <v>1</v>
      </c>
      <c r="O4900" s="2">
        <v>5298.63</v>
      </c>
      <c r="P4900" s="2">
        <v>5298.63</v>
      </c>
    </row>
    <row r="4901" spans="1:16" outlineLevel="2" x14ac:dyDescent="0.2">
      <c r="A4901" s="5">
        <v>46234</v>
      </c>
      <c r="B4901" s="2">
        <v>161168</v>
      </c>
      <c r="C4901" s="2">
        <v>315</v>
      </c>
      <c r="D4901" s="2" t="s">
        <v>54</v>
      </c>
      <c r="E4901" s="2" t="s">
        <v>30</v>
      </c>
      <c r="F4901" s="2" t="s">
        <v>289</v>
      </c>
      <c r="G4901" s="2" t="s">
        <v>23</v>
      </c>
      <c r="H4901" s="2" t="s">
        <v>23</v>
      </c>
      <c r="I4901" s="2" t="s">
        <v>23</v>
      </c>
      <c r="J4901" s="2">
        <v>2</v>
      </c>
      <c r="K4901" s="2" t="s">
        <v>48</v>
      </c>
      <c r="L4901" s="2">
        <v>626</v>
      </c>
      <c r="M4901" s="2" t="s">
        <v>49</v>
      </c>
      <c r="N4901" s="2">
        <v>4</v>
      </c>
      <c r="O4901" s="2">
        <v>28662.04</v>
      </c>
      <c r="P4901" s="2">
        <v>7165.51</v>
      </c>
    </row>
    <row r="4902" spans="1:16" outlineLevel="1" x14ac:dyDescent="0.2">
      <c r="A4902" s="5"/>
      <c r="D4902" s="3" t="s">
        <v>719</v>
      </c>
      <c r="N4902" s="2">
        <f>SUBTOTAL(9,N4900:N4901)</f>
        <v>5</v>
      </c>
      <c r="O4902" s="2">
        <f>SUBTOTAL(9,O4900:O4901)</f>
        <v>33960.67</v>
      </c>
      <c r="P4902" s="2">
        <f>+O4902/N4902</f>
        <v>6792.134</v>
      </c>
    </row>
    <row r="4903" spans="1:16" outlineLevel="2" x14ac:dyDescent="0.2">
      <c r="A4903" s="5">
        <v>46248</v>
      </c>
      <c r="B4903" s="2">
        <v>161177</v>
      </c>
      <c r="C4903" s="2">
        <v>305</v>
      </c>
      <c r="D4903" s="2" t="s">
        <v>215</v>
      </c>
      <c r="E4903" s="2" t="s">
        <v>23</v>
      </c>
      <c r="F4903" s="2" t="s">
        <v>47</v>
      </c>
      <c r="G4903" s="2" t="s">
        <v>23</v>
      </c>
      <c r="H4903" s="2" t="s">
        <v>23</v>
      </c>
      <c r="I4903" s="2" t="s">
        <v>23</v>
      </c>
      <c r="J4903" s="2">
        <v>2</v>
      </c>
      <c r="K4903" s="2" t="s">
        <v>48</v>
      </c>
      <c r="L4903" s="2">
        <v>2252</v>
      </c>
      <c r="M4903" s="2" t="s">
        <v>629</v>
      </c>
      <c r="N4903" s="2">
        <v>1</v>
      </c>
      <c r="O4903" s="2">
        <v>3423.75</v>
      </c>
      <c r="P4903" s="2">
        <v>3423.75</v>
      </c>
    </row>
    <row r="4904" spans="1:16" outlineLevel="1" x14ac:dyDescent="0.2">
      <c r="A4904" s="5"/>
      <c r="D4904" s="3" t="s">
        <v>727</v>
      </c>
      <c r="N4904" s="2">
        <f>SUBTOTAL(9,N4903:N4903)</f>
        <v>1</v>
      </c>
      <c r="O4904" s="2">
        <f>SUBTOTAL(9,O4903:O4903)</f>
        <v>3423.75</v>
      </c>
      <c r="P4904" s="2">
        <f>+O4904/N4904</f>
        <v>3423.75</v>
      </c>
    </row>
    <row r="4905" spans="1:16" outlineLevel="2" x14ac:dyDescent="0.2">
      <c r="A4905" s="5">
        <v>46234</v>
      </c>
      <c r="B4905" s="2">
        <v>161185</v>
      </c>
      <c r="C4905" s="2">
        <v>315</v>
      </c>
      <c r="D4905" s="2" t="s">
        <v>110</v>
      </c>
      <c r="E4905" s="2" t="s">
        <v>111</v>
      </c>
      <c r="F4905" s="2" t="s">
        <v>55</v>
      </c>
      <c r="G4905" s="2" t="s">
        <v>23</v>
      </c>
      <c r="H4905" s="2" t="s">
        <v>23</v>
      </c>
      <c r="I4905" s="2" t="s">
        <v>23</v>
      </c>
      <c r="J4905" s="2">
        <v>2</v>
      </c>
      <c r="K4905" s="2" t="s">
        <v>48</v>
      </c>
      <c r="L4905" s="2">
        <v>1974</v>
      </c>
      <c r="M4905" s="2" t="s">
        <v>95</v>
      </c>
      <c r="N4905" s="2">
        <v>2</v>
      </c>
      <c r="O4905" s="2">
        <v>8730.3799999999992</v>
      </c>
      <c r="P4905" s="2">
        <v>4365.1899999999996</v>
      </c>
    </row>
    <row r="4906" spans="1:16" outlineLevel="1" x14ac:dyDescent="0.2">
      <c r="A4906" s="5"/>
      <c r="D4906" s="3" t="s">
        <v>697</v>
      </c>
      <c r="N4906" s="2">
        <f>SUBTOTAL(9,N4905:N4905)</f>
        <v>2</v>
      </c>
      <c r="O4906" s="2">
        <f>SUBTOTAL(9,O4905:O4905)</f>
        <v>8730.3799999999992</v>
      </c>
      <c r="P4906" s="2">
        <f>+O4906/N4906</f>
        <v>4365.1899999999996</v>
      </c>
    </row>
    <row r="4907" spans="1:16" outlineLevel="2" x14ac:dyDescent="0.2">
      <c r="A4907" s="5">
        <v>46233</v>
      </c>
      <c r="B4907" s="2">
        <v>161189</v>
      </c>
      <c r="C4907" s="2">
        <v>1</v>
      </c>
      <c r="D4907" s="2" t="s">
        <v>54</v>
      </c>
      <c r="E4907" s="2" t="s">
        <v>30</v>
      </c>
      <c r="F4907" s="2" t="s">
        <v>289</v>
      </c>
      <c r="G4907" s="2" t="s">
        <v>22</v>
      </c>
      <c r="H4907" s="2" t="s">
        <v>23</v>
      </c>
      <c r="I4907" s="2" t="s">
        <v>23</v>
      </c>
      <c r="J4907" s="2">
        <v>2</v>
      </c>
      <c r="K4907" s="2" t="s">
        <v>48</v>
      </c>
      <c r="L4907" s="2">
        <v>25010</v>
      </c>
      <c r="M4907" s="2" t="s">
        <v>554</v>
      </c>
      <c r="N4907" s="2">
        <v>3</v>
      </c>
      <c r="O4907" s="2">
        <v>31764.36</v>
      </c>
      <c r="P4907" s="2">
        <v>10588.12</v>
      </c>
    </row>
    <row r="4908" spans="1:16" outlineLevel="1" x14ac:dyDescent="0.2">
      <c r="A4908" s="5"/>
      <c r="D4908" s="3" t="s">
        <v>719</v>
      </c>
      <c r="N4908" s="2">
        <f>SUBTOTAL(9,N4907:N4907)</f>
        <v>3</v>
      </c>
      <c r="O4908" s="2">
        <f>SUBTOTAL(9,O4907:O4907)</f>
        <v>31764.36</v>
      </c>
      <c r="P4908" s="2">
        <f>+O4908/N4908</f>
        <v>10588.12</v>
      </c>
    </row>
    <row r="4909" spans="1:16" outlineLevel="2" x14ac:dyDescent="0.2">
      <c r="A4909" s="5">
        <v>46234</v>
      </c>
      <c r="B4909" s="2">
        <v>161192</v>
      </c>
      <c r="C4909" s="2">
        <v>1</v>
      </c>
      <c r="D4909" s="2" t="s">
        <v>38</v>
      </c>
      <c r="E4909" s="2" t="s">
        <v>39</v>
      </c>
      <c r="F4909" s="2" t="s">
        <v>40</v>
      </c>
      <c r="G4909" s="2" t="s">
        <v>41</v>
      </c>
      <c r="H4909" s="2" t="s">
        <v>23</v>
      </c>
      <c r="I4909" s="2" t="s">
        <v>182</v>
      </c>
      <c r="J4909" s="2">
        <v>40</v>
      </c>
      <c r="K4909" s="2" t="s">
        <v>43</v>
      </c>
      <c r="L4909" s="2">
        <v>1502</v>
      </c>
      <c r="M4909" s="2" t="s">
        <v>114</v>
      </c>
      <c r="N4909" s="2">
        <v>88</v>
      </c>
      <c r="O4909" s="2">
        <v>2413409.52</v>
      </c>
      <c r="P4909" s="2">
        <v>27425.11</v>
      </c>
    </row>
    <row r="4910" spans="1:16" outlineLevel="2" x14ac:dyDescent="0.2">
      <c r="A4910" s="5">
        <v>46234</v>
      </c>
      <c r="B4910" s="2">
        <v>161192</v>
      </c>
      <c r="C4910" s="2">
        <v>4</v>
      </c>
      <c r="D4910" s="2" t="s">
        <v>38</v>
      </c>
      <c r="E4910" s="2" t="s">
        <v>39</v>
      </c>
      <c r="F4910" s="2" t="s">
        <v>40</v>
      </c>
      <c r="G4910" s="2" t="s">
        <v>41</v>
      </c>
      <c r="H4910" s="2" t="s">
        <v>23</v>
      </c>
      <c r="I4910" s="2" t="s">
        <v>394</v>
      </c>
      <c r="J4910" s="2">
        <v>40</v>
      </c>
      <c r="K4910" s="2" t="s">
        <v>43</v>
      </c>
      <c r="L4910" s="2">
        <v>2813</v>
      </c>
      <c r="M4910" s="2" t="s">
        <v>653</v>
      </c>
      <c r="N4910" s="2">
        <v>252</v>
      </c>
      <c r="O4910" s="2">
        <v>7564199.7300000004</v>
      </c>
      <c r="P4910" s="2">
        <v>30016.67</v>
      </c>
    </row>
    <row r="4911" spans="1:16" outlineLevel="2" x14ac:dyDescent="0.2">
      <c r="A4911" s="5">
        <v>46241</v>
      </c>
      <c r="B4911" s="2">
        <v>161192</v>
      </c>
      <c r="C4911" s="2">
        <v>5</v>
      </c>
      <c r="D4911" s="2" t="s">
        <v>38</v>
      </c>
      <c r="E4911" s="2" t="s">
        <v>39</v>
      </c>
      <c r="F4911" s="2" t="s">
        <v>40</v>
      </c>
      <c r="G4911" s="2" t="s">
        <v>41</v>
      </c>
      <c r="H4911" s="2" t="s">
        <v>23</v>
      </c>
      <c r="I4911" s="2" t="s">
        <v>113</v>
      </c>
      <c r="J4911" s="2">
        <v>40</v>
      </c>
      <c r="K4911" s="2" t="s">
        <v>43</v>
      </c>
      <c r="L4911" s="2">
        <v>1502</v>
      </c>
      <c r="M4911" s="2" t="s">
        <v>114</v>
      </c>
      <c r="N4911" s="2">
        <v>88</v>
      </c>
      <c r="O4911" s="2">
        <v>2696488.09</v>
      </c>
      <c r="P4911" s="2">
        <v>30641.91</v>
      </c>
    </row>
    <row r="4912" spans="1:16" outlineLevel="2" x14ac:dyDescent="0.2">
      <c r="A4912" s="5">
        <v>46234</v>
      </c>
      <c r="B4912" s="2">
        <v>161193</v>
      </c>
      <c r="C4912" s="2">
        <v>1</v>
      </c>
      <c r="D4912" s="2" t="s">
        <v>38</v>
      </c>
      <c r="E4912" s="2" t="s">
        <v>39</v>
      </c>
      <c r="F4912" s="2" t="s">
        <v>40</v>
      </c>
      <c r="G4912" s="2" t="s">
        <v>407</v>
      </c>
      <c r="H4912" s="2" t="s">
        <v>654</v>
      </c>
      <c r="I4912" s="2" t="s">
        <v>184</v>
      </c>
      <c r="J4912" s="2">
        <v>40</v>
      </c>
      <c r="K4912" s="2" t="s">
        <v>43</v>
      </c>
      <c r="L4912" s="2">
        <v>25243</v>
      </c>
      <c r="M4912" s="2" t="s">
        <v>617</v>
      </c>
      <c r="N4912" s="2">
        <v>739</v>
      </c>
      <c r="O4912" s="2">
        <v>18829454.329999998</v>
      </c>
      <c r="P4912" s="2">
        <v>25479.64</v>
      </c>
    </row>
    <row r="4913" spans="1:16" outlineLevel="2" x14ac:dyDescent="0.2">
      <c r="A4913" s="5">
        <v>46237</v>
      </c>
      <c r="B4913" s="2">
        <v>161193</v>
      </c>
      <c r="C4913" s="2">
        <v>2</v>
      </c>
      <c r="D4913" s="2" t="s">
        <v>38</v>
      </c>
      <c r="E4913" s="2" t="s">
        <v>39</v>
      </c>
      <c r="F4913" s="2" t="s">
        <v>40</v>
      </c>
      <c r="G4913" s="2" t="s">
        <v>407</v>
      </c>
      <c r="H4913" s="2" t="s">
        <v>654</v>
      </c>
      <c r="I4913" s="2" t="s">
        <v>614</v>
      </c>
      <c r="J4913" s="2">
        <v>40</v>
      </c>
      <c r="K4913" s="2" t="s">
        <v>43</v>
      </c>
      <c r="L4913" s="2">
        <v>1502</v>
      </c>
      <c r="M4913" s="2" t="s">
        <v>114</v>
      </c>
      <c r="N4913" s="2">
        <v>645</v>
      </c>
      <c r="O4913" s="2">
        <v>19067947.109999999</v>
      </c>
      <c r="P4913" s="2">
        <v>29562.71</v>
      </c>
    </row>
    <row r="4914" spans="1:16" outlineLevel="2" x14ac:dyDescent="0.2">
      <c r="A4914" s="5">
        <v>46244</v>
      </c>
      <c r="B4914" s="2">
        <v>161193</v>
      </c>
      <c r="C4914" s="2">
        <v>3</v>
      </c>
      <c r="D4914" s="2" t="s">
        <v>38</v>
      </c>
      <c r="E4914" s="2" t="s">
        <v>39</v>
      </c>
      <c r="F4914" s="2" t="s">
        <v>40</v>
      </c>
      <c r="G4914" s="2" t="s">
        <v>22</v>
      </c>
      <c r="H4914" s="2" t="s">
        <v>393</v>
      </c>
      <c r="I4914" s="2" t="s">
        <v>445</v>
      </c>
      <c r="J4914" s="2">
        <v>40</v>
      </c>
      <c r="K4914" s="2" t="s">
        <v>43</v>
      </c>
      <c r="L4914" s="2">
        <v>2813</v>
      </c>
      <c r="M4914" s="2" t="s">
        <v>653</v>
      </c>
      <c r="N4914" s="2">
        <v>24</v>
      </c>
      <c r="O4914" s="2">
        <v>700106.76</v>
      </c>
      <c r="P4914" s="2">
        <v>29171.119999999999</v>
      </c>
    </row>
    <row r="4915" spans="1:16" outlineLevel="1" x14ac:dyDescent="0.2">
      <c r="A4915" s="5"/>
      <c r="D4915" s="3" t="s">
        <v>721</v>
      </c>
      <c r="N4915" s="2">
        <f>SUBTOTAL(9,N4909:N4914)</f>
        <v>1836</v>
      </c>
      <c r="O4915" s="2">
        <f>SUBTOTAL(9,O4909:O4914)</f>
        <v>51271605.539999999</v>
      </c>
      <c r="P4915" s="2">
        <f>+O4915/N4915</f>
        <v>27925.711078431374</v>
      </c>
    </row>
    <row r="4916" spans="1:16" outlineLevel="2" x14ac:dyDescent="0.2">
      <c r="A4916" s="5">
        <v>46232</v>
      </c>
      <c r="B4916" s="2">
        <v>161194</v>
      </c>
      <c r="C4916" s="2">
        <v>1</v>
      </c>
      <c r="D4916" s="2" t="s">
        <v>178</v>
      </c>
      <c r="E4916" s="2" t="s">
        <v>179</v>
      </c>
      <c r="F4916" s="2" t="s">
        <v>108</v>
      </c>
      <c r="G4916" s="2" t="s">
        <v>22</v>
      </c>
      <c r="H4916" s="2" t="s">
        <v>23</v>
      </c>
      <c r="I4916" s="2" t="s">
        <v>109</v>
      </c>
      <c r="J4916" s="2">
        <v>1</v>
      </c>
      <c r="K4916" s="2" t="s">
        <v>24</v>
      </c>
      <c r="L4916" s="2">
        <v>1037</v>
      </c>
      <c r="M4916" s="2" t="s">
        <v>181</v>
      </c>
      <c r="N4916" s="2">
        <v>5</v>
      </c>
      <c r="O4916" s="2">
        <v>291589.81</v>
      </c>
      <c r="P4916" s="2">
        <v>58317.96</v>
      </c>
    </row>
    <row r="4917" spans="1:16" outlineLevel="2" x14ac:dyDescent="0.2">
      <c r="A4917" s="5">
        <v>46232</v>
      </c>
      <c r="B4917" s="2">
        <v>161194</v>
      </c>
      <c r="C4917" s="2">
        <v>2</v>
      </c>
      <c r="D4917" s="2" t="s">
        <v>178</v>
      </c>
      <c r="E4917" s="2" t="s">
        <v>179</v>
      </c>
      <c r="F4917" s="2" t="s">
        <v>108</v>
      </c>
      <c r="G4917" s="2" t="s">
        <v>22</v>
      </c>
      <c r="H4917" s="2" t="s">
        <v>23</v>
      </c>
      <c r="I4917" s="2" t="s">
        <v>101</v>
      </c>
      <c r="J4917" s="2">
        <v>1</v>
      </c>
      <c r="K4917" s="2" t="s">
        <v>24</v>
      </c>
      <c r="L4917" s="2">
        <v>1037</v>
      </c>
      <c r="M4917" s="2" t="s">
        <v>181</v>
      </c>
      <c r="N4917" s="2">
        <v>35</v>
      </c>
      <c r="O4917" s="2">
        <v>2008390.82</v>
      </c>
      <c r="P4917" s="2">
        <v>57382.59</v>
      </c>
    </row>
    <row r="4918" spans="1:16" outlineLevel="1" x14ac:dyDescent="0.2">
      <c r="A4918" s="5"/>
      <c r="D4918" s="3" t="s">
        <v>730</v>
      </c>
      <c r="N4918" s="2">
        <f>SUBTOTAL(9,N4916:N4917)</f>
        <v>40</v>
      </c>
      <c r="O4918" s="2">
        <f>SUBTOTAL(9,O4916:O4917)</f>
        <v>2299980.63</v>
      </c>
      <c r="P4918" s="2">
        <f>+O4918/N4918</f>
        <v>57499.515749999999</v>
      </c>
    </row>
    <row r="4919" spans="1:16" outlineLevel="2" x14ac:dyDescent="0.2">
      <c r="A4919" s="5">
        <v>46234</v>
      </c>
      <c r="B4919" s="2">
        <v>161198</v>
      </c>
      <c r="C4919" s="2">
        <v>307</v>
      </c>
      <c r="D4919" s="2" t="s">
        <v>54</v>
      </c>
      <c r="E4919" s="2" t="s">
        <v>30</v>
      </c>
      <c r="F4919" s="2" t="s">
        <v>289</v>
      </c>
      <c r="G4919" s="2" t="s">
        <v>22</v>
      </c>
      <c r="H4919" s="2" t="s">
        <v>23</v>
      </c>
      <c r="I4919" s="2" t="s">
        <v>23</v>
      </c>
      <c r="J4919" s="2">
        <v>2</v>
      </c>
      <c r="K4919" s="2" t="s">
        <v>48</v>
      </c>
      <c r="L4919" s="2">
        <v>801</v>
      </c>
      <c r="M4919" s="2" t="s">
        <v>56</v>
      </c>
      <c r="N4919" s="2">
        <v>6</v>
      </c>
      <c r="O4919" s="2">
        <v>28991.46</v>
      </c>
      <c r="P4919" s="2">
        <v>4831.91</v>
      </c>
    </row>
    <row r="4920" spans="1:16" outlineLevel="1" x14ac:dyDescent="0.2">
      <c r="A4920" s="5"/>
      <c r="D4920" s="3" t="s">
        <v>719</v>
      </c>
      <c r="N4920" s="2">
        <f>SUBTOTAL(9,N4919:N4919)</f>
        <v>6</v>
      </c>
      <c r="O4920" s="2">
        <f>SUBTOTAL(9,O4919:O4919)</f>
        <v>28991.46</v>
      </c>
      <c r="P4920" s="2">
        <f>+O4920/N4920</f>
        <v>4831.91</v>
      </c>
    </row>
    <row r="4921" spans="1:16" outlineLevel="2" x14ac:dyDescent="0.2">
      <c r="A4921" s="5">
        <v>46239</v>
      </c>
      <c r="B4921" s="2">
        <v>161198</v>
      </c>
      <c r="C4921" s="2">
        <v>319</v>
      </c>
      <c r="D4921" s="2" t="s">
        <v>45</v>
      </c>
      <c r="E4921" s="2" t="s">
        <v>228</v>
      </c>
      <c r="F4921" s="2" t="s">
        <v>55</v>
      </c>
      <c r="G4921" s="2" t="s">
        <v>23</v>
      </c>
      <c r="H4921" s="2" t="s">
        <v>23</v>
      </c>
      <c r="I4921" s="2" t="s">
        <v>23</v>
      </c>
      <c r="J4921" s="2">
        <v>2</v>
      </c>
      <c r="K4921" s="2" t="s">
        <v>48</v>
      </c>
      <c r="L4921" s="2">
        <v>801</v>
      </c>
      <c r="M4921" s="2" t="s">
        <v>56</v>
      </c>
      <c r="N4921" s="2">
        <v>2</v>
      </c>
      <c r="O4921" s="2">
        <v>8714.3799999999992</v>
      </c>
      <c r="P4921" s="2">
        <v>4357.1899999999996</v>
      </c>
    </row>
    <row r="4922" spans="1:16" outlineLevel="1" x14ac:dyDescent="0.2">
      <c r="A4922" s="5"/>
      <c r="D4922" s="3" t="s">
        <v>733</v>
      </c>
      <c r="N4922" s="2">
        <f>SUBTOTAL(9,N4921:N4921)</f>
        <v>2</v>
      </c>
      <c r="O4922" s="2">
        <f>SUBTOTAL(9,O4921:O4921)</f>
        <v>8714.3799999999992</v>
      </c>
      <c r="P4922" s="2">
        <f>+O4922/N4922</f>
        <v>4357.1899999999996</v>
      </c>
    </row>
    <row r="4923" spans="1:16" outlineLevel="2" x14ac:dyDescent="0.2">
      <c r="A4923" s="5">
        <v>46241</v>
      </c>
      <c r="B4923" s="2">
        <v>161200</v>
      </c>
      <c r="C4923" s="2">
        <v>2</v>
      </c>
      <c r="D4923" s="2" t="s">
        <v>38</v>
      </c>
      <c r="E4923" s="2" t="s">
        <v>39</v>
      </c>
      <c r="F4923" s="2" t="s">
        <v>40</v>
      </c>
      <c r="G4923" s="2" t="s">
        <v>41</v>
      </c>
      <c r="H4923" s="2" t="s">
        <v>23</v>
      </c>
      <c r="I4923" s="2" t="s">
        <v>184</v>
      </c>
      <c r="J4923" s="2">
        <v>40</v>
      </c>
      <c r="K4923" s="2" t="s">
        <v>43</v>
      </c>
      <c r="L4923" s="2">
        <v>1502</v>
      </c>
      <c r="M4923" s="2" t="s">
        <v>114</v>
      </c>
      <c r="N4923" s="2">
        <v>72</v>
      </c>
      <c r="O4923" s="2">
        <v>1806286.67</v>
      </c>
      <c r="P4923" s="2">
        <v>25087.31</v>
      </c>
    </row>
    <row r="4924" spans="1:16" outlineLevel="2" x14ac:dyDescent="0.2">
      <c r="A4924" s="5">
        <v>46232</v>
      </c>
      <c r="B4924" s="2">
        <v>161200</v>
      </c>
      <c r="C4924" s="2">
        <v>6</v>
      </c>
      <c r="D4924" s="2" t="s">
        <v>38</v>
      </c>
      <c r="E4924" s="2" t="s">
        <v>39</v>
      </c>
      <c r="F4924" s="2" t="s">
        <v>40</v>
      </c>
      <c r="G4924" s="2" t="s">
        <v>22</v>
      </c>
      <c r="H4924" s="2" t="s">
        <v>23</v>
      </c>
      <c r="I4924" s="2" t="s">
        <v>507</v>
      </c>
      <c r="J4924" s="2">
        <v>40</v>
      </c>
      <c r="K4924" s="2" t="s">
        <v>43</v>
      </c>
      <c r="L4924" s="2">
        <v>25243</v>
      </c>
      <c r="M4924" s="2" t="s">
        <v>617</v>
      </c>
      <c r="N4924" s="2">
        <v>86</v>
      </c>
      <c r="O4924" s="2">
        <v>2675964.2799999998</v>
      </c>
      <c r="P4924" s="2">
        <v>31115.86</v>
      </c>
    </row>
    <row r="4925" spans="1:16" outlineLevel="2" x14ac:dyDescent="0.2">
      <c r="A4925" s="5">
        <v>46237</v>
      </c>
      <c r="B4925" s="2">
        <v>161201</v>
      </c>
      <c r="C4925" s="2">
        <v>2</v>
      </c>
      <c r="D4925" s="2" t="s">
        <v>38</v>
      </c>
      <c r="E4925" s="2" t="s">
        <v>39</v>
      </c>
      <c r="F4925" s="2" t="s">
        <v>40</v>
      </c>
      <c r="G4925" s="2" t="s">
        <v>41</v>
      </c>
      <c r="H4925" s="2" t="s">
        <v>23</v>
      </c>
      <c r="I4925" s="2" t="s">
        <v>184</v>
      </c>
      <c r="J4925" s="2">
        <v>40</v>
      </c>
      <c r="K4925" s="2" t="s">
        <v>43</v>
      </c>
      <c r="L4925" s="2">
        <v>2579</v>
      </c>
      <c r="M4925" s="2" t="s">
        <v>44</v>
      </c>
      <c r="N4925" s="2">
        <v>192</v>
      </c>
      <c r="O4925" s="2">
        <v>2859302.1</v>
      </c>
      <c r="P4925" s="2">
        <v>14892.2</v>
      </c>
    </row>
    <row r="4926" spans="1:16" outlineLevel="2" x14ac:dyDescent="0.2">
      <c r="A4926" s="5">
        <v>46237</v>
      </c>
      <c r="B4926" s="2">
        <v>161201</v>
      </c>
      <c r="C4926" s="2">
        <v>3</v>
      </c>
      <c r="D4926" s="2" t="s">
        <v>38</v>
      </c>
      <c r="E4926" s="2" t="s">
        <v>39</v>
      </c>
      <c r="F4926" s="2" t="s">
        <v>40</v>
      </c>
      <c r="G4926" s="2" t="s">
        <v>41</v>
      </c>
      <c r="H4926" s="2" t="s">
        <v>23</v>
      </c>
      <c r="I4926" s="2" t="s">
        <v>614</v>
      </c>
      <c r="J4926" s="2">
        <v>40</v>
      </c>
      <c r="K4926" s="2" t="s">
        <v>43</v>
      </c>
      <c r="L4926" s="2">
        <v>2579</v>
      </c>
      <c r="M4926" s="2" t="s">
        <v>44</v>
      </c>
      <c r="N4926" s="2">
        <v>192</v>
      </c>
      <c r="O4926" s="2">
        <v>5145329.16</v>
      </c>
      <c r="P4926" s="2">
        <v>26798.59</v>
      </c>
    </row>
    <row r="4927" spans="1:16" outlineLevel="1" x14ac:dyDescent="0.2">
      <c r="A4927" s="5"/>
      <c r="D4927" s="3" t="s">
        <v>721</v>
      </c>
      <c r="N4927" s="2">
        <f>SUBTOTAL(9,N4923:N4926)</f>
        <v>542</v>
      </c>
      <c r="O4927" s="2">
        <f>SUBTOTAL(9,O4923:O4926)</f>
        <v>12486882.209999999</v>
      </c>
      <c r="P4927" s="2">
        <f>+O4927/N4927</f>
        <v>23038.528062730624</v>
      </c>
    </row>
    <row r="4928" spans="1:16" outlineLevel="2" x14ac:dyDescent="0.2">
      <c r="A4928" s="5">
        <v>46232</v>
      </c>
      <c r="B4928" s="2">
        <v>161202</v>
      </c>
      <c r="C4928" s="2">
        <v>1</v>
      </c>
      <c r="D4928" s="2" t="s">
        <v>175</v>
      </c>
      <c r="E4928" s="2" t="s">
        <v>469</v>
      </c>
      <c r="F4928" s="2" t="s">
        <v>40</v>
      </c>
      <c r="G4928" s="2" t="s">
        <v>22</v>
      </c>
      <c r="H4928" s="2" t="s">
        <v>23</v>
      </c>
      <c r="I4928" s="2" t="s">
        <v>23</v>
      </c>
      <c r="J4928" s="2">
        <v>5</v>
      </c>
      <c r="K4928" s="2" t="s">
        <v>27</v>
      </c>
      <c r="L4928" s="2">
        <v>2521</v>
      </c>
      <c r="M4928" s="2" t="s">
        <v>82</v>
      </c>
      <c r="N4928" s="2">
        <v>20</v>
      </c>
      <c r="O4928" s="2">
        <v>557757.16</v>
      </c>
      <c r="P4928" s="2">
        <v>27887.86</v>
      </c>
    </row>
    <row r="4929" spans="1:16" outlineLevel="1" x14ac:dyDescent="0.2">
      <c r="A4929" s="5"/>
      <c r="D4929" s="3" t="s">
        <v>725</v>
      </c>
      <c r="N4929" s="2">
        <f>SUBTOTAL(9,N4928:N4928)</f>
        <v>20</v>
      </c>
      <c r="O4929" s="2">
        <f>SUBTOTAL(9,O4928:O4928)</f>
        <v>557757.16</v>
      </c>
      <c r="P4929" s="2">
        <f>+O4929/N4929</f>
        <v>27887.858</v>
      </c>
    </row>
    <row r="4930" spans="1:16" outlineLevel="2" x14ac:dyDescent="0.2">
      <c r="A4930" s="5">
        <v>46230</v>
      </c>
      <c r="B4930" s="2">
        <v>161206</v>
      </c>
      <c r="C4930" s="2">
        <v>1</v>
      </c>
      <c r="D4930" s="2" t="s">
        <v>70</v>
      </c>
      <c r="E4930" s="2" t="s">
        <v>104</v>
      </c>
      <c r="F4930" s="2" t="s">
        <v>72</v>
      </c>
      <c r="G4930" s="2" t="s">
        <v>22</v>
      </c>
      <c r="H4930" s="2" t="s">
        <v>23</v>
      </c>
      <c r="I4930" s="2" t="s">
        <v>23</v>
      </c>
      <c r="J4930" s="2">
        <v>86</v>
      </c>
      <c r="K4930" s="2" t="s">
        <v>73</v>
      </c>
      <c r="L4930" s="2">
        <v>896</v>
      </c>
      <c r="M4930" s="2" t="s">
        <v>74</v>
      </c>
      <c r="N4930" s="2">
        <v>255</v>
      </c>
      <c r="O4930" s="2">
        <v>8927717.6699999999</v>
      </c>
      <c r="P4930" s="2">
        <v>35010.660000000003</v>
      </c>
    </row>
    <row r="4931" spans="1:16" outlineLevel="1" x14ac:dyDescent="0.2">
      <c r="A4931" s="5"/>
      <c r="D4931" s="3" t="s">
        <v>695</v>
      </c>
      <c r="N4931" s="2">
        <f>SUBTOTAL(9,N4930:N4930)</f>
        <v>255</v>
      </c>
      <c r="O4931" s="2">
        <f>SUBTOTAL(9,O4930:O4930)</f>
        <v>8927717.6699999999</v>
      </c>
      <c r="P4931" s="2">
        <f>+O4931/N4931</f>
        <v>35010.657529411765</v>
      </c>
    </row>
    <row r="4932" spans="1:16" outlineLevel="2" x14ac:dyDescent="0.2">
      <c r="A4932" s="5">
        <v>46230</v>
      </c>
      <c r="B4932" s="2">
        <v>161207</v>
      </c>
      <c r="C4932" s="2">
        <v>1</v>
      </c>
      <c r="D4932" s="2" t="s">
        <v>19</v>
      </c>
      <c r="E4932" s="2" t="s">
        <v>20</v>
      </c>
      <c r="F4932" s="2" t="s">
        <v>21</v>
      </c>
      <c r="G4932" s="2" t="s">
        <v>23</v>
      </c>
      <c r="H4932" s="2" t="s">
        <v>23</v>
      </c>
      <c r="I4932" s="2" t="s">
        <v>23</v>
      </c>
      <c r="J4932" s="2">
        <v>1</v>
      </c>
      <c r="K4932" s="2" t="s">
        <v>24</v>
      </c>
      <c r="L4932" s="2">
        <v>25205</v>
      </c>
      <c r="M4932" s="2" t="s">
        <v>171</v>
      </c>
      <c r="N4932" s="2">
        <v>140</v>
      </c>
      <c r="O4932" s="2">
        <v>13763329.439999999</v>
      </c>
      <c r="P4932" s="2">
        <v>98309.5</v>
      </c>
    </row>
    <row r="4933" spans="1:16" outlineLevel="2" x14ac:dyDescent="0.2">
      <c r="A4933" s="5">
        <v>46230</v>
      </c>
      <c r="B4933" s="2">
        <v>161207</v>
      </c>
      <c r="C4933" s="2">
        <v>2</v>
      </c>
      <c r="D4933" s="2" t="s">
        <v>19</v>
      </c>
      <c r="E4933" s="2" t="s">
        <v>20</v>
      </c>
      <c r="F4933" s="2" t="s">
        <v>21</v>
      </c>
      <c r="G4933" s="2" t="s">
        <v>22</v>
      </c>
      <c r="H4933" s="2" t="s">
        <v>23</v>
      </c>
      <c r="I4933" s="2" t="s">
        <v>23</v>
      </c>
      <c r="J4933" s="2">
        <v>1</v>
      </c>
      <c r="K4933" s="2" t="s">
        <v>24</v>
      </c>
      <c r="L4933" s="2">
        <v>25205</v>
      </c>
      <c r="M4933" s="2" t="s">
        <v>171</v>
      </c>
      <c r="N4933" s="2">
        <v>100</v>
      </c>
      <c r="O4933" s="2">
        <v>8447584.6500000004</v>
      </c>
      <c r="P4933" s="2">
        <v>84475.85</v>
      </c>
    </row>
    <row r="4934" spans="1:16" outlineLevel="2" x14ac:dyDescent="0.2">
      <c r="A4934" s="5">
        <v>46230</v>
      </c>
      <c r="B4934" s="2">
        <v>161207</v>
      </c>
      <c r="C4934" s="2">
        <v>3</v>
      </c>
      <c r="D4934" s="2" t="s">
        <v>19</v>
      </c>
      <c r="E4934" s="2" t="s">
        <v>20</v>
      </c>
      <c r="F4934" s="2" t="s">
        <v>21</v>
      </c>
      <c r="G4934" s="2" t="s">
        <v>22</v>
      </c>
      <c r="H4934" s="2" t="s">
        <v>23</v>
      </c>
      <c r="I4934" s="2" t="s">
        <v>23</v>
      </c>
      <c r="J4934" s="2">
        <v>1</v>
      </c>
      <c r="K4934" s="2" t="s">
        <v>24</v>
      </c>
      <c r="L4934" s="2">
        <v>25205</v>
      </c>
      <c r="M4934" s="2" t="s">
        <v>171</v>
      </c>
      <c r="N4934" s="2">
        <v>40</v>
      </c>
      <c r="O4934" s="2">
        <v>4109580.56</v>
      </c>
      <c r="P4934" s="2">
        <v>102739.51</v>
      </c>
    </row>
    <row r="4935" spans="1:16" outlineLevel="2" x14ac:dyDescent="0.2">
      <c r="A4935" s="5">
        <v>46230</v>
      </c>
      <c r="B4935" s="2">
        <v>161207</v>
      </c>
      <c r="C4935" s="2">
        <v>200</v>
      </c>
      <c r="D4935" s="2" t="s">
        <v>19</v>
      </c>
      <c r="E4935" s="2" t="s">
        <v>611</v>
      </c>
      <c r="F4935" s="2" t="s">
        <v>23</v>
      </c>
      <c r="G4935" s="2" t="s">
        <v>22</v>
      </c>
      <c r="H4935" s="2" t="s">
        <v>23</v>
      </c>
      <c r="I4935" s="2" t="s">
        <v>23</v>
      </c>
      <c r="J4935" s="2">
        <v>39</v>
      </c>
      <c r="K4935" s="2" t="s">
        <v>172</v>
      </c>
      <c r="L4935" s="2">
        <v>25205</v>
      </c>
      <c r="M4935" s="2" t="s">
        <v>171</v>
      </c>
      <c r="N4935" s="2">
        <v>109</v>
      </c>
      <c r="O4935" s="2">
        <v>195409.47</v>
      </c>
      <c r="P4935" s="2">
        <v>1792.75</v>
      </c>
    </row>
    <row r="4936" spans="1:16" outlineLevel="1" x14ac:dyDescent="0.2">
      <c r="A4936" s="5"/>
      <c r="D4936" s="3" t="s">
        <v>704</v>
      </c>
      <c r="N4936" s="2">
        <f>SUBTOTAL(9,N4932:N4935)</f>
        <v>389</v>
      </c>
      <c r="O4936" s="2">
        <f>SUBTOTAL(9,O4932:O4935)</f>
        <v>26515904.119999997</v>
      </c>
      <c r="P4936" s="2">
        <f>+O4936/N4936</f>
        <v>68164.277943444729</v>
      </c>
    </row>
    <row r="4937" spans="1:16" outlineLevel="2" x14ac:dyDescent="0.2">
      <c r="A4937" s="5">
        <v>46246</v>
      </c>
      <c r="B4937" s="2">
        <v>161208</v>
      </c>
      <c r="C4937" s="2">
        <v>2</v>
      </c>
      <c r="D4937" s="2" t="s">
        <v>197</v>
      </c>
      <c r="E4937" s="2" t="s">
        <v>538</v>
      </c>
      <c r="F4937" s="2" t="s">
        <v>40</v>
      </c>
      <c r="G4937" s="2" t="s">
        <v>22</v>
      </c>
      <c r="H4937" s="2" t="s">
        <v>23</v>
      </c>
      <c r="I4937" s="2" t="s">
        <v>23</v>
      </c>
      <c r="J4937" s="2">
        <v>86</v>
      </c>
      <c r="K4937" s="2" t="s">
        <v>73</v>
      </c>
      <c r="L4937" s="2">
        <v>2541</v>
      </c>
      <c r="M4937" s="2" t="s">
        <v>534</v>
      </c>
      <c r="N4937" s="2">
        <v>13</v>
      </c>
      <c r="O4937" s="2">
        <v>453355.11</v>
      </c>
      <c r="P4937" s="2">
        <v>34873.47</v>
      </c>
    </row>
    <row r="4938" spans="1:16" outlineLevel="1" x14ac:dyDescent="0.2">
      <c r="A4938" s="5"/>
      <c r="D4938" s="3" t="s">
        <v>734</v>
      </c>
      <c r="N4938" s="2">
        <f>SUBTOTAL(9,N4937:N4937)</f>
        <v>13</v>
      </c>
      <c r="O4938" s="2">
        <f>SUBTOTAL(9,O4937:O4937)</f>
        <v>453355.11</v>
      </c>
      <c r="P4938" s="2">
        <f>+O4938/N4938</f>
        <v>34873.47</v>
      </c>
    </row>
    <row r="4939" spans="1:16" outlineLevel="2" x14ac:dyDescent="0.2">
      <c r="A4939" s="5">
        <v>46230</v>
      </c>
      <c r="B4939" s="2">
        <v>161210</v>
      </c>
      <c r="C4939" s="2">
        <v>4</v>
      </c>
      <c r="D4939" s="2" t="s">
        <v>119</v>
      </c>
      <c r="E4939" s="2" t="s">
        <v>120</v>
      </c>
      <c r="F4939" s="2" t="s">
        <v>63</v>
      </c>
      <c r="G4939" s="2" t="s">
        <v>41</v>
      </c>
      <c r="H4939" s="2" t="s">
        <v>23</v>
      </c>
      <c r="I4939" s="2" t="s">
        <v>513</v>
      </c>
      <c r="J4939" s="2">
        <v>1</v>
      </c>
      <c r="K4939" s="2" t="s">
        <v>24</v>
      </c>
      <c r="L4939" s="2">
        <v>1779</v>
      </c>
      <c r="M4939" s="2" t="s">
        <v>502</v>
      </c>
      <c r="N4939" s="2">
        <v>79</v>
      </c>
      <c r="O4939" s="2">
        <v>3458473.07</v>
      </c>
      <c r="P4939" s="2">
        <v>43778.14</v>
      </c>
    </row>
    <row r="4940" spans="1:16" outlineLevel="1" x14ac:dyDescent="0.2">
      <c r="A4940" s="5"/>
      <c r="D4940" s="3" t="s">
        <v>708</v>
      </c>
      <c r="N4940" s="2">
        <f>SUBTOTAL(9,N4939:N4939)</f>
        <v>79</v>
      </c>
      <c r="O4940" s="2">
        <f>SUBTOTAL(9,O4939:O4939)</f>
        <v>3458473.07</v>
      </c>
      <c r="P4940" s="2">
        <f>+O4940/N4940</f>
        <v>43778.140126582279</v>
      </c>
    </row>
    <row r="4941" spans="1:16" outlineLevel="2" x14ac:dyDescent="0.2">
      <c r="A4941" s="5">
        <v>46230</v>
      </c>
      <c r="B4941" s="2">
        <v>161216</v>
      </c>
      <c r="C4941" s="2">
        <v>6</v>
      </c>
      <c r="D4941" s="2" t="s">
        <v>45</v>
      </c>
      <c r="E4941" s="2" t="s">
        <v>125</v>
      </c>
      <c r="F4941" s="2" t="s">
        <v>289</v>
      </c>
      <c r="G4941" s="2" t="s">
        <v>22</v>
      </c>
      <c r="H4941" s="2" t="s">
        <v>23</v>
      </c>
      <c r="I4941" s="2" t="s">
        <v>23</v>
      </c>
      <c r="J4941" s="2">
        <v>2</v>
      </c>
      <c r="K4941" s="2" t="s">
        <v>48</v>
      </c>
      <c r="L4941" s="2">
        <v>106</v>
      </c>
      <c r="M4941" s="2" t="s">
        <v>486</v>
      </c>
      <c r="N4941" s="2">
        <v>112</v>
      </c>
      <c r="O4941" s="2">
        <v>2725971.06</v>
      </c>
      <c r="P4941" s="2">
        <v>24339.03</v>
      </c>
    </row>
    <row r="4942" spans="1:16" outlineLevel="2" x14ac:dyDescent="0.2">
      <c r="A4942" s="5">
        <v>46230</v>
      </c>
      <c r="B4942" s="2">
        <v>161217</v>
      </c>
      <c r="C4942" s="2">
        <v>1</v>
      </c>
      <c r="D4942" s="2" t="s">
        <v>45</v>
      </c>
      <c r="E4942" s="2" t="s">
        <v>125</v>
      </c>
      <c r="F4942" s="2" t="s">
        <v>289</v>
      </c>
      <c r="G4942" s="2" t="s">
        <v>22</v>
      </c>
      <c r="H4942" s="2" t="s">
        <v>23</v>
      </c>
      <c r="I4942" s="2" t="s">
        <v>23</v>
      </c>
      <c r="J4942" s="2">
        <v>2</v>
      </c>
      <c r="K4942" s="2" t="s">
        <v>48</v>
      </c>
      <c r="L4942" s="2">
        <v>106</v>
      </c>
      <c r="M4942" s="2" t="s">
        <v>486</v>
      </c>
      <c r="N4942" s="2">
        <v>56</v>
      </c>
      <c r="O4942" s="2">
        <v>1028539.12</v>
      </c>
      <c r="P4942" s="2">
        <v>18366.77</v>
      </c>
    </row>
    <row r="4943" spans="1:16" outlineLevel="2" x14ac:dyDescent="0.2">
      <c r="A4943" s="5">
        <v>46230</v>
      </c>
      <c r="B4943" s="2">
        <v>161217</v>
      </c>
      <c r="C4943" s="2">
        <v>2</v>
      </c>
      <c r="D4943" s="2" t="s">
        <v>45</v>
      </c>
      <c r="E4943" s="2" t="s">
        <v>125</v>
      </c>
      <c r="F4943" s="2" t="s">
        <v>289</v>
      </c>
      <c r="G4943" s="2" t="s">
        <v>22</v>
      </c>
      <c r="H4943" s="2" t="s">
        <v>23</v>
      </c>
      <c r="I4943" s="2" t="s">
        <v>23</v>
      </c>
      <c r="J4943" s="2">
        <v>2</v>
      </c>
      <c r="K4943" s="2" t="s">
        <v>48</v>
      </c>
      <c r="L4943" s="2">
        <v>106</v>
      </c>
      <c r="M4943" s="2" t="s">
        <v>486</v>
      </c>
      <c r="N4943" s="2">
        <v>112</v>
      </c>
      <c r="O4943" s="2">
        <v>2456810.7200000002</v>
      </c>
      <c r="P4943" s="2">
        <v>21935.81</v>
      </c>
    </row>
    <row r="4944" spans="1:16" outlineLevel="2" x14ac:dyDescent="0.2">
      <c r="A4944" s="5">
        <v>46230</v>
      </c>
      <c r="B4944" s="2">
        <v>161218</v>
      </c>
      <c r="C4944" s="2">
        <v>11</v>
      </c>
      <c r="D4944" s="2" t="s">
        <v>45</v>
      </c>
      <c r="E4944" s="2" t="s">
        <v>227</v>
      </c>
      <c r="F4944" s="2" t="s">
        <v>289</v>
      </c>
      <c r="G4944" s="2" t="s">
        <v>22</v>
      </c>
      <c r="H4944" s="2" t="s">
        <v>23</v>
      </c>
      <c r="I4944" s="2" t="s">
        <v>23</v>
      </c>
      <c r="J4944" s="2">
        <v>2</v>
      </c>
      <c r="K4944" s="2" t="s">
        <v>48</v>
      </c>
      <c r="L4944" s="2">
        <v>801</v>
      </c>
      <c r="M4944" s="2" t="s">
        <v>56</v>
      </c>
      <c r="N4944" s="2">
        <v>16</v>
      </c>
      <c r="O4944" s="2">
        <v>532828.80000000005</v>
      </c>
      <c r="P4944" s="2">
        <v>33301.800000000003</v>
      </c>
    </row>
    <row r="4945" spans="1:16" outlineLevel="2" x14ac:dyDescent="0.2">
      <c r="A4945" s="5">
        <v>46230</v>
      </c>
      <c r="B4945" s="2">
        <v>161218</v>
      </c>
      <c r="C4945" s="2">
        <v>12</v>
      </c>
      <c r="D4945" s="2" t="s">
        <v>45</v>
      </c>
      <c r="E4945" s="2" t="s">
        <v>227</v>
      </c>
      <c r="F4945" s="2" t="s">
        <v>289</v>
      </c>
      <c r="G4945" s="2" t="s">
        <v>22</v>
      </c>
      <c r="H4945" s="2" t="s">
        <v>23</v>
      </c>
      <c r="I4945" s="2" t="s">
        <v>23</v>
      </c>
      <c r="J4945" s="2">
        <v>41</v>
      </c>
      <c r="K4945" s="2" t="s">
        <v>129</v>
      </c>
      <c r="L4945" s="2">
        <v>801</v>
      </c>
      <c r="M4945" s="2" t="s">
        <v>56</v>
      </c>
      <c r="N4945" s="2">
        <v>42</v>
      </c>
      <c r="O4945" s="2">
        <v>864213.01</v>
      </c>
      <c r="P4945" s="2">
        <v>20576.5</v>
      </c>
    </row>
    <row r="4946" spans="1:16" outlineLevel="2" x14ac:dyDescent="0.2">
      <c r="A4946" s="5">
        <v>46230</v>
      </c>
      <c r="B4946" s="2">
        <v>161218</v>
      </c>
      <c r="C4946" s="2">
        <v>14</v>
      </c>
      <c r="D4946" s="2" t="s">
        <v>45</v>
      </c>
      <c r="E4946" s="2" t="s">
        <v>650</v>
      </c>
      <c r="F4946" s="2" t="s">
        <v>289</v>
      </c>
      <c r="G4946" s="2" t="s">
        <v>22</v>
      </c>
      <c r="H4946" s="2" t="s">
        <v>23</v>
      </c>
      <c r="I4946" s="2" t="s">
        <v>23</v>
      </c>
      <c r="J4946" s="2">
        <v>41</v>
      </c>
      <c r="K4946" s="2" t="s">
        <v>129</v>
      </c>
      <c r="L4946" s="2">
        <v>801</v>
      </c>
      <c r="M4946" s="2" t="s">
        <v>56</v>
      </c>
      <c r="N4946" s="2">
        <v>12</v>
      </c>
      <c r="O4946" s="2">
        <v>205386.32</v>
      </c>
      <c r="P4946" s="2">
        <v>17115.53</v>
      </c>
    </row>
    <row r="4947" spans="1:16" outlineLevel="2" x14ac:dyDescent="0.2">
      <c r="A4947" s="5">
        <v>46230</v>
      </c>
      <c r="B4947" s="2">
        <v>161218</v>
      </c>
      <c r="C4947" s="2">
        <v>23</v>
      </c>
      <c r="D4947" s="2" t="s">
        <v>45</v>
      </c>
      <c r="E4947" s="2" t="s">
        <v>604</v>
      </c>
      <c r="F4947" s="2" t="s">
        <v>289</v>
      </c>
      <c r="G4947" s="2" t="s">
        <v>22</v>
      </c>
      <c r="H4947" s="2" t="s">
        <v>23</v>
      </c>
      <c r="I4947" s="2" t="s">
        <v>23</v>
      </c>
      <c r="J4947" s="2">
        <v>41</v>
      </c>
      <c r="K4947" s="2" t="s">
        <v>129</v>
      </c>
      <c r="L4947" s="2">
        <v>801</v>
      </c>
      <c r="M4947" s="2" t="s">
        <v>56</v>
      </c>
      <c r="N4947" s="2">
        <v>5</v>
      </c>
      <c r="O4947" s="2">
        <v>45439.94</v>
      </c>
      <c r="P4947" s="2">
        <v>9087.99</v>
      </c>
    </row>
    <row r="4948" spans="1:16" outlineLevel="2" x14ac:dyDescent="0.2">
      <c r="A4948" s="5">
        <v>46230</v>
      </c>
      <c r="B4948" s="2">
        <v>161218</v>
      </c>
      <c r="C4948" s="2">
        <v>25</v>
      </c>
      <c r="D4948" s="2" t="s">
        <v>45</v>
      </c>
      <c r="E4948" s="2" t="s">
        <v>655</v>
      </c>
      <c r="F4948" s="2" t="s">
        <v>289</v>
      </c>
      <c r="G4948" s="2" t="s">
        <v>22</v>
      </c>
      <c r="H4948" s="2" t="s">
        <v>23</v>
      </c>
      <c r="I4948" s="2" t="s">
        <v>23</v>
      </c>
      <c r="J4948" s="2">
        <v>41</v>
      </c>
      <c r="K4948" s="2" t="s">
        <v>129</v>
      </c>
      <c r="L4948" s="2">
        <v>801</v>
      </c>
      <c r="M4948" s="2" t="s">
        <v>56</v>
      </c>
      <c r="N4948" s="2">
        <v>5</v>
      </c>
      <c r="O4948" s="2">
        <v>108627.8</v>
      </c>
      <c r="P4948" s="2">
        <v>21725.56</v>
      </c>
    </row>
    <row r="4949" spans="1:16" outlineLevel="1" x14ac:dyDescent="0.2">
      <c r="A4949" s="5"/>
      <c r="D4949" s="3" t="s">
        <v>733</v>
      </c>
      <c r="N4949" s="2">
        <f>SUBTOTAL(9,N4941:N4948)</f>
        <v>360</v>
      </c>
      <c r="O4949" s="2">
        <f>SUBTOTAL(9,O4941:O4948)</f>
        <v>7967816.7700000005</v>
      </c>
      <c r="P4949" s="2">
        <f>+O4949/N4949</f>
        <v>22132.824361111114</v>
      </c>
    </row>
    <row r="4950" spans="1:16" outlineLevel="2" x14ac:dyDescent="0.2">
      <c r="A4950" s="5">
        <v>46230</v>
      </c>
      <c r="B4950" s="2">
        <v>161218</v>
      </c>
      <c r="C4950" s="2">
        <v>30</v>
      </c>
      <c r="D4950" s="2" t="s">
        <v>226</v>
      </c>
      <c r="E4950" s="2" t="s">
        <v>276</v>
      </c>
      <c r="F4950" s="2" t="s">
        <v>289</v>
      </c>
      <c r="G4950" s="2" t="s">
        <v>22</v>
      </c>
      <c r="H4950" s="2" t="s">
        <v>23</v>
      </c>
      <c r="I4950" s="2" t="s">
        <v>23</v>
      </c>
      <c r="J4950" s="2">
        <v>41</v>
      </c>
      <c r="K4950" s="2" t="s">
        <v>129</v>
      </c>
      <c r="L4950" s="2">
        <v>801</v>
      </c>
      <c r="M4950" s="2" t="s">
        <v>56</v>
      </c>
      <c r="N4950" s="2">
        <v>71</v>
      </c>
      <c r="O4950" s="2">
        <v>1315547.3500000001</v>
      </c>
      <c r="P4950" s="2">
        <v>18528.84</v>
      </c>
    </row>
    <row r="4951" spans="1:16" outlineLevel="2" x14ac:dyDescent="0.2">
      <c r="A4951" s="5">
        <v>46230</v>
      </c>
      <c r="B4951" s="2">
        <v>161218</v>
      </c>
      <c r="C4951" s="2">
        <v>32</v>
      </c>
      <c r="D4951" s="2" t="s">
        <v>226</v>
      </c>
      <c r="E4951" s="2" t="s">
        <v>568</v>
      </c>
      <c r="F4951" s="2" t="s">
        <v>289</v>
      </c>
      <c r="G4951" s="2" t="s">
        <v>22</v>
      </c>
      <c r="H4951" s="2" t="s">
        <v>23</v>
      </c>
      <c r="I4951" s="2" t="s">
        <v>23</v>
      </c>
      <c r="J4951" s="2">
        <v>41</v>
      </c>
      <c r="K4951" s="2" t="s">
        <v>129</v>
      </c>
      <c r="L4951" s="2">
        <v>801</v>
      </c>
      <c r="M4951" s="2" t="s">
        <v>56</v>
      </c>
      <c r="N4951" s="2">
        <v>24</v>
      </c>
      <c r="O4951" s="2">
        <v>592321.80000000005</v>
      </c>
      <c r="P4951" s="2">
        <v>24680.080000000002</v>
      </c>
    </row>
    <row r="4952" spans="1:16" outlineLevel="2" x14ac:dyDescent="0.2">
      <c r="A4952" s="5">
        <v>46230</v>
      </c>
      <c r="B4952" s="2">
        <v>161218</v>
      </c>
      <c r="C4952" s="2">
        <v>34</v>
      </c>
      <c r="D4952" s="2" t="s">
        <v>226</v>
      </c>
      <c r="E4952" s="2" t="s">
        <v>530</v>
      </c>
      <c r="F4952" s="2" t="s">
        <v>289</v>
      </c>
      <c r="G4952" s="2" t="s">
        <v>22</v>
      </c>
      <c r="H4952" s="2" t="s">
        <v>23</v>
      </c>
      <c r="I4952" s="2" t="s">
        <v>23</v>
      </c>
      <c r="J4952" s="2">
        <v>41</v>
      </c>
      <c r="K4952" s="2" t="s">
        <v>129</v>
      </c>
      <c r="L4952" s="2">
        <v>801</v>
      </c>
      <c r="M4952" s="2" t="s">
        <v>56</v>
      </c>
      <c r="N4952" s="2">
        <v>40</v>
      </c>
      <c r="O4952" s="2">
        <v>918860.69</v>
      </c>
      <c r="P4952" s="2">
        <v>22971.52</v>
      </c>
    </row>
    <row r="4953" spans="1:16" outlineLevel="1" x14ac:dyDescent="0.2">
      <c r="A4953" s="5"/>
      <c r="D4953" s="3" t="s">
        <v>736</v>
      </c>
      <c r="N4953" s="2">
        <f>SUBTOTAL(9,N4950:N4952)</f>
        <v>135</v>
      </c>
      <c r="O4953" s="2">
        <f>SUBTOTAL(9,O4950:O4952)</f>
        <v>2826729.84</v>
      </c>
      <c r="P4953" s="2">
        <f>+O4953/N4953</f>
        <v>20938.739555555556</v>
      </c>
    </row>
    <row r="4954" spans="1:16" outlineLevel="2" x14ac:dyDescent="0.2">
      <c r="A4954" s="5">
        <v>46234</v>
      </c>
      <c r="B4954" s="2">
        <v>161218</v>
      </c>
      <c r="C4954" s="2">
        <v>318</v>
      </c>
      <c r="D4954" s="2" t="s">
        <v>45</v>
      </c>
      <c r="E4954" s="2" t="s">
        <v>228</v>
      </c>
      <c r="F4954" s="2" t="s">
        <v>289</v>
      </c>
      <c r="G4954" s="2" t="s">
        <v>23</v>
      </c>
      <c r="H4954" s="2" t="s">
        <v>23</v>
      </c>
      <c r="I4954" s="2" t="s">
        <v>23</v>
      </c>
      <c r="J4954" s="2">
        <v>2</v>
      </c>
      <c r="K4954" s="2" t="s">
        <v>48</v>
      </c>
      <c r="L4954" s="2">
        <v>801</v>
      </c>
      <c r="M4954" s="2" t="s">
        <v>56</v>
      </c>
      <c r="N4954" s="2">
        <v>13</v>
      </c>
      <c r="O4954" s="2">
        <v>59126.98</v>
      </c>
      <c r="P4954" s="2">
        <v>4548.2299999999996</v>
      </c>
    </row>
    <row r="4955" spans="1:16" outlineLevel="1" x14ac:dyDescent="0.2">
      <c r="A4955" s="5"/>
      <c r="D4955" s="3" t="s">
        <v>733</v>
      </c>
      <c r="N4955" s="2">
        <f>SUBTOTAL(9,N4954:N4954)</f>
        <v>13</v>
      </c>
      <c r="O4955" s="2">
        <f>SUBTOTAL(9,O4954:O4954)</f>
        <v>59126.98</v>
      </c>
      <c r="P4955" s="2">
        <f>+O4955/N4955</f>
        <v>4548.2292307692314</v>
      </c>
    </row>
    <row r="4956" spans="1:16" outlineLevel="2" x14ac:dyDescent="0.2">
      <c r="A4956" s="5">
        <v>46232</v>
      </c>
      <c r="B4956" s="2">
        <v>161230</v>
      </c>
      <c r="C4956" s="2">
        <v>2</v>
      </c>
      <c r="D4956" s="2" t="s">
        <v>404</v>
      </c>
      <c r="E4956" s="2" t="s">
        <v>23</v>
      </c>
      <c r="F4956" s="2" t="s">
        <v>405</v>
      </c>
      <c r="G4956" s="2" t="s">
        <v>22</v>
      </c>
      <c r="H4956" s="2" t="s">
        <v>23</v>
      </c>
      <c r="I4956" s="2" t="s">
        <v>23</v>
      </c>
      <c r="J4956" s="2">
        <v>86</v>
      </c>
      <c r="K4956" s="2" t="s">
        <v>73</v>
      </c>
      <c r="L4956" s="2">
        <v>1795</v>
      </c>
      <c r="M4956" s="2" t="s">
        <v>506</v>
      </c>
      <c r="N4956" s="2">
        <v>93</v>
      </c>
      <c r="O4956" s="2">
        <v>842428.27</v>
      </c>
      <c r="P4956" s="2">
        <v>9058.3700000000008</v>
      </c>
    </row>
    <row r="4957" spans="1:16" outlineLevel="2" x14ac:dyDescent="0.2">
      <c r="A4957" s="5">
        <v>46232</v>
      </c>
      <c r="B4957" s="2">
        <v>161230</v>
      </c>
      <c r="C4957" s="2">
        <v>3</v>
      </c>
      <c r="D4957" s="2" t="s">
        <v>404</v>
      </c>
      <c r="E4957" s="2" t="s">
        <v>23</v>
      </c>
      <c r="F4957" s="2" t="s">
        <v>405</v>
      </c>
      <c r="G4957" s="2" t="s">
        <v>22</v>
      </c>
      <c r="H4957" s="2" t="s">
        <v>23</v>
      </c>
      <c r="I4957" s="2" t="s">
        <v>23</v>
      </c>
      <c r="J4957" s="2">
        <v>1</v>
      </c>
      <c r="K4957" s="2" t="s">
        <v>24</v>
      </c>
      <c r="L4957" s="2">
        <v>1795</v>
      </c>
      <c r="M4957" s="2" t="s">
        <v>506</v>
      </c>
      <c r="N4957" s="2">
        <v>32</v>
      </c>
      <c r="O4957" s="2">
        <v>234896.96</v>
      </c>
      <c r="P4957" s="2">
        <v>7340.53</v>
      </c>
    </row>
    <row r="4958" spans="1:16" outlineLevel="1" x14ac:dyDescent="0.2">
      <c r="A4958" s="5"/>
      <c r="D4958" s="3" t="s">
        <v>769</v>
      </c>
      <c r="N4958" s="2">
        <f>SUBTOTAL(9,N4956:N4957)</f>
        <v>125</v>
      </c>
      <c r="O4958" s="2">
        <f>SUBTOTAL(9,O4956:O4957)</f>
        <v>1077325.23</v>
      </c>
      <c r="P4958" s="2">
        <f>+O4958/N4958</f>
        <v>8618.6018399999994</v>
      </c>
    </row>
    <row r="4959" spans="1:16" outlineLevel="2" x14ac:dyDescent="0.2">
      <c r="A4959" s="5">
        <v>46241</v>
      </c>
      <c r="B4959" s="2">
        <v>161233</v>
      </c>
      <c r="C4959" s="2">
        <v>1</v>
      </c>
      <c r="D4959" s="2" t="s">
        <v>38</v>
      </c>
      <c r="E4959" s="2" t="s">
        <v>39</v>
      </c>
      <c r="F4959" s="2" t="s">
        <v>52</v>
      </c>
      <c r="G4959" s="2" t="s">
        <v>22</v>
      </c>
      <c r="H4959" s="2" t="s">
        <v>23</v>
      </c>
      <c r="I4959" s="2" t="s">
        <v>23</v>
      </c>
      <c r="J4959" s="2">
        <v>1</v>
      </c>
      <c r="K4959" s="2" t="s">
        <v>24</v>
      </c>
      <c r="L4959" s="2">
        <v>206</v>
      </c>
      <c r="M4959" s="2" t="s">
        <v>516</v>
      </c>
      <c r="N4959" s="2">
        <v>128</v>
      </c>
      <c r="O4959" s="2">
        <v>1476224.6</v>
      </c>
      <c r="P4959" s="2">
        <v>11533</v>
      </c>
    </row>
    <row r="4960" spans="1:16" outlineLevel="2" x14ac:dyDescent="0.2">
      <c r="A4960" s="5">
        <v>46241</v>
      </c>
      <c r="B4960" s="2">
        <v>161234</v>
      </c>
      <c r="C4960" s="2">
        <v>1</v>
      </c>
      <c r="D4960" s="2" t="s">
        <v>38</v>
      </c>
      <c r="E4960" s="2" t="s">
        <v>39</v>
      </c>
      <c r="F4960" s="2" t="s">
        <v>52</v>
      </c>
      <c r="G4960" s="2" t="s">
        <v>22</v>
      </c>
      <c r="H4960" s="2" t="s">
        <v>23</v>
      </c>
      <c r="I4960" s="2" t="s">
        <v>23</v>
      </c>
      <c r="J4960" s="2">
        <v>1</v>
      </c>
      <c r="K4960" s="2" t="s">
        <v>24</v>
      </c>
      <c r="L4960" s="2">
        <v>206</v>
      </c>
      <c r="M4960" s="2" t="s">
        <v>516</v>
      </c>
      <c r="N4960" s="2">
        <v>60</v>
      </c>
      <c r="O4960" s="2">
        <v>1198604.48</v>
      </c>
      <c r="P4960" s="2">
        <v>19976.740000000002</v>
      </c>
    </row>
    <row r="4961" spans="1:16" outlineLevel="1" x14ac:dyDescent="0.2">
      <c r="A4961" s="5"/>
      <c r="D4961" s="3" t="s">
        <v>721</v>
      </c>
      <c r="N4961" s="2">
        <f>SUBTOTAL(9,N4959:N4960)</f>
        <v>188</v>
      </c>
      <c r="O4961" s="2">
        <f>SUBTOTAL(9,O4959:O4960)</f>
        <v>2674829.08</v>
      </c>
      <c r="P4961" s="2">
        <f>+O4961/N4961</f>
        <v>14227.81425531915</v>
      </c>
    </row>
    <row r="4962" spans="1:16" outlineLevel="2" x14ac:dyDescent="0.2">
      <c r="A4962" s="5">
        <v>46232</v>
      </c>
      <c r="B4962" s="2">
        <v>161248</v>
      </c>
      <c r="C4962" s="2">
        <v>2</v>
      </c>
      <c r="D4962" s="2" t="s">
        <v>45</v>
      </c>
      <c r="E4962" s="2" t="s">
        <v>581</v>
      </c>
      <c r="F4962" s="2" t="s">
        <v>289</v>
      </c>
      <c r="G4962" s="2" t="s">
        <v>22</v>
      </c>
      <c r="H4962" s="2" t="s">
        <v>23</v>
      </c>
      <c r="I4962" s="2" t="s">
        <v>23</v>
      </c>
      <c r="J4962" s="2">
        <v>41</v>
      </c>
      <c r="K4962" s="2" t="s">
        <v>129</v>
      </c>
      <c r="L4962" s="2">
        <v>801</v>
      </c>
      <c r="M4962" s="2" t="s">
        <v>56</v>
      </c>
      <c r="N4962" s="2">
        <v>57</v>
      </c>
      <c r="O4962" s="2">
        <v>1016406.73</v>
      </c>
      <c r="P4962" s="2">
        <v>17831.7</v>
      </c>
    </row>
    <row r="4963" spans="1:16" outlineLevel="1" x14ac:dyDescent="0.2">
      <c r="A4963" s="5"/>
      <c r="D4963" s="3" t="s">
        <v>733</v>
      </c>
      <c r="N4963" s="2">
        <f>SUBTOTAL(9,N4962:N4962)</f>
        <v>57</v>
      </c>
      <c r="O4963" s="2">
        <f>SUBTOTAL(9,O4962:O4962)</f>
        <v>1016406.73</v>
      </c>
      <c r="P4963" s="2">
        <f>+O4963/N4963</f>
        <v>17831.697017543858</v>
      </c>
    </row>
    <row r="4964" spans="1:16" outlineLevel="2" x14ac:dyDescent="0.2">
      <c r="A4964" s="5">
        <v>46232</v>
      </c>
      <c r="B4964" s="2">
        <v>161248</v>
      </c>
      <c r="C4964" s="2">
        <v>15</v>
      </c>
      <c r="D4964" s="2" t="s">
        <v>226</v>
      </c>
      <c r="E4964" s="2" t="s">
        <v>568</v>
      </c>
      <c r="F4964" s="2" t="s">
        <v>289</v>
      </c>
      <c r="G4964" s="2" t="s">
        <v>22</v>
      </c>
      <c r="H4964" s="2" t="s">
        <v>23</v>
      </c>
      <c r="I4964" s="2" t="s">
        <v>23</v>
      </c>
      <c r="J4964" s="2">
        <v>41</v>
      </c>
      <c r="K4964" s="2" t="s">
        <v>129</v>
      </c>
      <c r="L4964" s="2">
        <v>801</v>
      </c>
      <c r="M4964" s="2" t="s">
        <v>56</v>
      </c>
      <c r="N4964" s="2">
        <v>22</v>
      </c>
      <c r="O4964" s="2">
        <v>397487</v>
      </c>
      <c r="P4964" s="2">
        <v>18067.59</v>
      </c>
    </row>
    <row r="4965" spans="1:16" outlineLevel="2" x14ac:dyDescent="0.2">
      <c r="A4965" s="5">
        <v>46232</v>
      </c>
      <c r="B4965" s="2">
        <v>161248</v>
      </c>
      <c r="C4965" s="2">
        <v>17</v>
      </c>
      <c r="D4965" s="2" t="s">
        <v>226</v>
      </c>
      <c r="E4965" s="2" t="s">
        <v>581</v>
      </c>
      <c r="F4965" s="2" t="s">
        <v>289</v>
      </c>
      <c r="G4965" s="2" t="s">
        <v>22</v>
      </c>
      <c r="H4965" s="2" t="s">
        <v>23</v>
      </c>
      <c r="I4965" s="2" t="s">
        <v>23</v>
      </c>
      <c r="J4965" s="2">
        <v>41</v>
      </c>
      <c r="K4965" s="2" t="s">
        <v>129</v>
      </c>
      <c r="L4965" s="2">
        <v>801</v>
      </c>
      <c r="M4965" s="2" t="s">
        <v>56</v>
      </c>
      <c r="N4965" s="2">
        <v>32</v>
      </c>
      <c r="O4965" s="2">
        <v>733600.48</v>
      </c>
      <c r="P4965" s="2">
        <v>22925.02</v>
      </c>
    </row>
    <row r="4966" spans="1:16" outlineLevel="2" x14ac:dyDescent="0.2">
      <c r="A4966" s="5">
        <v>46232</v>
      </c>
      <c r="B4966" s="2">
        <v>161248</v>
      </c>
      <c r="C4966" s="2">
        <v>19</v>
      </c>
      <c r="D4966" s="2" t="s">
        <v>226</v>
      </c>
      <c r="E4966" s="2" t="s">
        <v>530</v>
      </c>
      <c r="F4966" s="2" t="s">
        <v>289</v>
      </c>
      <c r="G4966" s="2" t="s">
        <v>22</v>
      </c>
      <c r="H4966" s="2" t="s">
        <v>23</v>
      </c>
      <c r="I4966" s="2" t="s">
        <v>23</v>
      </c>
      <c r="J4966" s="2">
        <v>41</v>
      </c>
      <c r="K4966" s="2" t="s">
        <v>129</v>
      </c>
      <c r="L4966" s="2">
        <v>801</v>
      </c>
      <c r="M4966" s="2" t="s">
        <v>56</v>
      </c>
      <c r="N4966" s="2">
        <v>14</v>
      </c>
      <c r="O4966" s="2">
        <v>259863.24</v>
      </c>
      <c r="P4966" s="2">
        <v>18561.66</v>
      </c>
    </row>
    <row r="4967" spans="1:16" outlineLevel="2" x14ac:dyDescent="0.2">
      <c r="A4967" s="5">
        <v>46232</v>
      </c>
      <c r="B4967" s="2">
        <v>161248</v>
      </c>
      <c r="C4967" s="2">
        <v>22</v>
      </c>
      <c r="D4967" s="2" t="s">
        <v>226</v>
      </c>
      <c r="E4967" s="2" t="s">
        <v>151</v>
      </c>
      <c r="F4967" s="2" t="s">
        <v>289</v>
      </c>
      <c r="G4967" s="2" t="s">
        <v>22</v>
      </c>
      <c r="H4967" s="2" t="s">
        <v>23</v>
      </c>
      <c r="I4967" s="2" t="s">
        <v>23</v>
      </c>
      <c r="J4967" s="2">
        <v>41</v>
      </c>
      <c r="K4967" s="2" t="s">
        <v>129</v>
      </c>
      <c r="L4967" s="2">
        <v>801</v>
      </c>
      <c r="M4967" s="2" t="s">
        <v>56</v>
      </c>
      <c r="N4967" s="2">
        <v>13</v>
      </c>
      <c r="O4967" s="2">
        <v>142519.89000000001</v>
      </c>
      <c r="P4967" s="2">
        <v>10963.07</v>
      </c>
    </row>
    <row r="4968" spans="1:16" outlineLevel="1" x14ac:dyDescent="0.2">
      <c r="A4968" s="5"/>
      <c r="D4968" s="3" t="s">
        <v>736</v>
      </c>
      <c r="N4968" s="2">
        <f>SUBTOTAL(9,N4964:N4967)</f>
        <v>81</v>
      </c>
      <c r="O4968" s="2">
        <f>SUBTOTAL(9,O4964:O4967)</f>
        <v>1533470.6099999999</v>
      </c>
      <c r="P4968" s="2">
        <f>+O4968/N4968</f>
        <v>18931.735925925925</v>
      </c>
    </row>
    <row r="4969" spans="1:16" outlineLevel="2" x14ac:dyDescent="0.2">
      <c r="A4969" s="5">
        <v>46234</v>
      </c>
      <c r="B4969" s="2">
        <v>161248</v>
      </c>
      <c r="C4969" s="2">
        <v>307</v>
      </c>
      <c r="D4969" s="2" t="s">
        <v>45</v>
      </c>
      <c r="E4969" s="2" t="s">
        <v>228</v>
      </c>
      <c r="F4969" s="2" t="s">
        <v>289</v>
      </c>
      <c r="G4969" s="2" t="s">
        <v>23</v>
      </c>
      <c r="H4969" s="2" t="s">
        <v>23</v>
      </c>
      <c r="I4969" s="2" t="s">
        <v>23</v>
      </c>
      <c r="J4969" s="2">
        <v>2</v>
      </c>
      <c r="K4969" s="2" t="s">
        <v>48</v>
      </c>
      <c r="L4969" s="2">
        <v>801</v>
      </c>
      <c r="M4969" s="2" t="s">
        <v>56</v>
      </c>
      <c r="N4969" s="2">
        <v>6</v>
      </c>
      <c r="O4969" s="2">
        <v>17742.23</v>
      </c>
      <c r="P4969" s="2">
        <v>2957.04</v>
      </c>
    </row>
    <row r="4970" spans="1:16" outlineLevel="2" x14ac:dyDescent="0.2">
      <c r="A4970" s="5">
        <v>46234</v>
      </c>
      <c r="B4970" s="2">
        <v>161248</v>
      </c>
      <c r="C4970" s="2">
        <v>308</v>
      </c>
      <c r="D4970" s="2" t="s">
        <v>45</v>
      </c>
      <c r="E4970" s="2" t="s">
        <v>228</v>
      </c>
      <c r="F4970" s="2" t="s">
        <v>55</v>
      </c>
      <c r="G4970" s="2" t="s">
        <v>55</v>
      </c>
      <c r="H4970" s="2" t="s">
        <v>23</v>
      </c>
      <c r="I4970" s="2" t="s">
        <v>23</v>
      </c>
      <c r="J4970" s="2">
        <v>1</v>
      </c>
      <c r="K4970" s="2" t="s">
        <v>24</v>
      </c>
      <c r="L4970" s="2">
        <v>801</v>
      </c>
      <c r="M4970" s="2" t="s">
        <v>56</v>
      </c>
      <c r="N4970" s="2">
        <v>4</v>
      </c>
      <c r="O4970" s="2">
        <v>11828.15</v>
      </c>
      <c r="P4970" s="2">
        <v>2957.04</v>
      </c>
    </row>
    <row r="4971" spans="1:16" outlineLevel="1" x14ac:dyDescent="0.2">
      <c r="A4971" s="5"/>
      <c r="D4971" s="3" t="s">
        <v>733</v>
      </c>
      <c r="N4971" s="2">
        <f>SUBTOTAL(9,N4969:N4970)</f>
        <v>10</v>
      </c>
      <c r="O4971" s="2">
        <f>SUBTOTAL(9,O4969:O4970)</f>
        <v>29570.379999999997</v>
      </c>
      <c r="P4971" s="2">
        <f>+O4971/N4971</f>
        <v>2957.0379999999996</v>
      </c>
    </row>
    <row r="4972" spans="1:16" outlineLevel="2" x14ac:dyDescent="0.2">
      <c r="A4972" s="5">
        <v>46232</v>
      </c>
      <c r="B4972" s="2">
        <v>161250</v>
      </c>
      <c r="C4972" s="2">
        <v>1</v>
      </c>
      <c r="D4972" s="2" t="s">
        <v>19</v>
      </c>
      <c r="E4972" s="2" t="s">
        <v>20</v>
      </c>
      <c r="F4972" s="2" t="s">
        <v>199</v>
      </c>
      <c r="G4972" s="2" t="s">
        <v>22</v>
      </c>
      <c r="H4972" s="2" t="s">
        <v>23</v>
      </c>
      <c r="I4972" s="2" t="s">
        <v>23</v>
      </c>
      <c r="J4972" s="2">
        <v>39</v>
      </c>
      <c r="K4972" s="2" t="s">
        <v>172</v>
      </c>
      <c r="L4972" s="2">
        <v>1</v>
      </c>
      <c r="M4972" s="2" t="s">
        <v>265</v>
      </c>
      <c r="N4972" s="2">
        <v>100</v>
      </c>
      <c r="O4972" s="2">
        <v>711883.8</v>
      </c>
      <c r="P4972" s="2">
        <v>7118.84</v>
      </c>
    </row>
    <row r="4973" spans="1:16" outlineLevel="1" x14ac:dyDescent="0.2">
      <c r="A4973" s="5"/>
      <c r="D4973" s="3" t="s">
        <v>704</v>
      </c>
      <c r="N4973" s="2">
        <f>SUBTOTAL(9,N4972:N4972)</f>
        <v>100</v>
      </c>
      <c r="O4973" s="2">
        <f>SUBTOTAL(9,O4972:O4972)</f>
        <v>711883.8</v>
      </c>
      <c r="P4973" s="2">
        <f>+O4973/N4973</f>
        <v>7118.8380000000006</v>
      </c>
    </row>
    <row r="4974" spans="1:16" outlineLevel="2" x14ac:dyDescent="0.2">
      <c r="A4974" s="5">
        <v>46232</v>
      </c>
      <c r="B4974" s="2">
        <v>161251</v>
      </c>
      <c r="C4974" s="2">
        <v>1</v>
      </c>
      <c r="D4974" s="2" t="s">
        <v>474</v>
      </c>
      <c r="E4974" s="2" t="s">
        <v>475</v>
      </c>
      <c r="F4974" s="2" t="s">
        <v>47</v>
      </c>
      <c r="G4974" s="2" t="s">
        <v>22</v>
      </c>
      <c r="H4974" s="2" t="s">
        <v>23</v>
      </c>
      <c r="I4974" s="2" t="s">
        <v>23</v>
      </c>
      <c r="J4974" s="2">
        <v>41</v>
      </c>
      <c r="K4974" s="2" t="s">
        <v>129</v>
      </c>
      <c r="L4974" s="2">
        <v>2338</v>
      </c>
      <c r="M4974" s="2" t="s">
        <v>417</v>
      </c>
      <c r="N4974" s="2">
        <v>417</v>
      </c>
      <c r="O4974" s="2">
        <v>417284.12</v>
      </c>
      <c r="P4974" s="2">
        <v>1000.68</v>
      </c>
    </row>
    <row r="4975" spans="1:16" outlineLevel="1" x14ac:dyDescent="0.2">
      <c r="A4975" s="5"/>
      <c r="D4975" s="3" t="s">
        <v>780</v>
      </c>
      <c r="N4975" s="2">
        <f>SUBTOTAL(9,N4974:N4974)</f>
        <v>417</v>
      </c>
      <c r="O4975" s="2">
        <f>SUBTOTAL(9,O4974:O4974)</f>
        <v>417284.12</v>
      </c>
      <c r="P4975" s="2">
        <f>+O4975/N4975</f>
        <v>1000.6813429256595</v>
      </c>
    </row>
    <row r="4976" spans="1:16" outlineLevel="2" x14ac:dyDescent="0.2">
      <c r="A4976" s="5">
        <v>46232</v>
      </c>
      <c r="B4976" s="2">
        <v>161252</v>
      </c>
      <c r="C4976" s="2">
        <v>1</v>
      </c>
      <c r="D4976" s="2" t="s">
        <v>207</v>
      </c>
      <c r="E4976" s="2" t="s">
        <v>23</v>
      </c>
      <c r="F4976" s="2" t="s">
        <v>47</v>
      </c>
      <c r="G4976" s="2" t="s">
        <v>210</v>
      </c>
      <c r="H4976" s="2" t="s">
        <v>23</v>
      </c>
      <c r="I4976" s="2" t="s">
        <v>23</v>
      </c>
      <c r="J4976" s="2">
        <v>1</v>
      </c>
      <c r="K4976" s="2" t="s">
        <v>24</v>
      </c>
      <c r="L4976" s="2">
        <v>25213</v>
      </c>
      <c r="M4976" s="2" t="s">
        <v>130</v>
      </c>
      <c r="N4976" s="2">
        <v>2</v>
      </c>
      <c r="O4976" s="2">
        <v>130077.46</v>
      </c>
      <c r="P4976" s="2">
        <v>65038.73</v>
      </c>
    </row>
    <row r="4977" spans="1:16" outlineLevel="1" x14ac:dyDescent="0.2">
      <c r="A4977" s="5"/>
      <c r="D4977" s="3" t="s">
        <v>699</v>
      </c>
      <c r="N4977" s="2">
        <f>SUBTOTAL(9,N4976:N4976)</f>
        <v>2</v>
      </c>
      <c r="O4977" s="2">
        <f>SUBTOTAL(9,O4976:O4976)</f>
        <v>130077.46</v>
      </c>
      <c r="P4977" s="2">
        <f>+O4977/N4977</f>
        <v>65038.73</v>
      </c>
    </row>
    <row r="4978" spans="1:16" outlineLevel="2" x14ac:dyDescent="0.2">
      <c r="A4978" s="5">
        <v>46232</v>
      </c>
      <c r="B4978" s="2">
        <v>161252</v>
      </c>
      <c r="C4978" s="2">
        <v>2</v>
      </c>
      <c r="D4978" s="2" t="s">
        <v>294</v>
      </c>
      <c r="E4978" s="2" t="s">
        <v>23</v>
      </c>
      <c r="F4978" s="2" t="s">
        <v>47</v>
      </c>
      <c r="G4978" s="2" t="s">
        <v>22</v>
      </c>
      <c r="H4978" s="2" t="s">
        <v>23</v>
      </c>
      <c r="I4978" s="2" t="s">
        <v>23</v>
      </c>
      <c r="J4978" s="2">
        <v>41</v>
      </c>
      <c r="K4978" s="2" t="s">
        <v>129</v>
      </c>
      <c r="L4978" s="2">
        <v>25213</v>
      </c>
      <c r="M4978" s="2" t="s">
        <v>130</v>
      </c>
      <c r="N4978" s="2">
        <v>25</v>
      </c>
      <c r="O4978" s="2">
        <v>100728.9</v>
      </c>
      <c r="P4978" s="2">
        <v>4029.16</v>
      </c>
    </row>
    <row r="4979" spans="1:16" outlineLevel="1" x14ac:dyDescent="0.2">
      <c r="A4979" s="5"/>
      <c r="D4979" s="3" t="s">
        <v>740</v>
      </c>
      <c r="N4979" s="2">
        <f>SUBTOTAL(9,N4978:N4978)</f>
        <v>25</v>
      </c>
      <c r="O4979" s="2">
        <f>SUBTOTAL(9,O4978:O4978)</f>
        <v>100728.9</v>
      </c>
      <c r="P4979" s="2">
        <f>+O4979/N4979</f>
        <v>4029.1559999999999</v>
      </c>
    </row>
    <row r="4980" spans="1:16" outlineLevel="2" x14ac:dyDescent="0.2">
      <c r="A4980" s="5">
        <v>46232</v>
      </c>
      <c r="B4980" s="2">
        <v>161252</v>
      </c>
      <c r="C4980" s="2">
        <v>3</v>
      </c>
      <c r="D4980" s="2" t="s">
        <v>207</v>
      </c>
      <c r="E4980" s="2" t="s">
        <v>23</v>
      </c>
      <c r="F4980" s="2" t="s">
        <v>47</v>
      </c>
      <c r="G4980" s="2" t="s">
        <v>22</v>
      </c>
      <c r="H4980" s="2" t="s">
        <v>23</v>
      </c>
      <c r="I4980" s="2" t="s">
        <v>23</v>
      </c>
      <c r="J4980" s="2">
        <v>1</v>
      </c>
      <c r="K4980" s="2" t="s">
        <v>24</v>
      </c>
      <c r="L4980" s="2">
        <v>25213</v>
      </c>
      <c r="M4980" s="2" t="s">
        <v>130</v>
      </c>
      <c r="N4980" s="2">
        <v>5</v>
      </c>
      <c r="O4980" s="2">
        <v>418537.5</v>
      </c>
      <c r="P4980" s="2">
        <v>83707.5</v>
      </c>
    </row>
    <row r="4981" spans="1:16" outlineLevel="1" x14ac:dyDescent="0.2">
      <c r="A4981" s="5"/>
      <c r="D4981" s="3" t="s">
        <v>699</v>
      </c>
      <c r="N4981" s="2">
        <f>SUBTOTAL(9,N4980:N4980)</f>
        <v>5</v>
      </c>
      <c r="O4981" s="2">
        <f>SUBTOTAL(9,O4980:O4980)</f>
        <v>418537.5</v>
      </c>
      <c r="P4981" s="2">
        <f>+O4981/N4981</f>
        <v>83707.5</v>
      </c>
    </row>
    <row r="4982" spans="1:16" outlineLevel="2" x14ac:dyDescent="0.2">
      <c r="A4982" s="5">
        <v>46232</v>
      </c>
      <c r="B4982" s="2">
        <v>161252</v>
      </c>
      <c r="C4982" s="2">
        <v>4</v>
      </c>
      <c r="D4982" s="2" t="s">
        <v>128</v>
      </c>
      <c r="E4982" s="2" t="s">
        <v>23</v>
      </c>
      <c r="F4982" s="2" t="s">
        <v>47</v>
      </c>
      <c r="G4982" s="2" t="s">
        <v>22</v>
      </c>
      <c r="H4982" s="2" t="s">
        <v>23</v>
      </c>
      <c r="I4982" s="2" t="s">
        <v>23</v>
      </c>
      <c r="J4982" s="2">
        <v>41</v>
      </c>
      <c r="K4982" s="2" t="s">
        <v>129</v>
      </c>
      <c r="L4982" s="2">
        <v>25213</v>
      </c>
      <c r="M4982" s="2" t="s">
        <v>130</v>
      </c>
      <c r="N4982" s="2">
        <v>25</v>
      </c>
      <c r="O4982" s="2">
        <v>90461</v>
      </c>
      <c r="P4982" s="2">
        <v>3618.44</v>
      </c>
    </row>
    <row r="4983" spans="1:16" outlineLevel="1" x14ac:dyDescent="0.2">
      <c r="A4983" s="5"/>
      <c r="D4983" s="3" t="s">
        <v>732</v>
      </c>
      <c r="N4983" s="2">
        <f>SUBTOTAL(9,N4982:N4982)</f>
        <v>25</v>
      </c>
      <c r="O4983" s="2">
        <f>SUBTOTAL(9,O4982:O4982)</f>
        <v>90461</v>
      </c>
      <c r="P4983" s="2">
        <f>+O4983/N4983</f>
        <v>3618.44</v>
      </c>
    </row>
    <row r="4984" spans="1:16" outlineLevel="2" x14ac:dyDescent="0.2">
      <c r="A4984" s="5">
        <v>46232</v>
      </c>
      <c r="B4984" s="2">
        <v>161252</v>
      </c>
      <c r="C4984" s="2">
        <v>5</v>
      </c>
      <c r="D4984" s="2" t="s">
        <v>207</v>
      </c>
      <c r="E4984" s="2" t="s">
        <v>23</v>
      </c>
      <c r="F4984" s="2" t="s">
        <v>47</v>
      </c>
      <c r="G4984" s="2" t="s">
        <v>22</v>
      </c>
      <c r="H4984" s="2" t="s">
        <v>208</v>
      </c>
      <c r="I4984" s="2" t="s">
        <v>23</v>
      </c>
      <c r="J4984" s="2">
        <v>41</v>
      </c>
      <c r="K4984" s="2" t="s">
        <v>129</v>
      </c>
      <c r="L4984" s="2">
        <v>25213</v>
      </c>
      <c r="M4984" s="2" t="s">
        <v>130</v>
      </c>
      <c r="N4984" s="2">
        <v>75</v>
      </c>
      <c r="O4984" s="2">
        <v>257381.25</v>
      </c>
      <c r="P4984" s="2">
        <v>3431.75</v>
      </c>
    </row>
    <row r="4985" spans="1:16" outlineLevel="1" x14ac:dyDescent="0.2">
      <c r="A4985" s="5"/>
      <c r="D4985" s="3" t="s">
        <v>699</v>
      </c>
      <c r="N4985" s="2">
        <f>SUBTOTAL(9,N4984:N4984)</f>
        <v>75</v>
      </c>
      <c r="O4985" s="2">
        <f>SUBTOTAL(9,O4984:O4984)</f>
        <v>257381.25</v>
      </c>
      <c r="P4985" s="2">
        <f>+O4985/N4985</f>
        <v>3431.75</v>
      </c>
    </row>
    <row r="4986" spans="1:16" outlineLevel="2" x14ac:dyDescent="0.2">
      <c r="A4986" s="5">
        <v>46240</v>
      </c>
      <c r="B4986" s="2">
        <v>161267</v>
      </c>
      <c r="C4986" s="2">
        <v>1</v>
      </c>
      <c r="D4986" s="2" t="s">
        <v>70</v>
      </c>
      <c r="E4986" s="2" t="s">
        <v>23</v>
      </c>
      <c r="F4986" s="2" t="s">
        <v>23</v>
      </c>
      <c r="G4986" s="2" t="s">
        <v>22</v>
      </c>
      <c r="H4986" s="2" t="s">
        <v>23</v>
      </c>
      <c r="I4986" s="2" t="s">
        <v>23</v>
      </c>
      <c r="J4986" s="2">
        <v>86</v>
      </c>
      <c r="K4986" s="2" t="s">
        <v>73</v>
      </c>
      <c r="L4986" s="2">
        <v>794</v>
      </c>
      <c r="M4986" s="2" t="s">
        <v>656</v>
      </c>
      <c r="N4986" s="2">
        <v>1</v>
      </c>
      <c r="O4986" s="2">
        <v>14625.02</v>
      </c>
      <c r="P4986" s="2">
        <v>14625.02</v>
      </c>
    </row>
    <row r="4987" spans="1:16" outlineLevel="1" x14ac:dyDescent="0.2">
      <c r="A4987" s="5"/>
      <c r="D4987" s="3" t="s">
        <v>695</v>
      </c>
      <c r="N4987" s="2">
        <f>SUBTOTAL(9,N4986:N4986)</f>
        <v>1</v>
      </c>
      <c r="O4987" s="2">
        <f>SUBTOTAL(9,O4986:O4986)</f>
        <v>14625.02</v>
      </c>
      <c r="P4987" s="2">
        <f>+O4987/N4987</f>
        <v>14625.02</v>
      </c>
    </row>
    <row r="4988" spans="1:16" outlineLevel="2" x14ac:dyDescent="0.2">
      <c r="A4988" s="5">
        <v>46248</v>
      </c>
      <c r="B4988" s="2">
        <v>161268</v>
      </c>
      <c r="C4988" s="2">
        <v>305</v>
      </c>
      <c r="D4988" s="2" t="s">
        <v>45</v>
      </c>
      <c r="E4988" s="2" t="s">
        <v>46</v>
      </c>
      <c r="F4988" s="2" t="s">
        <v>55</v>
      </c>
      <c r="G4988" s="2" t="s">
        <v>23</v>
      </c>
      <c r="H4988" s="2" t="s">
        <v>23</v>
      </c>
      <c r="I4988" s="2" t="s">
        <v>23</v>
      </c>
      <c r="J4988" s="2">
        <v>2</v>
      </c>
      <c r="K4988" s="2" t="s">
        <v>48</v>
      </c>
      <c r="L4988" s="2">
        <v>626</v>
      </c>
      <c r="M4988" s="2" t="s">
        <v>49</v>
      </c>
      <c r="N4988" s="2">
        <v>3</v>
      </c>
      <c r="O4988" s="2">
        <v>22405.97</v>
      </c>
      <c r="P4988" s="2">
        <v>7468.66</v>
      </c>
    </row>
    <row r="4989" spans="1:16" outlineLevel="1" x14ac:dyDescent="0.2">
      <c r="A4989" s="5"/>
      <c r="D4989" s="3" t="s">
        <v>733</v>
      </c>
      <c r="N4989" s="2">
        <f>SUBTOTAL(9,N4988:N4988)</f>
        <v>3</v>
      </c>
      <c r="O4989" s="2">
        <f>SUBTOTAL(9,O4988:O4988)</f>
        <v>22405.97</v>
      </c>
      <c r="P4989" s="2">
        <f>+O4989/N4989</f>
        <v>7468.6566666666668</v>
      </c>
    </row>
    <row r="4990" spans="1:16" outlineLevel="2" x14ac:dyDescent="0.2">
      <c r="A4990" s="5">
        <v>46234</v>
      </c>
      <c r="B4990" s="2">
        <v>161275</v>
      </c>
      <c r="C4990" s="2">
        <v>1</v>
      </c>
      <c r="D4990" s="2" t="s">
        <v>19</v>
      </c>
      <c r="E4990" s="2" t="s">
        <v>20</v>
      </c>
      <c r="F4990" s="2" t="s">
        <v>199</v>
      </c>
      <c r="G4990" s="2" t="s">
        <v>22</v>
      </c>
      <c r="H4990" s="2" t="s">
        <v>23</v>
      </c>
      <c r="I4990" s="2" t="s">
        <v>23</v>
      </c>
      <c r="J4990" s="2">
        <v>39</v>
      </c>
      <c r="K4990" s="2" t="s">
        <v>172</v>
      </c>
      <c r="L4990" s="2">
        <v>1</v>
      </c>
      <c r="M4990" s="2" t="s">
        <v>265</v>
      </c>
      <c r="N4990" s="2">
        <v>152</v>
      </c>
      <c r="O4990" s="2">
        <v>948208.08</v>
      </c>
      <c r="P4990" s="2">
        <v>6238.21</v>
      </c>
    </row>
    <row r="4991" spans="1:16" outlineLevel="1" x14ac:dyDescent="0.2">
      <c r="A4991" s="5"/>
      <c r="D4991" s="3" t="s">
        <v>704</v>
      </c>
      <c r="N4991" s="2">
        <f>SUBTOTAL(9,N4990:N4990)</f>
        <v>152</v>
      </c>
      <c r="O4991" s="2">
        <f>SUBTOTAL(9,O4990:O4990)</f>
        <v>948208.08</v>
      </c>
      <c r="P4991" s="2">
        <f>+O4991/N4991</f>
        <v>6238.2110526315782</v>
      </c>
    </row>
    <row r="4992" spans="1:16" outlineLevel="2" x14ac:dyDescent="0.2">
      <c r="A4992" s="5">
        <v>46234</v>
      </c>
      <c r="B4992" s="2">
        <v>161276</v>
      </c>
      <c r="C4992" s="2">
        <v>1</v>
      </c>
      <c r="D4992" s="2" t="s">
        <v>128</v>
      </c>
      <c r="E4992" s="2" t="s">
        <v>23</v>
      </c>
      <c r="F4992" s="2" t="s">
        <v>47</v>
      </c>
      <c r="G4992" s="2" t="s">
        <v>22</v>
      </c>
      <c r="H4992" s="2" t="s">
        <v>23</v>
      </c>
      <c r="I4992" s="2" t="s">
        <v>23</v>
      </c>
      <c r="J4992" s="2">
        <v>1</v>
      </c>
      <c r="K4992" s="2" t="s">
        <v>24</v>
      </c>
      <c r="L4992" s="2">
        <v>25213</v>
      </c>
      <c r="M4992" s="2" t="s">
        <v>130</v>
      </c>
      <c r="N4992" s="2">
        <v>3</v>
      </c>
      <c r="O4992" s="2">
        <v>272591.59999999998</v>
      </c>
      <c r="P4992" s="2">
        <v>90863.87</v>
      </c>
    </row>
    <row r="4993" spans="1:16" outlineLevel="1" x14ac:dyDescent="0.2">
      <c r="A4993" s="5"/>
      <c r="D4993" s="3" t="s">
        <v>732</v>
      </c>
      <c r="N4993" s="2">
        <f>SUBTOTAL(9,N4992:N4992)</f>
        <v>3</v>
      </c>
      <c r="O4993" s="2">
        <f>SUBTOTAL(9,O4992:O4992)</f>
        <v>272591.59999999998</v>
      </c>
      <c r="P4993" s="2">
        <f>+O4993/N4993</f>
        <v>90863.866666666654</v>
      </c>
    </row>
    <row r="4994" spans="1:16" outlineLevel="2" x14ac:dyDescent="0.2">
      <c r="A4994" s="5">
        <v>46234</v>
      </c>
      <c r="B4994" s="2">
        <v>161276</v>
      </c>
      <c r="C4994" s="2">
        <v>2</v>
      </c>
      <c r="D4994" s="2" t="s">
        <v>207</v>
      </c>
      <c r="E4994" s="2" t="s">
        <v>23</v>
      </c>
      <c r="F4994" s="2" t="s">
        <v>47</v>
      </c>
      <c r="G4994" s="2" t="s">
        <v>210</v>
      </c>
      <c r="H4994" s="2" t="s">
        <v>23</v>
      </c>
      <c r="I4994" s="2" t="s">
        <v>23</v>
      </c>
      <c r="J4994" s="2">
        <v>1</v>
      </c>
      <c r="K4994" s="2" t="s">
        <v>24</v>
      </c>
      <c r="L4994" s="2">
        <v>25213</v>
      </c>
      <c r="M4994" s="2" t="s">
        <v>130</v>
      </c>
      <c r="N4994" s="2">
        <v>2</v>
      </c>
      <c r="O4994" s="2">
        <v>130077.46</v>
      </c>
      <c r="P4994" s="2">
        <v>65038.73</v>
      </c>
    </row>
    <row r="4995" spans="1:16" outlineLevel="2" x14ac:dyDescent="0.2">
      <c r="A4995" s="5">
        <v>46234</v>
      </c>
      <c r="B4995" s="2">
        <v>161276</v>
      </c>
      <c r="C4995" s="2">
        <v>3</v>
      </c>
      <c r="D4995" s="2" t="s">
        <v>207</v>
      </c>
      <c r="E4995" s="2" t="s">
        <v>23</v>
      </c>
      <c r="F4995" s="2" t="s">
        <v>47</v>
      </c>
      <c r="G4995" s="2" t="s">
        <v>22</v>
      </c>
      <c r="H4995" s="2" t="s">
        <v>23</v>
      </c>
      <c r="I4995" s="2" t="s">
        <v>23</v>
      </c>
      <c r="J4995" s="2">
        <v>1</v>
      </c>
      <c r="K4995" s="2" t="s">
        <v>24</v>
      </c>
      <c r="L4995" s="2">
        <v>25213</v>
      </c>
      <c r="M4995" s="2" t="s">
        <v>130</v>
      </c>
      <c r="N4995" s="2">
        <v>2</v>
      </c>
      <c r="O4995" s="2">
        <v>167415</v>
      </c>
      <c r="P4995" s="2">
        <v>83707.5</v>
      </c>
    </row>
    <row r="4996" spans="1:16" outlineLevel="1" x14ac:dyDescent="0.2">
      <c r="A4996" s="5"/>
      <c r="D4996" s="3" t="s">
        <v>699</v>
      </c>
      <c r="N4996" s="2">
        <f>SUBTOTAL(9,N4994:N4995)</f>
        <v>4</v>
      </c>
      <c r="O4996" s="2">
        <f>SUBTOTAL(9,O4994:O4995)</f>
        <v>297492.46000000002</v>
      </c>
      <c r="P4996" s="2">
        <f>+O4996/N4996</f>
        <v>74373.115000000005</v>
      </c>
    </row>
    <row r="4997" spans="1:16" outlineLevel="2" x14ac:dyDescent="0.2">
      <c r="A4997" s="5">
        <v>46234</v>
      </c>
      <c r="B4997" s="2">
        <v>161276</v>
      </c>
      <c r="C4997" s="2">
        <v>4</v>
      </c>
      <c r="D4997" s="2" t="s">
        <v>294</v>
      </c>
      <c r="E4997" s="2" t="s">
        <v>23</v>
      </c>
      <c r="F4997" s="2" t="s">
        <v>47</v>
      </c>
      <c r="G4997" s="2" t="s">
        <v>22</v>
      </c>
      <c r="H4997" s="2" t="s">
        <v>23</v>
      </c>
      <c r="I4997" s="2" t="s">
        <v>23</v>
      </c>
      <c r="J4997" s="2">
        <v>41</v>
      </c>
      <c r="K4997" s="2" t="s">
        <v>129</v>
      </c>
      <c r="L4997" s="2">
        <v>25213</v>
      </c>
      <c r="M4997" s="2" t="s">
        <v>130</v>
      </c>
      <c r="N4997" s="2">
        <v>25</v>
      </c>
      <c r="O4997" s="2">
        <v>89266.31</v>
      </c>
      <c r="P4997" s="2">
        <v>3570.65</v>
      </c>
    </row>
    <row r="4998" spans="1:16" outlineLevel="1" x14ac:dyDescent="0.2">
      <c r="A4998" s="5"/>
      <c r="D4998" s="3" t="s">
        <v>740</v>
      </c>
      <c r="N4998" s="2">
        <f>SUBTOTAL(9,N4997:N4997)</f>
        <v>25</v>
      </c>
      <c r="O4998" s="2">
        <f>SUBTOTAL(9,O4997:O4997)</f>
        <v>89266.31</v>
      </c>
      <c r="P4998" s="2">
        <f>+O4998/N4998</f>
        <v>3570.6523999999999</v>
      </c>
    </row>
    <row r="4999" spans="1:16" outlineLevel="2" x14ac:dyDescent="0.2">
      <c r="A4999" s="5">
        <v>46234</v>
      </c>
      <c r="B4999" s="2">
        <v>161276</v>
      </c>
      <c r="C4999" s="2">
        <v>5</v>
      </c>
      <c r="D4999" s="2" t="s">
        <v>128</v>
      </c>
      <c r="E4999" s="2" t="s">
        <v>23</v>
      </c>
      <c r="F4999" s="2" t="s">
        <v>47</v>
      </c>
      <c r="G4999" s="2" t="s">
        <v>22</v>
      </c>
      <c r="H4999" s="2" t="s">
        <v>23</v>
      </c>
      <c r="I4999" s="2" t="s">
        <v>23</v>
      </c>
      <c r="J4999" s="2">
        <v>41</v>
      </c>
      <c r="K4999" s="2" t="s">
        <v>129</v>
      </c>
      <c r="L4999" s="2">
        <v>25213</v>
      </c>
      <c r="M4999" s="2" t="s">
        <v>130</v>
      </c>
      <c r="N4999" s="2">
        <v>49</v>
      </c>
      <c r="O4999" s="2">
        <v>174986.47</v>
      </c>
      <c r="P4999" s="2">
        <v>3571.15</v>
      </c>
    </row>
    <row r="5000" spans="1:16" outlineLevel="1" x14ac:dyDescent="0.2">
      <c r="A5000" s="5"/>
      <c r="D5000" s="3" t="s">
        <v>732</v>
      </c>
      <c r="N5000" s="2">
        <f>SUBTOTAL(9,N4999:N4999)</f>
        <v>49</v>
      </c>
      <c r="O5000" s="2">
        <f>SUBTOTAL(9,O4999:O4999)</f>
        <v>174986.47</v>
      </c>
      <c r="P5000" s="2">
        <f>+O5000/N5000</f>
        <v>3571.152448979592</v>
      </c>
    </row>
    <row r="5001" spans="1:16" outlineLevel="2" x14ac:dyDescent="0.2">
      <c r="A5001" s="5">
        <v>46234</v>
      </c>
      <c r="B5001" s="2">
        <v>161276</v>
      </c>
      <c r="C5001" s="2">
        <v>6</v>
      </c>
      <c r="D5001" s="2" t="s">
        <v>207</v>
      </c>
      <c r="E5001" s="2" t="s">
        <v>23</v>
      </c>
      <c r="F5001" s="2" t="s">
        <v>47</v>
      </c>
      <c r="G5001" s="2" t="s">
        <v>22</v>
      </c>
      <c r="H5001" s="2" t="s">
        <v>209</v>
      </c>
      <c r="I5001" s="2" t="s">
        <v>23</v>
      </c>
      <c r="J5001" s="2">
        <v>41</v>
      </c>
      <c r="K5001" s="2" t="s">
        <v>129</v>
      </c>
      <c r="L5001" s="2">
        <v>25213</v>
      </c>
      <c r="M5001" s="2" t="s">
        <v>130</v>
      </c>
      <c r="N5001" s="2">
        <v>48</v>
      </c>
      <c r="O5001" s="2">
        <v>144506.16</v>
      </c>
      <c r="P5001" s="2">
        <v>3010.55</v>
      </c>
    </row>
    <row r="5002" spans="1:16" outlineLevel="2" x14ac:dyDescent="0.2">
      <c r="A5002" s="5">
        <v>46234</v>
      </c>
      <c r="B5002" s="2">
        <v>161276</v>
      </c>
      <c r="C5002" s="2">
        <v>7</v>
      </c>
      <c r="D5002" s="2" t="s">
        <v>207</v>
      </c>
      <c r="E5002" s="2" t="s">
        <v>23</v>
      </c>
      <c r="F5002" s="2" t="s">
        <v>47</v>
      </c>
      <c r="G5002" s="2" t="s">
        <v>22</v>
      </c>
      <c r="H5002" s="2" t="s">
        <v>208</v>
      </c>
      <c r="I5002" s="2" t="s">
        <v>23</v>
      </c>
      <c r="J5002" s="2">
        <v>41</v>
      </c>
      <c r="K5002" s="2" t="s">
        <v>129</v>
      </c>
      <c r="L5002" s="2">
        <v>25213</v>
      </c>
      <c r="M5002" s="2" t="s">
        <v>130</v>
      </c>
      <c r="N5002" s="2">
        <v>78</v>
      </c>
      <c r="O5002" s="2">
        <v>265436.27</v>
      </c>
      <c r="P5002" s="2">
        <v>3403.03</v>
      </c>
    </row>
    <row r="5003" spans="1:16" outlineLevel="1" x14ac:dyDescent="0.2">
      <c r="A5003" s="5"/>
      <c r="D5003" s="3" t="s">
        <v>699</v>
      </c>
      <c r="N5003" s="2">
        <f>SUBTOTAL(9,N5001:N5002)</f>
        <v>126</v>
      </c>
      <c r="O5003" s="2">
        <f>SUBTOTAL(9,O5001:O5002)</f>
        <v>409942.43000000005</v>
      </c>
      <c r="P5003" s="2">
        <f>+O5003/N5003</f>
        <v>3253.5113492063497</v>
      </c>
    </row>
    <row r="5004" spans="1:16" outlineLevel="2" x14ac:dyDescent="0.2">
      <c r="A5004" s="5">
        <v>46234</v>
      </c>
      <c r="B5004" s="2">
        <v>161278</v>
      </c>
      <c r="C5004" s="2">
        <v>1</v>
      </c>
      <c r="D5004" s="2" t="s">
        <v>26</v>
      </c>
      <c r="E5004" s="2" t="s">
        <v>51</v>
      </c>
      <c r="F5004" s="2" t="s">
        <v>52</v>
      </c>
      <c r="G5004" s="2" t="s">
        <v>22</v>
      </c>
      <c r="H5004" s="2" t="s">
        <v>23</v>
      </c>
      <c r="I5004" s="2" t="s">
        <v>23</v>
      </c>
      <c r="J5004" s="2">
        <v>5</v>
      </c>
      <c r="K5004" s="2" t="s">
        <v>27</v>
      </c>
      <c r="L5004" s="2">
        <v>3048</v>
      </c>
      <c r="M5004" s="2" t="s">
        <v>53</v>
      </c>
      <c r="N5004" s="2">
        <v>41</v>
      </c>
      <c r="O5004" s="2">
        <v>214721.54</v>
      </c>
      <c r="P5004" s="2">
        <v>5237.1099999999997</v>
      </c>
    </row>
    <row r="5005" spans="1:16" outlineLevel="1" x14ac:dyDescent="0.2">
      <c r="A5005" s="5"/>
      <c r="D5005" s="3" t="s">
        <v>711</v>
      </c>
      <c r="N5005" s="2">
        <f>SUBTOTAL(9,N5004:N5004)</f>
        <v>41</v>
      </c>
      <c r="O5005" s="2">
        <f>SUBTOTAL(9,O5004:O5004)</f>
        <v>214721.54</v>
      </c>
      <c r="P5005" s="2">
        <f>+O5005/N5005</f>
        <v>5237.1107317073174</v>
      </c>
    </row>
    <row r="5006" spans="1:16" outlineLevel="2" x14ac:dyDescent="0.2">
      <c r="A5006" s="5">
        <v>46248</v>
      </c>
      <c r="B5006" s="2">
        <v>161279</v>
      </c>
      <c r="C5006" s="2">
        <v>304</v>
      </c>
      <c r="D5006" s="2" t="s">
        <v>45</v>
      </c>
      <c r="E5006" s="2" t="s">
        <v>46</v>
      </c>
      <c r="F5006" s="2" t="s">
        <v>55</v>
      </c>
      <c r="G5006" s="2" t="s">
        <v>23</v>
      </c>
      <c r="H5006" s="2" t="s">
        <v>23</v>
      </c>
      <c r="I5006" s="2" t="s">
        <v>23</v>
      </c>
      <c r="J5006" s="2">
        <v>2</v>
      </c>
      <c r="K5006" s="2" t="s">
        <v>48</v>
      </c>
      <c r="L5006" s="2">
        <v>626</v>
      </c>
      <c r="M5006" s="2" t="s">
        <v>49</v>
      </c>
      <c r="N5006" s="2">
        <v>1</v>
      </c>
      <c r="O5006" s="2">
        <v>6224.07</v>
      </c>
      <c r="P5006" s="2">
        <v>6224.07</v>
      </c>
    </row>
    <row r="5007" spans="1:16" outlineLevel="1" x14ac:dyDescent="0.2">
      <c r="A5007" s="5"/>
      <c r="D5007" s="3" t="s">
        <v>733</v>
      </c>
      <c r="N5007" s="2">
        <f>SUBTOTAL(9,N5006:N5006)</f>
        <v>1</v>
      </c>
      <c r="O5007" s="2">
        <f>SUBTOTAL(9,O5006:O5006)</f>
        <v>6224.07</v>
      </c>
      <c r="P5007" s="2">
        <f>+O5007/N5007</f>
        <v>6224.07</v>
      </c>
    </row>
    <row r="5008" spans="1:16" outlineLevel="2" x14ac:dyDescent="0.2">
      <c r="A5008" s="5">
        <v>46237</v>
      </c>
      <c r="B5008" s="2">
        <v>161285</v>
      </c>
      <c r="C5008" s="2">
        <v>1</v>
      </c>
      <c r="D5008" s="2" t="s">
        <v>618</v>
      </c>
      <c r="E5008" s="2" t="s">
        <v>657</v>
      </c>
      <c r="F5008" s="2" t="s">
        <v>40</v>
      </c>
      <c r="G5008" s="2" t="s">
        <v>22</v>
      </c>
      <c r="H5008" s="2" t="s">
        <v>23</v>
      </c>
      <c r="I5008" s="2" t="s">
        <v>23</v>
      </c>
      <c r="J5008" s="2">
        <v>5</v>
      </c>
      <c r="K5008" s="2" t="s">
        <v>27</v>
      </c>
      <c r="L5008" s="2">
        <v>2521</v>
      </c>
      <c r="M5008" s="2" t="s">
        <v>82</v>
      </c>
      <c r="N5008" s="2">
        <v>375</v>
      </c>
      <c r="O5008" s="2">
        <v>9737374.9499999993</v>
      </c>
      <c r="P5008" s="2">
        <v>25966.33</v>
      </c>
    </row>
    <row r="5009" spans="1:16" outlineLevel="1" x14ac:dyDescent="0.2">
      <c r="A5009" s="5"/>
      <c r="D5009" s="3" t="s">
        <v>804</v>
      </c>
      <c r="N5009" s="2">
        <f>SUBTOTAL(9,N5008:N5008)</f>
        <v>375</v>
      </c>
      <c r="O5009" s="2">
        <f>SUBTOTAL(9,O5008:O5008)</f>
        <v>9737374.9499999993</v>
      </c>
      <c r="P5009" s="2">
        <f>+O5009/N5009</f>
        <v>25966.333199999997</v>
      </c>
    </row>
    <row r="5010" spans="1:16" outlineLevel="2" x14ac:dyDescent="0.2">
      <c r="A5010" s="5">
        <v>46238</v>
      </c>
      <c r="B5010" s="2">
        <v>161286</v>
      </c>
      <c r="C5010" s="2">
        <v>1</v>
      </c>
      <c r="D5010" s="2" t="s">
        <v>38</v>
      </c>
      <c r="E5010" s="2" t="s">
        <v>39</v>
      </c>
      <c r="F5010" s="2" t="s">
        <v>40</v>
      </c>
      <c r="G5010" s="2" t="s">
        <v>407</v>
      </c>
      <c r="H5010" s="2" t="s">
        <v>23</v>
      </c>
      <c r="I5010" s="2" t="s">
        <v>184</v>
      </c>
      <c r="J5010" s="2">
        <v>40</v>
      </c>
      <c r="K5010" s="2" t="s">
        <v>43</v>
      </c>
      <c r="L5010" s="2">
        <v>1502</v>
      </c>
      <c r="M5010" s="2" t="s">
        <v>114</v>
      </c>
      <c r="N5010" s="2">
        <v>650</v>
      </c>
      <c r="O5010" s="2">
        <v>22647913.84</v>
      </c>
      <c r="P5010" s="2">
        <v>34842.94</v>
      </c>
    </row>
    <row r="5011" spans="1:16" outlineLevel="2" x14ac:dyDescent="0.2">
      <c r="A5011" s="5">
        <v>46238</v>
      </c>
      <c r="B5011" s="2">
        <v>161286</v>
      </c>
      <c r="C5011" s="2">
        <v>2</v>
      </c>
      <c r="D5011" s="2" t="s">
        <v>38</v>
      </c>
      <c r="E5011" s="2" t="s">
        <v>39</v>
      </c>
      <c r="F5011" s="2" t="s">
        <v>40</v>
      </c>
      <c r="G5011" s="2" t="s">
        <v>407</v>
      </c>
      <c r="H5011" s="2" t="s">
        <v>23</v>
      </c>
      <c r="I5011" s="2" t="s">
        <v>614</v>
      </c>
      <c r="J5011" s="2">
        <v>40</v>
      </c>
      <c r="K5011" s="2" t="s">
        <v>43</v>
      </c>
      <c r="L5011" s="2">
        <v>2813</v>
      </c>
      <c r="M5011" s="2" t="s">
        <v>653</v>
      </c>
      <c r="N5011" s="2">
        <v>283</v>
      </c>
      <c r="O5011" s="2">
        <v>11269996.380000001</v>
      </c>
      <c r="P5011" s="2">
        <v>39823.31</v>
      </c>
    </row>
    <row r="5012" spans="1:16" outlineLevel="2" x14ac:dyDescent="0.2">
      <c r="A5012" s="5">
        <v>46234</v>
      </c>
      <c r="B5012" s="2">
        <v>161286</v>
      </c>
      <c r="C5012" s="2">
        <v>3</v>
      </c>
      <c r="D5012" s="2" t="s">
        <v>38</v>
      </c>
      <c r="E5012" s="2" t="s">
        <v>39</v>
      </c>
      <c r="F5012" s="2" t="s">
        <v>40</v>
      </c>
      <c r="G5012" s="2" t="s">
        <v>22</v>
      </c>
      <c r="H5012" s="2" t="s">
        <v>23</v>
      </c>
      <c r="I5012" s="2" t="s">
        <v>23</v>
      </c>
      <c r="J5012" s="2">
        <v>40</v>
      </c>
      <c r="K5012" s="2" t="s">
        <v>43</v>
      </c>
      <c r="L5012" s="2">
        <v>25243</v>
      </c>
      <c r="M5012" s="2" t="s">
        <v>617</v>
      </c>
      <c r="N5012" s="2">
        <v>58</v>
      </c>
      <c r="O5012" s="2">
        <v>1813843.43</v>
      </c>
      <c r="P5012" s="2">
        <v>31273.16</v>
      </c>
    </row>
    <row r="5013" spans="1:16" outlineLevel="2" x14ac:dyDescent="0.2">
      <c r="A5013" s="5">
        <v>46244</v>
      </c>
      <c r="B5013" s="2">
        <v>161287</v>
      </c>
      <c r="C5013" s="2">
        <v>2</v>
      </c>
      <c r="D5013" s="2" t="s">
        <v>38</v>
      </c>
      <c r="E5013" s="2" t="s">
        <v>39</v>
      </c>
      <c r="F5013" s="2" t="s">
        <v>40</v>
      </c>
      <c r="G5013" s="2" t="s">
        <v>41</v>
      </c>
      <c r="H5013" s="2" t="s">
        <v>23</v>
      </c>
      <c r="I5013" s="2" t="s">
        <v>658</v>
      </c>
      <c r="J5013" s="2">
        <v>40</v>
      </c>
      <c r="K5013" s="2" t="s">
        <v>43</v>
      </c>
      <c r="L5013" s="2">
        <v>2813</v>
      </c>
      <c r="M5013" s="2" t="s">
        <v>653</v>
      </c>
      <c r="N5013" s="2">
        <v>38</v>
      </c>
      <c r="O5013" s="2">
        <v>1221902.46</v>
      </c>
      <c r="P5013" s="2">
        <v>32155.33</v>
      </c>
    </row>
    <row r="5014" spans="1:16" outlineLevel="2" x14ac:dyDescent="0.2">
      <c r="A5014" s="5">
        <v>46244</v>
      </c>
      <c r="B5014" s="2">
        <v>161287</v>
      </c>
      <c r="C5014" s="2">
        <v>5</v>
      </c>
      <c r="D5014" s="2" t="s">
        <v>38</v>
      </c>
      <c r="E5014" s="2" t="s">
        <v>39</v>
      </c>
      <c r="F5014" s="2" t="s">
        <v>40</v>
      </c>
      <c r="G5014" s="2" t="s">
        <v>407</v>
      </c>
      <c r="H5014" s="2" t="s">
        <v>23</v>
      </c>
      <c r="I5014" s="2" t="s">
        <v>659</v>
      </c>
      <c r="J5014" s="2">
        <v>40</v>
      </c>
      <c r="K5014" s="2" t="s">
        <v>43</v>
      </c>
      <c r="L5014" s="2">
        <v>2813</v>
      </c>
      <c r="M5014" s="2" t="s">
        <v>653</v>
      </c>
      <c r="N5014" s="2">
        <v>47</v>
      </c>
      <c r="O5014" s="2">
        <v>1389322.35</v>
      </c>
      <c r="P5014" s="2">
        <v>29560.05</v>
      </c>
    </row>
    <row r="5015" spans="1:16" outlineLevel="2" x14ac:dyDescent="0.2">
      <c r="A5015" s="5">
        <v>46244</v>
      </c>
      <c r="B5015" s="2">
        <v>161287</v>
      </c>
      <c r="C5015" s="2">
        <v>6</v>
      </c>
      <c r="D5015" s="2" t="s">
        <v>38</v>
      </c>
      <c r="E5015" s="2" t="s">
        <v>39</v>
      </c>
      <c r="F5015" s="2" t="s">
        <v>40</v>
      </c>
      <c r="G5015" s="2" t="s">
        <v>407</v>
      </c>
      <c r="H5015" s="2" t="s">
        <v>23</v>
      </c>
      <c r="I5015" s="2" t="s">
        <v>658</v>
      </c>
      <c r="J5015" s="2">
        <v>40</v>
      </c>
      <c r="K5015" s="2" t="s">
        <v>43</v>
      </c>
      <c r="L5015" s="2">
        <v>2813</v>
      </c>
      <c r="M5015" s="2" t="s">
        <v>653</v>
      </c>
      <c r="N5015" s="2">
        <v>343</v>
      </c>
      <c r="O5015" s="2">
        <v>13034499.73</v>
      </c>
      <c r="P5015" s="2">
        <v>38001.46</v>
      </c>
    </row>
    <row r="5016" spans="1:16" outlineLevel="1" x14ac:dyDescent="0.2">
      <c r="A5016" s="5"/>
      <c r="D5016" s="3" t="s">
        <v>721</v>
      </c>
      <c r="N5016" s="2">
        <f>SUBTOTAL(9,N5010:N5015)</f>
        <v>1419</v>
      </c>
      <c r="O5016" s="2">
        <f>SUBTOTAL(9,O5010:O5015)</f>
        <v>51377478.189999998</v>
      </c>
      <c r="P5016" s="2">
        <f>+O5016/N5016</f>
        <v>36206.820429880194</v>
      </c>
    </row>
    <row r="5017" spans="1:16" outlineLevel="2" x14ac:dyDescent="0.2">
      <c r="A5017" s="5">
        <v>46232</v>
      </c>
      <c r="B5017" s="2">
        <v>161318</v>
      </c>
      <c r="C5017" s="2">
        <v>5</v>
      </c>
      <c r="D5017" s="2" t="s">
        <v>45</v>
      </c>
      <c r="E5017" s="2" t="s">
        <v>125</v>
      </c>
      <c r="F5017" s="2" t="s">
        <v>289</v>
      </c>
      <c r="G5017" s="2" t="s">
        <v>22</v>
      </c>
      <c r="H5017" s="2" t="s">
        <v>23</v>
      </c>
      <c r="I5017" s="2" t="s">
        <v>23</v>
      </c>
      <c r="J5017" s="2">
        <v>2</v>
      </c>
      <c r="K5017" s="2" t="s">
        <v>48</v>
      </c>
      <c r="L5017" s="2">
        <v>106</v>
      </c>
      <c r="M5017" s="2" t="s">
        <v>486</v>
      </c>
      <c r="N5017" s="2">
        <v>168</v>
      </c>
      <c r="O5017" s="2">
        <v>2975933.85</v>
      </c>
      <c r="P5017" s="2">
        <v>17713.89</v>
      </c>
    </row>
    <row r="5018" spans="1:16" outlineLevel="1" x14ac:dyDescent="0.2">
      <c r="A5018" s="5"/>
      <c r="D5018" s="3" t="s">
        <v>733</v>
      </c>
      <c r="N5018" s="2">
        <f>SUBTOTAL(9,N5017:N5017)</f>
        <v>168</v>
      </c>
      <c r="O5018" s="2">
        <f>SUBTOTAL(9,O5017:O5017)</f>
        <v>2975933.85</v>
      </c>
      <c r="P5018" s="2">
        <f>+O5018/N5018</f>
        <v>17713.891964285714</v>
      </c>
    </row>
    <row r="5019" spans="1:16" outlineLevel="2" x14ac:dyDescent="0.2">
      <c r="A5019" s="5">
        <v>46237</v>
      </c>
      <c r="B5019" s="2">
        <v>161326</v>
      </c>
      <c r="C5019" s="2">
        <v>1</v>
      </c>
      <c r="D5019" s="2" t="s">
        <v>19</v>
      </c>
      <c r="E5019" s="2" t="s">
        <v>20</v>
      </c>
      <c r="F5019" s="2" t="s">
        <v>21</v>
      </c>
      <c r="G5019" s="2" t="s">
        <v>22</v>
      </c>
      <c r="H5019" s="2" t="s">
        <v>23</v>
      </c>
      <c r="I5019" s="2" t="s">
        <v>23</v>
      </c>
      <c r="J5019" s="2">
        <v>1</v>
      </c>
      <c r="K5019" s="2" t="s">
        <v>24</v>
      </c>
      <c r="L5019" s="2">
        <v>25205</v>
      </c>
      <c r="M5019" s="2" t="s">
        <v>171</v>
      </c>
      <c r="N5019" s="2">
        <v>118</v>
      </c>
      <c r="O5019" s="2">
        <v>8146365.0099999998</v>
      </c>
      <c r="P5019" s="2">
        <v>69036.990000000005</v>
      </c>
    </row>
    <row r="5020" spans="1:16" outlineLevel="2" x14ac:dyDescent="0.2">
      <c r="A5020" s="5">
        <v>46244</v>
      </c>
      <c r="B5020" s="2">
        <v>161326</v>
      </c>
      <c r="C5020" s="2">
        <v>2</v>
      </c>
      <c r="D5020" s="2" t="s">
        <v>19</v>
      </c>
      <c r="E5020" s="2" t="s">
        <v>20</v>
      </c>
      <c r="F5020" s="2" t="s">
        <v>21</v>
      </c>
      <c r="G5020" s="2" t="s">
        <v>22</v>
      </c>
      <c r="H5020" s="2" t="s">
        <v>23</v>
      </c>
      <c r="I5020" s="2" t="s">
        <v>23</v>
      </c>
      <c r="J5020" s="2">
        <v>1</v>
      </c>
      <c r="K5020" s="2" t="s">
        <v>24</v>
      </c>
      <c r="L5020" s="2">
        <v>25205</v>
      </c>
      <c r="M5020" s="2" t="s">
        <v>171</v>
      </c>
      <c r="N5020" s="2">
        <v>72</v>
      </c>
      <c r="O5020" s="2">
        <v>4426760.2300000004</v>
      </c>
      <c r="P5020" s="2">
        <v>61482.78</v>
      </c>
    </row>
    <row r="5021" spans="1:16" outlineLevel="2" x14ac:dyDescent="0.2">
      <c r="A5021" s="5">
        <v>46237</v>
      </c>
      <c r="B5021" s="2">
        <v>161326</v>
      </c>
      <c r="C5021" s="2">
        <v>3</v>
      </c>
      <c r="D5021" s="2" t="s">
        <v>19</v>
      </c>
      <c r="E5021" s="2" t="s">
        <v>20</v>
      </c>
      <c r="F5021" s="2" t="s">
        <v>21</v>
      </c>
      <c r="G5021" s="2" t="s">
        <v>22</v>
      </c>
      <c r="H5021" s="2" t="s">
        <v>23</v>
      </c>
      <c r="I5021" s="2" t="s">
        <v>23</v>
      </c>
      <c r="J5021" s="2">
        <v>1</v>
      </c>
      <c r="K5021" s="2" t="s">
        <v>24</v>
      </c>
      <c r="L5021" s="2">
        <v>25205</v>
      </c>
      <c r="M5021" s="2" t="s">
        <v>171</v>
      </c>
      <c r="N5021" s="2">
        <v>25</v>
      </c>
      <c r="O5021" s="2">
        <v>1859128</v>
      </c>
      <c r="P5021" s="2">
        <v>74365.119999999995</v>
      </c>
    </row>
    <row r="5022" spans="1:16" outlineLevel="1" x14ac:dyDescent="0.2">
      <c r="A5022" s="5"/>
      <c r="D5022" s="3" t="s">
        <v>704</v>
      </c>
      <c r="N5022" s="2">
        <f>SUBTOTAL(9,N5019:N5021)</f>
        <v>215</v>
      </c>
      <c r="O5022" s="2">
        <f>SUBTOTAL(9,O5019:O5021)</f>
        <v>14432253.24</v>
      </c>
      <c r="P5022" s="2">
        <f>+O5022/N5022</f>
        <v>67126.759255813959</v>
      </c>
    </row>
    <row r="5023" spans="1:16" outlineLevel="2" x14ac:dyDescent="0.2">
      <c r="A5023" s="5">
        <v>46234</v>
      </c>
      <c r="B5023" s="2">
        <v>161329</v>
      </c>
      <c r="C5023" s="2">
        <v>1</v>
      </c>
      <c r="D5023" s="2" t="s">
        <v>57</v>
      </c>
      <c r="E5023" s="2" t="s">
        <v>443</v>
      </c>
      <c r="F5023" s="2" t="s">
        <v>31</v>
      </c>
      <c r="G5023" s="2" t="s">
        <v>23</v>
      </c>
      <c r="H5023" s="2" t="s">
        <v>23</v>
      </c>
      <c r="I5023" s="2" t="s">
        <v>23</v>
      </c>
      <c r="J5023" s="2">
        <v>1</v>
      </c>
      <c r="K5023" s="2" t="s">
        <v>24</v>
      </c>
      <c r="L5023" s="2">
        <v>226</v>
      </c>
      <c r="M5023" s="2" t="s">
        <v>59</v>
      </c>
      <c r="N5023" s="2">
        <v>2</v>
      </c>
      <c r="O5023" s="2">
        <v>77788.86</v>
      </c>
      <c r="P5023" s="2">
        <v>38894.43</v>
      </c>
    </row>
    <row r="5024" spans="1:16" outlineLevel="1" x14ac:dyDescent="0.2">
      <c r="A5024" s="5"/>
      <c r="D5024" s="3" t="s">
        <v>716</v>
      </c>
      <c r="N5024" s="2">
        <f>SUBTOTAL(9,N5023:N5023)</f>
        <v>2</v>
      </c>
      <c r="O5024" s="2">
        <f>SUBTOTAL(9,O5023:O5023)</f>
        <v>77788.86</v>
      </c>
      <c r="P5024" s="2">
        <f>+O5024/N5024</f>
        <v>38894.43</v>
      </c>
    </row>
    <row r="5025" spans="1:16" outlineLevel="2" x14ac:dyDescent="0.2">
      <c r="A5025" s="5">
        <v>46234</v>
      </c>
      <c r="B5025" s="2">
        <v>161329</v>
      </c>
      <c r="C5025" s="2">
        <v>2</v>
      </c>
      <c r="D5025" s="2" t="s">
        <v>60</v>
      </c>
      <c r="E5025" s="2" t="s">
        <v>387</v>
      </c>
      <c r="F5025" s="2" t="s">
        <v>31</v>
      </c>
      <c r="G5025" s="2" t="s">
        <v>23</v>
      </c>
      <c r="H5025" s="2" t="s">
        <v>23</v>
      </c>
      <c r="I5025" s="2" t="s">
        <v>23</v>
      </c>
      <c r="J5025" s="2">
        <v>78</v>
      </c>
      <c r="K5025" s="2" t="s">
        <v>212</v>
      </c>
      <c r="L5025" s="2">
        <v>226</v>
      </c>
      <c r="M5025" s="2" t="s">
        <v>59</v>
      </c>
      <c r="N5025" s="2">
        <v>91</v>
      </c>
      <c r="O5025" s="2">
        <v>1661489.95</v>
      </c>
      <c r="P5025" s="2">
        <v>18258.13</v>
      </c>
    </row>
    <row r="5026" spans="1:16" outlineLevel="1" x14ac:dyDescent="0.2">
      <c r="A5026" s="5"/>
      <c r="D5026" s="3" t="s">
        <v>728</v>
      </c>
      <c r="N5026" s="2">
        <f>SUBTOTAL(9,N5025:N5025)</f>
        <v>91</v>
      </c>
      <c r="O5026" s="2">
        <f>SUBTOTAL(9,O5025:O5025)</f>
        <v>1661489.95</v>
      </c>
      <c r="P5026" s="2">
        <f>+O5026/N5026</f>
        <v>18258.131318681317</v>
      </c>
    </row>
    <row r="5027" spans="1:16" outlineLevel="2" x14ac:dyDescent="0.2">
      <c r="A5027" s="5">
        <v>46234</v>
      </c>
      <c r="B5027" s="2">
        <v>161330</v>
      </c>
      <c r="C5027" s="2">
        <v>1</v>
      </c>
      <c r="D5027" s="2" t="s">
        <v>75</v>
      </c>
      <c r="E5027" s="2" t="s">
        <v>23</v>
      </c>
      <c r="F5027" s="2" t="s">
        <v>108</v>
      </c>
      <c r="G5027" s="2" t="s">
        <v>22</v>
      </c>
      <c r="H5027" s="2" t="s">
        <v>23</v>
      </c>
      <c r="I5027" s="2" t="s">
        <v>100</v>
      </c>
      <c r="J5027" s="2">
        <v>1</v>
      </c>
      <c r="K5027" s="2" t="s">
        <v>24</v>
      </c>
      <c r="L5027" s="2">
        <v>2024</v>
      </c>
      <c r="M5027" s="2" t="s">
        <v>76</v>
      </c>
      <c r="N5027" s="2">
        <v>564</v>
      </c>
      <c r="O5027" s="2">
        <v>20978958.210000001</v>
      </c>
      <c r="P5027" s="2">
        <v>37196.730000000003</v>
      </c>
    </row>
    <row r="5028" spans="1:16" outlineLevel="2" x14ac:dyDescent="0.2">
      <c r="A5028" s="5">
        <v>46234</v>
      </c>
      <c r="B5028" s="2">
        <v>161330</v>
      </c>
      <c r="C5028" s="2">
        <v>2</v>
      </c>
      <c r="D5028" s="2" t="s">
        <v>75</v>
      </c>
      <c r="E5028" s="2" t="s">
        <v>23</v>
      </c>
      <c r="F5028" s="2" t="s">
        <v>108</v>
      </c>
      <c r="G5028" s="2" t="s">
        <v>22</v>
      </c>
      <c r="H5028" s="2" t="s">
        <v>23</v>
      </c>
      <c r="I5028" s="2" t="s">
        <v>109</v>
      </c>
      <c r="J5028" s="2">
        <v>1</v>
      </c>
      <c r="K5028" s="2" t="s">
        <v>24</v>
      </c>
      <c r="L5028" s="2">
        <v>2024</v>
      </c>
      <c r="M5028" s="2" t="s">
        <v>76</v>
      </c>
      <c r="N5028" s="2">
        <v>314</v>
      </c>
      <c r="O5028" s="2">
        <v>12144356.49</v>
      </c>
      <c r="P5028" s="2">
        <v>38676.29</v>
      </c>
    </row>
    <row r="5029" spans="1:16" outlineLevel="2" x14ac:dyDescent="0.2">
      <c r="A5029" s="5">
        <v>46238</v>
      </c>
      <c r="B5029" s="2">
        <v>161330</v>
      </c>
      <c r="C5029" s="2">
        <v>3</v>
      </c>
      <c r="D5029" s="2" t="s">
        <v>75</v>
      </c>
      <c r="E5029" s="2" t="s">
        <v>23</v>
      </c>
      <c r="F5029" s="2" t="s">
        <v>108</v>
      </c>
      <c r="G5029" s="2" t="s">
        <v>22</v>
      </c>
      <c r="H5029" s="2" t="s">
        <v>23</v>
      </c>
      <c r="I5029" s="2" t="s">
        <v>101</v>
      </c>
      <c r="J5029" s="2">
        <v>1</v>
      </c>
      <c r="K5029" s="2" t="s">
        <v>24</v>
      </c>
      <c r="L5029" s="2">
        <v>2024</v>
      </c>
      <c r="M5029" s="2" t="s">
        <v>76</v>
      </c>
      <c r="N5029" s="2">
        <v>57</v>
      </c>
      <c r="O5029" s="2">
        <v>2150074.9</v>
      </c>
      <c r="P5029" s="2">
        <v>37720.61</v>
      </c>
    </row>
    <row r="5030" spans="1:16" outlineLevel="2" x14ac:dyDescent="0.2">
      <c r="A5030" s="5">
        <v>46238</v>
      </c>
      <c r="B5030" s="2">
        <v>161330</v>
      </c>
      <c r="C5030" s="2">
        <v>300</v>
      </c>
      <c r="D5030" s="2" t="s">
        <v>75</v>
      </c>
      <c r="E5030" s="2" t="s">
        <v>23</v>
      </c>
      <c r="F5030" s="2" t="s">
        <v>108</v>
      </c>
      <c r="G5030" s="2" t="s">
        <v>22</v>
      </c>
      <c r="H5030" s="2" t="s">
        <v>23</v>
      </c>
      <c r="I5030" s="2" t="s">
        <v>23</v>
      </c>
      <c r="J5030" s="2">
        <v>94</v>
      </c>
      <c r="K5030" s="2" t="s">
        <v>147</v>
      </c>
      <c r="L5030" s="2">
        <v>2024</v>
      </c>
      <c r="M5030" s="2" t="s">
        <v>76</v>
      </c>
      <c r="N5030" s="2">
        <v>86</v>
      </c>
      <c r="O5030" s="2">
        <v>3025371.93</v>
      </c>
      <c r="P5030" s="2">
        <v>35178.74</v>
      </c>
    </row>
    <row r="5031" spans="1:16" outlineLevel="1" x14ac:dyDescent="0.2">
      <c r="A5031" s="5"/>
      <c r="D5031" s="3" t="s">
        <v>729</v>
      </c>
      <c r="N5031" s="2">
        <f>SUBTOTAL(9,N5027:N5030)</f>
        <v>1021</v>
      </c>
      <c r="O5031" s="2">
        <f>SUBTOTAL(9,O5027:O5030)</f>
        <v>38298761.530000001</v>
      </c>
      <c r="P5031" s="2">
        <f>+O5031/N5031</f>
        <v>37511.029902056805</v>
      </c>
    </row>
    <row r="5032" spans="1:16" outlineLevel="2" x14ac:dyDescent="0.2">
      <c r="A5032" s="5">
        <v>46239</v>
      </c>
      <c r="B5032" s="2">
        <v>161331</v>
      </c>
      <c r="C5032" s="2">
        <v>1</v>
      </c>
      <c r="D5032" s="2" t="s">
        <v>38</v>
      </c>
      <c r="E5032" s="2" t="s">
        <v>39</v>
      </c>
      <c r="F5032" s="2" t="s">
        <v>40</v>
      </c>
      <c r="G5032" s="2" t="s">
        <v>41</v>
      </c>
      <c r="H5032" s="2" t="s">
        <v>23</v>
      </c>
      <c r="I5032" s="2" t="s">
        <v>660</v>
      </c>
      <c r="J5032" s="2">
        <v>40</v>
      </c>
      <c r="K5032" s="2" t="s">
        <v>43</v>
      </c>
      <c r="L5032" s="2">
        <v>2813</v>
      </c>
      <c r="M5032" s="2" t="s">
        <v>653</v>
      </c>
      <c r="N5032" s="2">
        <v>528</v>
      </c>
      <c r="O5032" s="2">
        <v>17391802.859999999</v>
      </c>
      <c r="P5032" s="2">
        <v>32939.019999999997</v>
      </c>
    </row>
    <row r="5033" spans="1:16" outlineLevel="2" x14ac:dyDescent="0.2">
      <c r="A5033" s="5">
        <v>46244</v>
      </c>
      <c r="B5033" s="2">
        <v>161331</v>
      </c>
      <c r="C5033" s="2">
        <v>2</v>
      </c>
      <c r="D5033" s="2" t="s">
        <v>38</v>
      </c>
      <c r="E5033" s="2" t="s">
        <v>39</v>
      </c>
      <c r="F5033" s="2" t="s">
        <v>40</v>
      </c>
      <c r="G5033" s="2" t="s">
        <v>41</v>
      </c>
      <c r="H5033" s="2" t="s">
        <v>23</v>
      </c>
      <c r="I5033" s="2" t="s">
        <v>661</v>
      </c>
      <c r="J5033" s="2">
        <v>40</v>
      </c>
      <c r="K5033" s="2" t="s">
        <v>43</v>
      </c>
      <c r="L5033" s="2">
        <v>2813</v>
      </c>
      <c r="M5033" s="2" t="s">
        <v>653</v>
      </c>
      <c r="N5033" s="2">
        <v>66</v>
      </c>
      <c r="O5033" s="2">
        <v>2427016.88</v>
      </c>
      <c r="P5033" s="2">
        <v>36772.980000000003</v>
      </c>
    </row>
    <row r="5034" spans="1:16" outlineLevel="2" x14ac:dyDescent="0.2">
      <c r="A5034" s="5">
        <v>46244</v>
      </c>
      <c r="B5034" s="2">
        <v>161331</v>
      </c>
      <c r="C5034" s="2">
        <v>3</v>
      </c>
      <c r="D5034" s="2" t="s">
        <v>38</v>
      </c>
      <c r="E5034" s="2" t="s">
        <v>39</v>
      </c>
      <c r="F5034" s="2" t="s">
        <v>40</v>
      </c>
      <c r="G5034" s="2" t="s">
        <v>41</v>
      </c>
      <c r="H5034" s="2" t="s">
        <v>23</v>
      </c>
      <c r="I5034" s="2" t="s">
        <v>662</v>
      </c>
      <c r="J5034" s="2">
        <v>40</v>
      </c>
      <c r="K5034" s="2" t="s">
        <v>43</v>
      </c>
      <c r="L5034" s="2">
        <v>2813</v>
      </c>
      <c r="M5034" s="2" t="s">
        <v>653</v>
      </c>
      <c r="N5034" s="2">
        <v>12</v>
      </c>
      <c r="O5034" s="2">
        <v>457395.37</v>
      </c>
      <c r="P5034" s="2">
        <v>38116.28</v>
      </c>
    </row>
    <row r="5035" spans="1:16" outlineLevel="2" x14ac:dyDescent="0.2">
      <c r="A5035" s="5">
        <v>46244</v>
      </c>
      <c r="B5035" s="2">
        <v>161331</v>
      </c>
      <c r="C5035" s="2">
        <v>4</v>
      </c>
      <c r="D5035" s="2" t="s">
        <v>38</v>
      </c>
      <c r="E5035" s="2" t="s">
        <v>39</v>
      </c>
      <c r="F5035" s="2" t="s">
        <v>40</v>
      </c>
      <c r="G5035" s="2" t="s">
        <v>41</v>
      </c>
      <c r="H5035" s="2" t="s">
        <v>23</v>
      </c>
      <c r="I5035" s="2" t="s">
        <v>169</v>
      </c>
      <c r="J5035" s="2">
        <v>40</v>
      </c>
      <c r="K5035" s="2" t="s">
        <v>43</v>
      </c>
      <c r="L5035" s="2">
        <v>2813</v>
      </c>
      <c r="M5035" s="2" t="s">
        <v>653</v>
      </c>
      <c r="N5035" s="2">
        <v>2</v>
      </c>
      <c r="O5035" s="2">
        <v>81522.62</v>
      </c>
      <c r="P5035" s="2">
        <v>40761.31</v>
      </c>
    </row>
    <row r="5036" spans="1:16" outlineLevel="2" x14ac:dyDescent="0.2">
      <c r="A5036" s="5">
        <v>46244</v>
      </c>
      <c r="B5036" s="2">
        <v>161331</v>
      </c>
      <c r="C5036" s="2">
        <v>5</v>
      </c>
      <c r="D5036" s="2" t="s">
        <v>38</v>
      </c>
      <c r="E5036" s="2" t="s">
        <v>39</v>
      </c>
      <c r="F5036" s="2" t="s">
        <v>40</v>
      </c>
      <c r="G5036" s="2" t="s">
        <v>407</v>
      </c>
      <c r="H5036" s="2" t="s">
        <v>23</v>
      </c>
      <c r="I5036" s="2" t="s">
        <v>660</v>
      </c>
      <c r="J5036" s="2">
        <v>40</v>
      </c>
      <c r="K5036" s="2" t="s">
        <v>43</v>
      </c>
      <c r="L5036" s="2">
        <v>2813</v>
      </c>
      <c r="M5036" s="2" t="s">
        <v>653</v>
      </c>
      <c r="N5036" s="2">
        <v>229</v>
      </c>
      <c r="O5036" s="2">
        <v>7594410.8700000001</v>
      </c>
      <c r="P5036" s="2">
        <v>33163.370000000003</v>
      </c>
    </row>
    <row r="5037" spans="1:16" outlineLevel="2" x14ac:dyDescent="0.2">
      <c r="A5037" s="5">
        <v>46244</v>
      </c>
      <c r="B5037" s="2">
        <v>161331</v>
      </c>
      <c r="C5037" s="2">
        <v>6</v>
      </c>
      <c r="D5037" s="2" t="s">
        <v>38</v>
      </c>
      <c r="E5037" s="2" t="s">
        <v>39</v>
      </c>
      <c r="F5037" s="2" t="s">
        <v>40</v>
      </c>
      <c r="G5037" s="2" t="s">
        <v>407</v>
      </c>
      <c r="H5037" s="2" t="s">
        <v>23</v>
      </c>
      <c r="I5037" s="2" t="s">
        <v>661</v>
      </c>
      <c r="J5037" s="2">
        <v>40</v>
      </c>
      <c r="K5037" s="2" t="s">
        <v>43</v>
      </c>
      <c r="L5037" s="2">
        <v>2813</v>
      </c>
      <c r="M5037" s="2" t="s">
        <v>653</v>
      </c>
      <c r="N5037" s="2">
        <v>174</v>
      </c>
      <c r="O5037" s="2">
        <v>5688575.8700000001</v>
      </c>
      <c r="P5037" s="2">
        <v>32692.959999999999</v>
      </c>
    </row>
    <row r="5038" spans="1:16" outlineLevel="2" x14ac:dyDescent="0.2">
      <c r="A5038" s="5">
        <v>46244</v>
      </c>
      <c r="B5038" s="2">
        <v>161331</v>
      </c>
      <c r="C5038" s="2">
        <v>7</v>
      </c>
      <c r="D5038" s="2" t="s">
        <v>38</v>
      </c>
      <c r="E5038" s="2" t="s">
        <v>39</v>
      </c>
      <c r="F5038" s="2" t="s">
        <v>40</v>
      </c>
      <c r="G5038" s="2" t="s">
        <v>407</v>
      </c>
      <c r="H5038" s="2" t="s">
        <v>23</v>
      </c>
      <c r="I5038" s="2" t="s">
        <v>662</v>
      </c>
      <c r="J5038" s="2">
        <v>40</v>
      </c>
      <c r="K5038" s="2" t="s">
        <v>43</v>
      </c>
      <c r="L5038" s="2">
        <v>2813</v>
      </c>
      <c r="M5038" s="2" t="s">
        <v>653</v>
      </c>
      <c r="N5038" s="2">
        <v>38</v>
      </c>
      <c r="O5038" s="2">
        <v>1321170.8600000001</v>
      </c>
      <c r="P5038" s="2">
        <v>34767.65</v>
      </c>
    </row>
    <row r="5039" spans="1:16" outlineLevel="2" x14ac:dyDescent="0.2">
      <c r="A5039" s="5">
        <v>46244</v>
      </c>
      <c r="B5039" s="2">
        <v>161331</v>
      </c>
      <c r="C5039" s="2">
        <v>8</v>
      </c>
      <c r="D5039" s="2" t="s">
        <v>38</v>
      </c>
      <c r="E5039" s="2" t="s">
        <v>39</v>
      </c>
      <c r="F5039" s="2" t="s">
        <v>40</v>
      </c>
      <c r="G5039" s="2" t="s">
        <v>407</v>
      </c>
      <c r="H5039" s="2" t="s">
        <v>23</v>
      </c>
      <c r="I5039" s="2" t="s">
        <v>663</v>
      </c>
      <c r="J5039" s="2">
        <v>40</v>
      </c>
      <c r="K5039" s="2" t="s">
        <v>43</v>
      </c>
      <c r="L5039" s="2">
        <v>2813</v>
      </c>
      <c r="M5039" s="2" t="s">
        <v>653</v>
      </c>
      <c r="N5039" s="2">
        <v>38</v>
      </c>
      <c r="O5039" s="2">
        <v>1450918.78</v>
      </c>
      <c r="P5039" s="2">
        <v>38182.07</v>
      </c>
    </row>
    <row r="5040" spans="1:16" outlineLevel="2" x14ac:dyDescent="0.2">
      <c r="A5040" s="5">
        <v>46237</v>
      </c>
      <c r="B5040" s="2">
        <v>161332</v>
      </c>
      <c r="C5040" s="2">
        <v>1</v>
      </c>
      <c r="D5040" s="2" t="s">
        <v>38</v>
      </c>
      <c r="E5040" s="2" t="s">
        <v>39</v>
      </c>
      <c r="F5040" s="2" t="s">
        <v>63</v>
      </c>
      <c r="G5040" s="2" t="s">
        <v>41</v>
      </c>
      <c r="H5040" s="2" t="s">
        <v>23</v>
      </c>
      <c r="I5040" s="2" t="s">
        <v>135</v>
      </c>
      <c r="J5040" s="2">
        <v>1</v>
      </c>
      <c r="K5040" s="2" t="s">
        <v>24</v>
      </c>
      <c r="L5040" s="2">
        <v>1846</v>
      </c>
      <c r="M5040" s="2" t="s">
        <v>134</v>
      </c>
      <c r="N5040" s="2">
        <v>384</v>
      </c>
      <c r="O5040" s="2">
        <v>30833809.579999998</v>
      </c>
      <c r="P5040" s="2">
        <v>80296.38</v>
      </c>
    </row>
    <row r="5041" spans="1:16" outlineLevel="2" x14ac:dyDescent="0.2">
      <c r="A5041" s="5">
        <v>46237</v>
      </c>
      <c r="B5041" s="2">
        <v>161332</v>
      </c>
      <c r="C5041" s="2">
        <v>2</v>
      </c>
      <c r="D5041" s="2" t="s">
        <v>38</v>
      </c>
      <c r="E5041" s="2" t="s">
        <v>39</v>
      </c>
      <c r="F5041" s="2" t="s">
        <v>63</v>
      </c>
      <c r="G5041" s="2" t="s">
        <v>41</v>
      </c>
      <c r="H5041" s="2" t="s">
        <v>23</v>
      </c>
      <c r="I5041" s="2" t="s">
        <v>133</v>
      </c>
      <c r="J5041" s="2">
        <v>1</v>
      </c>
      <c r="K5041" s="2" t="s">
        <v>24</v>
      </c>
      <c r="L5041" s="2">
        <v>1846</v>
      </c>
      <c r="M5041" s="2" t="s">
        <v>134</v>
      </c>
      <c r="N5041" s="2">
        <v>750</v>
      </c>
      <c r="O5041" s="2">
        <v>44985863.030000001</v>
      </c>
      <c r="P5041" s="2">
        <v>59981.15</v>
      </c>
    </row>
    <row r="5042" spans="1:16" outlineLevel="1" x14ac:dyDescent="0.2">
      <c r="A5042" s="5"/>
      <c r="D5042" s="3" t="s">
        <v>721</v>
      </c>
      <c r="N5042" s="2">
        <f>SUBTOTAL(9,N5032:N5041)</f>
        <v>2221</v>
      </c>
      <c r="O5042" s="2">
        <f>SUBTOTAL(9,O5032:O5041)</f>
        <v>112232486.72</v>
      </c>
      <c r="P5042" s="2">
        <f>+O5042/N5042</f>
        <v>50532.411850517783</v>
      </c>
    </row>
    <row r="5043" spans="1:16" outlineLevel="2" x14ac:dyDescent="0.2">
      <c r="A5043" s="5">
        <v>46237</v>
      </c>
      <c r="B5043" s="2">
        <v>161333</v>
      </c>
      <c r="C5043" s="2">
        <v>1</v>
      </c>
      <c r="D5043" s="2" t="s">
        <v>131</v>
      </c>
      <c r="E5043" s="2" t="s">
        <v>132</v>
      </c>
      <c r="F5043" s="2" t="s">
        <v>40</v>
      </c>
      <c r="G5043" s="2" t="s">
        <v>22</v>
      </c>
      <c r="H5043" s="2" t="s">
        <v>23</v>
      </c>
      <c r="I5043" s="2" t="s">
        <v>23</v>
      </c>
      <c r="J5043" s="2">
        <v>1</v>
      </c>
      <c r="K5043" s="2" t="s">
        <v>24</v>
      </c>
      <c r="L5043" s="2">
        <v>2521</v>
      </c>
      <c r="M5043" s="2" t="s">
        <v>82</v>
      </c>
      <c r="N5043" s="2">
        <v>285</v>
      </c>
      <c r="O5043" s="2">
        <v>10009829.039999999</v>
      </c>
      <c r="P5043" s="2">
        <v>35122.21</v>
      </c>
    </row>
    <row r="5044" spans="1:16" outlineLevel="1" x14ac:dyDescent="0.2">
      <c r="A5044" s="5"/>
      <c r="D5044" s="3" t="s">
        <v>713</v>
      </c>
      <c r="N5044" s="2">
        <f>SUBTOTAL(9,N5043:N5043)</f>
        <v>285</v>
      </c>
      <c r="O5044" s="2">
        <f>SUBTOTAL(9,O5043:O5043)</f>
        <v>10009829.039999999</v>
      </c>
      <c r="P5044" s="2">
        <f>+O5044/N5044</f>
        <v>35122.207157894736</v>
      </c>
    </row>
    <row r="5045" spans="1:16" outlineLevel="2" x14ac:dyDescent="0.2">
      <c r="A5045" s="5">
        <v>46237</v>
      </c>
      <c r="B5045" s="2">
        <v>161333</v>
      </c>
      <c r="C5045" s="2">
        <v>2</v>
      </c>
      <c r="D5045" s="2" t="s">
        <v>81</v>
      </c>
      <c r="E5045" s="2" t="s">
        <v>23</v>
      </c>
      <c r="F5045" s="2" t="s">
        <v>40</v>
      </c>
      <c r="G5045" s="2" t="s">
        <v>22</v>
      </c>
      <c r="H5045" s="2" t="s">
        <v>23</v>
      </c>
      <c r="I5045" s="2" t="s">
        <v>23</v>
      </c>
      <c r="J5045" s="2">
        <v>1</v>
      </c>
      <c r="K5045" s="2" t="s">
        <v>24</v>
      </c>
      <c r="L5045" s="2">
        <v>2521</v>
      </c>
      <c r="M5045" s="2" t="s">
        <v>82</v>
      </c>
      <c r="N5045" s="2">
        <v>161</v>
      </c>
      <c r="O5045" s="2">
        <v>7100512.29</v>
      </c>
      <c r="P5045" s="2">
        <v>44102.559999999998</v>
      </c>
    </row>
    <row r="5046" spans="1:16" outlineLevel="1" x14ac:dyDescent="0.2">
      <c r="A5046" s="5"/>
      <c r="D5046" s="3" t="s">
        <v>693</v>
      </c>
      <c r="N5046" s="2">
        <f>SUBTOTAL(9,N5045:N5045)</f>
        <v>161</v>
      </c>
      <c r="O5046" s="2">
        <f>SUBTOTAL(9,O5045:O5045)</f>
        <v>7100512.29</v>
      </c>
      <c r="P5046" s="2">
        <f>+O5046/N5046</f>
        <v>44102.560807453418</v>
      </c>
    </row>
    <row r="5047" spans="1:16" outlineLevel="2" x14ac:dyDescent="0.2">
      <c r="A5047" s="5">
        <v>46241</v>
      </c>
      <c r="B5047" s="2">
        <v>161335</v>
      </c>
      <c r="C5047" s="2">
        <v>3</v>
      </c>
      <c r="D5047" s="2" t="s">
        <v>404</v>
      </c>
      <c r="E5047" s="2" t="s">
        <v>23</v>
      </c>
      <c r="F5047" s="2" t="s">
        <v>405</v>
      </c>
      <c r="G5047" s="2" t="s">
        <v>22</v>
      </c>
      <c r="H5047" s="2" t="s">
        <v>23</v>
      </c>
      <c r="I5047" s="2" t="s">
        <v>23</v>
      </c>
      <c r="J5047" s="2">
        <v>1</v>
      </c>
      <c r="K5047" s="2" t="s">
        <v>24</v>
      </c>
      <c r="L5047" s="2">
        <v>1795</v>
      </c>
      <c r="M5047" s="2" t="s">
        <v>506</v>
      </c>
      <c r="N5047" s="2">
        <v>9</v>
      </c>
      <c r="O5047" s="2">
        <v>52282.87</v>
      </c>
      <c r="P5047" s="2">
        <v>5809.21</v>
      </c>
    </row>
    <row r="5048" spans="1:16" outlineLevel="1" x14ac:dyDescent="0.2">
      <c r="A5048" s="5"/>
      <c r="D5048" s="3" t="s">
        <v>769</v>
      </c>
      <c r="N5048" s="2">
        <f>SUBTOTAL(9,N5047:N5047)</f>
        <v>9</v>
      </c>
      <c r="O5048" s="2">
        <f>SUBTOTAL(9,O5047:O5047)</f>
        <v>52282.87</v>
      </c>
      <c r="P5048" s="2">
        <f>+O5048/N5048</f>
        <v>5809.2077777777777</v>
      </c>
    </row>
    <row r="5049" spans="1:16" outlineLevel="2" x14ac:dyDescent="0.2">
      <c r="A5049" s="5">
        <v>46244</v>
      </c>
      <c r="B5049" s="2">
        <v>161338</v>
      </c>
      <c r="C5049" s="2">
        <v>1</v>
      </c>
      <c r="D5049" s="2" t="s">
        <v>38</v>
      </c>
      <c r="E5049" s="2" t="s">
        <v>39</v>
      </c>
      <c r="F5049" s="2" t="s">
        <v>40</v>
      </c>
      <c r="G5049" s="2" t="s">
        <v>41</v>
      </c>
      <c r="H5049" s="2" t="s">
        <v>23</v>
      </c>
      <c r="I5049" s="2" t="s">
        <v>182</v>
      </c>
      <c r="J5049" s="2">
        <v>1</v>
      </c>
      <c r="K5049" s="2" t="s">
        <v>24</v>
      </c>
      <c r="L5049" s="2">
        <v>1502</v>
      </c>
      <c r="M5049" s="2" t="s">
        <v>114</v>
      </c>
      <c r="N5049" s="2">
        <v>176</v>
      </c>
      <c r="O5049" s="2">
        <v>6443701.1399999997</v>
      </c>
      <c r="P5049" s="2">
        <v>36611.94</v>
      </c>
    </row>
    <row r="5050" spans="1:16" outlineLevel="2" x14ac:dyDescent="0.2">
      <c r="A5050" s="5">
        <v>46244</v>
      </c>
      <c r="B5050" s="2">
        <v>161338</v>
      </c>
      <c r="C5050" s="2">
        <v>3</v>
      </c>
      <c r="D5050" s="2" t="s">
        <v>38</v>
      </c>
      <c r="E5050" s="2" t="s">
        <v>39</v>
      </c>
      <c r="F5050" s="2" t="s">
        <v>40</v>
      </c>
      <c r="G5050" s="2" t="s">
        <v>41</v>
      </c>
      <c r="H5050" s="2" t="s">
        <v>23</v>
      </c>
      <c r="I5050" s="2" t="s">
        <v>614</v>
      </c>
      <c r="J5050" s="2">
        <v>1</v>
      </c>
      <c r="K5050" s="2" t="s">
        <v>24</v>
      </c>
      <c r="L5050" s="2">
        <v>1502</v>
      </c>
      <c r="M5050" s="2" t="s">
        <v>114</v>
      </c>
      <c r="N5050" s="2">
        <v>20</v>
      </c>
      <c r="O5050" s="2">
        <v>842295.96</v>
      </c>
      <c r="P5050" s="2">
        <v>42114.8</v>
      </c>
    </row>
    <row r="5051" spans="1:16" outlineLevel="2" x14ac:dyDescent="0.2">
      <c r="A5051" s="5">
        <v>46243</v>
      </c>
      <c r="B5051" s="2">
        <v>161339</v>
      </c>
      <c r="C5051" s="2">
        <v>1</v>
      </c>
      <c r="D5051" s="2" t="s">
        <v>38</v>
      </c>
      <c r="E5051" s="2" t="s">
        <v>39</v>
      </c>
      <c r="F5051" s="2" t="s">
        <v>40</v>
      </c>
      <c r="G5051" s="2" t="s">
        <v>22</v>
      </c>
      <c r="H5051" s="2" t="s">
        <v>41</v>
      </c>
      <c r="I5051" s="2" t="s">
        <v>182</v>
      </c>
      <c r="J5051" s="2">
        <v>1</v>
      </c>
      <c r="K5051" s="2" t="s">
        <v>24</v>
      </c>
      <c r="L5051" s="2">
        <v>1502</v>
      </c>
      <c r="M5051" s="2" t="s">
        <v>114</v>
      </c>
      <c r="N5051" s="2">
        <v>132</v>
      </c>
      <c r="O5051" s="2">
        <v>4308906.07</v>
      </c>
      <c r="P5051" s="2">
        <v>32643.23</v>
      </c>
    </row>
    <row r="5052" spans="1:16" outlineLevel="2" x14ac:dyDescent="0.2">
      <c r="A5052" s="5">
        <v>46243</v>
      </c>
      <c r="B5052" s="2">
        <v>161339</v>
      </c>
      <c r="C5052" s="2">
        <v>2</v>
      </c>
      <c r="D5052" s="2" t="s">
        <v>38</v>
      </c>
      <c r="E5052" s="2" t="s">
        <v>39</v>
      </c>
      <c r="F5052" s="2" t="s">
        <v>40</v>
      </c>
      <c r="G5052" s="2" t="s">
        <v>41</v>
      </c>
      <c r="H5052" s="2" t="s">
        <v>23</v>
      </c>
      <c r="I5052" s="2" t="s">
        <v>184</v>
      </c>
      <c r="J5052" s="2">
        <v>1</v>
      </c>
      <c r="K5052" s="2" t="s">
        <v>24</v>
      </c>
      <c r="L5052" s="2">
        <v>1502</v>
      </c>
      <c r="M5052" s="2" t="s">
        <v>114</v>
      </c>
      <c r="N5052" s="2">
        <v>144</v>
      </c>
      <c r="O5052" s="2">
        <v>5685424.5199999996</v>
      </c>
      <c r="P5052" s="2">
        <v>39482.11</v>
      </c>
    </row>
    <row r="5053" spans="1:16" outlineLevel="2" x14ac:dyDescent="0.2">
      <c r="A5053" s="5">
        <v>46243</v>
      </c>
      <c r="B5053" s="2">
        <v>161339</v>
      </c>
      <c r="C5053" s="2">
        <v>3</v>
      </c>
      <c r="D5053" s="2" t="s">
        <v>38</v>
      </c>
      <c r="E5053" s="2" t="s">
        <v>39</v>
      </c>
      <c r="F5053" s="2" t="s">
        <v>40</v>
      </c>
      <c r="G5053" s="2" t="s">
        <v>41</v>
      </c>
      <c r="H5053" s="2" t="s">
        <v>23</v>
      </c>
      <c r="I5053" s="2" t="s">
        <v>614</v>
      </c>
      <c r="J5053" s="2">
        <v>1</v>
      </c>
      <c r="K5053" s="2" t="s">
        <v>24</v>
      </c>
      <c r="L5053" s="2">
        <v>1502</v>
      </c>
      <c r="M5053" s="2" t="s">
        <v>114</v>
      </c>
      <c r="N5053" s="2">
        <v>40</v>
      </c>
      <c r="O5053" s="2">
        <v>1695793.2</v>
      </c>
      <c r="P5053" s="2">
        <v>42394.83</v>
      </c>
    </row>
    <row r="5054" spans="1:16" outlineLevel="2" x14ac:dyDescent="0.2">
      <c r="A5054" s="5">
        <v>46243</v>
      </c>
      <c r="B5054" s="2">
        <v>161339</v>
      </c>
      <c r="C5054" s="2">
        <v>5</v>
      </c>
      <c r="D5054" s="2" t="s">
        <v>38</v>
      </c>
      <c r="E5054" s="2" t="s">
        <v>39</v>
      </c>
      <c r="F5054" s="2" t="s">
        <v>40</v>
      </c>
      <c r="G5054" s="2" t="s">
        <v>41</v>
      </c>
      <c r="H5054" s="2" t="s">
        <v>23</v>
      </c>
      <c r="I5054" s="2" t="s">
        <v>113</v>
      </c>
      <c r="J5054" s="2">
        <v>1</v>
      </c>
      <c r="K5054" s="2" t="s">
        <v>24</v>
      </c>
      <c r="L5054" s="2">
        <v>1502</v>
      </c>
      <c r="M5054" s="2" t="s">
        <v>114</v>
      </c>
      <c r="N5054" s="2">
        <v>12</v>
      </c>
      <c r="O5054" s="2">
        <v>492869.48</v>
      </c>
      <c r="P5054" s="2">
        <v>41072.46</v>
      </c>
    </row>
    <row r="5055" spans="1:16" outlineLevel="1" x14ac:dyDescent="0.2">
      <c r="A5055" s="5"/>
      <c r="D5055" s="3" t="s">
        <v>721</v>
      </c>
      <c r="N5055" s="2">
        <f>SUBTOTAL(9,N5049:N5054)</f>
        <v>524</v>
      </c>
      <c r="O5055" s="2">
        <f>SUBTOTAL(9,O5049:O5054)</f>
        <v>19468990.369999997</v>
      </c>
      <c r="P5055" s="2">
        <f>+O5055/N5055</f>
        <v>37154.561774809154</v>
      </c>
    </row>
    <row r="5056" spans="1:16" outlineLevel="2" x14ac:dyDescent="0.2">
      <c r="A5056" s="5">
        <v>46234</v>
      </c>
      <c r="B5056" s="2">
        <v>161350</v>
      </c>
      <c r="C5056" s="2">
        <v>4</v>
      </c>
      <c r="D5056" s="2" t="s">
        <v>45</v>
      </c>
      <c r="E5056" s="2" t="s">
        <v>125</v>
      </c>
      <c r="F5056" s="2" t="s">
        <v>289</v>
      </c>
      <c r="G5056" s="2" t="s">
        <v>22</v>
      </c>
      <c r="H5056" s="2" t="s">
        <v>23</v>
      </c>
      <c r="I5056" s="2" t="s">
        <v>23</v>
      </c>
      <c r="J5056" s="2">
        <v>2</v>
      </c>
      <c r="K5056" s="2" t="s">
        <v>48</v>
      </c>
      <c r="L5056" s="2">
        <v>106</v>
      </c>
      <c r="M5056" s="2" t="s">
        <v>486</v>
      </c>
      <c r="N5056" s="2">
        <v>44</v>
      </c>
      <c r="O5056" s="2">
        <v>804482.57</v>
      </c>
      <c r="P5056" s="2">
        <v>18283.689999999999</v>
      </c>
    </row>
    <row r="5057" spans="1:16" outlineLevel="2" x14ac:dyDescent="0.2">
      <c r="A5057" s="5">
        <v>46253</v>
      </c>
      <c r="B5057" s="2">
        <v>161356</v>
      </c>
      <c r="C5057" s="2">
        <v>315</v>
      </c>
      <c r="D5057" s="2" t="s">
        <v>45</v>
      </c>
      <c r="E5057" s="2" t="s">
        <v>125</v>
      </c>
      <c r="F5057" s="2" t="s">
        <v>289</v>
      </c>
      <c r="G5057" s="2" t="s">
        <v>22</v>
      </c>
      <c r="H5057" s="2" t="s">
        <v>23</v>
      </c>
      <c r="I5057" s="2" t="s">
        <v>23</v>
      </c>
      <c r="J5057" s="2">
        <v>2</v>
      </c>
      <c r="K5057" s="2" t="s">
        <v>48</v>
      </c>
      <c r="L5057" s="2">
        <v>106</v>
      </c>
      <c r="M5057" s="2" t="s">
        <v>486</v>
      </c>
      <c r="N5057" s="2">
        <v>20</v>
      </c>
      <c r="O5057" s="2">
        <v>107679.48</v>
      </c>
      <c r="P5057" s="2">
        <v>5383.97</v>
      </c>
    </row>
    <row r="5058" spans="1:16" outlineLevel="2" x14ac:dyDescent="0.2">
      <c r="A5058" s="5">
        <v>46234</v>
      </c>
      <c r="B5058" s="2">
        <v>161358</v>
      </c>
      <c r="C5058" s="2">
        <v>9</v>
      </c>
      <c r="D5058" s="2" t="s">
        <v>45</v>
      </c>
      <c r="E5058" s="2" t="s">
        <v>227</v>
      </c>
      <c r="F5058" s="2" t="s">
        <v>289</v>
      </c>
      <c r="G5058" s="2" t="s">
        <v>22</v>
      </c>
      <c r="H5058" s="2" t="s">
        <v>23</v>
      </c>
      <c r="I5058" s="2" t="s">
        <v>23</v>
      </c>
      <c r="J5058" s="2">
        <v>41</v>
      </c>
      <c r="K5058" s="2" t="s">
        <v>129</v>
      </c>
      <c r="L5058" s="2">
        <v>801</v>
      </c>
      <c r="M5058" s="2" t="s">
        <v>56</v>
      </c>
      <c r="N5058" s="2">
        <v>25</v>
      </c>
      <c r="O5058" s="2">
        <v>431284.25</v>
      </c>
      <c r="P5058" s="2">
        <v>17251.37</v>
      </c>
    </row>
    <row r="5059" spans="1:16" outlineLevel="2" x14ac:dyDescent="0.2">
      <c r="A5059" s="5">
        <v>46234</v>
      </c>
      <c r="B5059" s="2">
        <v>161358</v>
      </c>
      <c r="C5059" s="2">
        <v>11</v>
      </c>
      <c r="D5059" s="2" t="s">
        <v>45</v>
      </c>
      <c r="E5059" s="2" t="s">
        <v>227</v>
      </c>
      <c r="F5059" s="2" t="s">
        <v>289</v>
      </c>
      <c r="G5059" s="2" t="s">
        <v>210</v>
      </c>
      <c r="H5059" s="2" t="s">
        <v>23</v>
      </c>
      <c r="I5059" s="2" t="s">
        <v>23</v>
      </c>
      <c r="J5059" s="2">
        <v>41</v>
      </c>
      <c r="K5059" s="2" t="s">
        <v>129</v>
      </c>
      <c r="L5059" s="2">
        <v>801</v>
      </c>
      <c r="M5059" s="2" t="s">
        <v>56</v>
      </c>
      <c r="N5059" s="2">
        <v>11</v>
      </c>
      <c r="O5059" s="2">
        <v>159965.75</v>
      </c>
      <c r="P5059" s="2">
        <v>14542.34</v>
      </c>
    </row>
    <row r="5060" spans="1:16" outlineLevel="1" x14ac:dyDescent="0.2">
      <c r="A5060" s="5"/>
      <c r="D5060" s="3" t="s">
        <v>733</v>
      </c>
      <c r="N5060" s="2">
        <f>SUBTOTAL(9,N5056:N5059)</f>
        <v>100</v>
      </c>
      <c r="O5060" s="2">
        <f>SUBTOTAL(9,O5056:O5059)</f>
        <v>1503412.0499999998</v>
      </c>
      <c r="P5060" s="2">
        <f>+O5060/N5060</f>
        <v>15034.120499999997</v>
      </c>
    </row>
    <row r="5061" spans="1:16" outlineLevel="2" x14ac:dyDescent="0.2">
      <c r="A5061" s="5">
        <v>46234</v>
      </c>
      <c r="B5061" s="2">
        <v>161358</v>
      </c>
      <c r="C5061" s="2">
        <v>18</v>
      </c>
      <c r="D5061" s="2" t="s">
        <v>664</v>
      </c>
      <c r="E5061" s="2" t="s">
        <v>46</v>
      </c>
      <c r="F5061" s="2" t="s">
        <v>289</v>
      </c>
      <c r="G5061" s="2" t="s">
        <v>22</v>
      </c>
      <c r="H5061" s="2" t="s">
        <v>23</v>
      </c>
      <c r="I5061" s="2" t="s">
        <v>23</v>
      </c>
      <c r="J5061" s="2">
        <v>41</v>
      </c>
      <c r="K5061" s="2" t="s">
        <v>129</v>
      </c>
      <c r="L5061" s="2">
        <v>801</v>
      </c>
      <c r="M5061" s="2" t="s">
        <v>56</v>
      </c>
      <c r="N5061" s="2">
        <v>2</v>
      </c>
      <c r="O5061" s="2">
        <v>32999.800000000003</v>
      </c>
      <c r="P5061" s="2">
        <v>16499.900000000001</v>
      </c>
    </row>
    <row r="5062" spans="1:16" outlineLevel="2" x14ac:dyDescent="0.2">
      <c r="A5062" s="5">
        <v>46234</v>
      </c>
      <c r="B5062" s="2">
        <v>161358</v>
      </c>
      <c r="C5062" s="2">
        <v>20</v>
      </c>
      <c r="D5062" s="2" t="s">
        <v>664</v>
      </c>
      <c r="E5062" s="2" t="s">
        <v>46</v>
      </c>
      <c r="F5062" s="2" t="s">
        <v>289</v>
      </c>
      <c r="G5062" s="2" t="s">
        <v>22</v>
      </c>
      <c r="H5062" s="2" t="s">
        <v>23</v>
      </c>
      <c r="I5062" s="2" t="s">
        <v>23</v>
      </c>
      <c r="J5062" s="2">
        <v>41</v>
      </c>
      <c r="K5062" s="2" t="s">
        <v>129</v>
      </c>
      <c r="L5062" s="2">
        <v>801</v>
      </c>
      <c r="M5062" s="2" t="s">
        <v>56</v>
      </c>
      <c r="N5062" s="2">
        <v>8</v>
      </c>
      <c r="O5062" s="2">
        <v>102121.15</v>
      </c>
      <c r="P5062" s="2">
        <v>12765.14</v>
      </c>
    </row>
    <row r="5063" spans="1:16" outlineLevel="1" x14ac:dyDescent="0.2">
      <c r="A5063" s="5"/>
      <c r="D5063" s="3" t="s">
        <v>808</v>
      </c>
      <c r="N5063" s="2">
        <f>SUBTOTAL(9,N5061:N5062)</f>
        <v>10</v>
      </c>
      <c r="O5063" s="2">
        <f>SUBTOTAL(9,O5061:O5062)</f>
        <v>135120.95000000001</v>
      </c>
      <c r="P5063" s="2">
        <f>+O5063/N5063</f>
        <v>13512.095000000001</v>
      </c>
    </row>
    <row r="5064" spans="1:16" outlineLevel="2" x14ac:dyDescent="0.2">
      <c r="A5064" s="5">
        <v>46239</v>
      </c>
      <c r="B5064" s="2">
        <v>161360</v>
      </c>
      <c r="C5064" s="2">
        <v>5</v>
      </c>
      <c r="D5064" s="2" t="s">
        <v>110</v>
      </c>
      <c r="E5064" s="2" t="s">
        <v>23</v>
      </c>
      <c r="F5064" s="2" t="s">
        <v>55</v>
      </c>
      <c r="G5064" s="2" t="s">
        <v>23</v>
      </c>
      <c r="H5064" s="2" t="s">
        <v>23</v>
      </c>
      <c r="I5064" s="2" t="s">
        <v>23</v>
      </c>
      <c r="J5064" s="2">
        <v>2</v>
      </c>
      <c r="K5064" s="2" t="s">
        <v>48</v>
      </c>
      <c r="L5064" s="2">
        <v>1974</v>
      </c>
      <c r="M5064" s="2" t="s">
        <v>95</v>
      </c>
      <c r="N5064" s="2">
        <v>13</v>
      </c>
      <c r="O5064" s="2">
        <v>57576.91</v>
      </c>
      <c r="P5064" s="2">
        <v>4428.99</v>
      </c>
    </row>
    <row r="5065" spans="1:16" outlineLevel="1" x14ac:dyDescent="0.2">
      <c r="A5065" s="5"/>
      <c r="D5065" s="3" t="s">
        <v>697</v>
      </c>
      <c r="N5065" s="2">
        <f>SUBTOTAL(9,N5064:N5064)</f>
        <v>13</v>
      </c>
      <c r="O5065" s="2">
        <f>SUBTOTAL(9,O5064:O5064)</f>
        <v>57576.91</v>
      </c>
      <c r="P5065" s="2">
        <f>+O5065/N5065</f>
        <v>4428.9930769230768</v>
      </c>
    </row>
    <row r="5066" spans="1:16" outlineLevel="2" x14ac:dyDescent="0.2">
      <c r="A5066" s="5">
        <v>46248</v>
      </c>
      <c r="B5066" s="2">
        <v>161367</v>
      </c>
      <c r="C5066" s="2">
        <v>300</v>
      </c>
      <c r="D5066" s="2" t="s">
        <v>165</v>
      </c>
      <c r="E5066" s="2" t="s">
        <v>151</v>
      </c>
      <c r="F5066" s="2" t="s">
        <v>47</v>
      </c>
      <c r="G5066" s="2" t="s">
        <v>22</v>
      </c>
      <c r="H5066" s="2" t="s">
        <v>23</v>
      </c>
      <c r="I5066" s="2" t="s">
        <v>23</v>
      </c>
      <c r="J5066" s="2">
        <v>2</v>
      </c>
      <c r="K5066" s="2" t="s">
        <v>48</v>
      </c>
      <c r="L5066" s="2">
        <v>1320</v>
      </c>
      <c r="M5066" s="2" t="s">
        <v>665</v>
      </c>
      <c r="N5066" s="2">
        <v>3</v>
      </c>
      <c r="O5066" s="2">
        <v>38274.42</v>
      </c>
      <c r="P5066" s="2">
        <v>12758.14</v>
      </c>
    </row>
    <row r="5067" spans="1:16" outlineLevel="1" x14ac:dyDescent="0.2">
      <c r="A5067" s="5"/>
      <c r="D5067" s="3" t="s">
        <v>694</v>
      </c>
      <c r="N5067" s="2">
        <f>SUBTOTAL(9,N5066:N5066)</f>
        <v>3</v>
      </c>
      <c r="O5067" s="2">
        <f>SUBTOTAL(9,O5066:O5066)</f>
        <v>38274.42</v>
      </c>
      <c r="P5067" s="2">
        <f>+O5067/N5067</f>
        <v>12758.14</v>
      </c>
    </row>
    <row r="5068" spans="1:16" outlineLevel="2" x14ac:dyDescent="0.2">
      <c r="A5068" s="5">
        <v>46237</v>
      </c>
      <c r="B5068" s="2">
        <v>161375</v>
      </c>
      <c r="C5068" s="2">
        <v>1</v>
      </c>
      <c r="D5068" s="2" t="s">
        <v>140</v>
      </c>
      <c r="E5068" s="2" t="s">
        <v>23</v>
      </c>
      <c r="F5068" s="2" t="s">
        <v>108</v>
      </c>
      <c r="G5068" s="2" t="s">
        <v>22</v>
      </c>
      <c r="H5068" s="2" t="s">
        <v>23</v>
      </c>
      <c r="I5068" s="2" t="s">
        <v>23</v>
      </c>
      <c r="J5068" s="2">
        <v>1</v>
      </c>
      <c r="K5068" s="2" t="s">
        <v>24</v>
      </c>
      <c r="L5068" s="2">
        <v>1503</v>
      </c>
      <c r="M5068" s="2" t="s">
        <v>603</v>
      </c>
      <c r="N5068" s="2">
        <v>48</v>
      </c>
      <c r="O5068" s="2">
        <v>2280446.08</v>
      </c>
      <c r="P5068" s="2">
        <v>47509.29</v>
      </c>
    </row>
    <row r="5069" spans="1:16" outlineLevel="1" x14ac:dyDescent="0.2">
      <c r="A5069" s="5"/>
      <c r="D5069" s="3" t="s">
        <v>696</v>
      </c>
      <c r="N5069" s="2">
        <f>SUBTOTAL(9,N5068:N5068)</f>
        <v>48</v>
      </c>
      <c r="O5069" s="2">
        <f>SUBTOTAL(9,O5068:O5068)</f>
        <v>2280446.08</v>
      </c>
      <c r="P5069" s="2">
        <f>+O5069/N5069</f>
        <v>47509.293333333335</v>
      </c>
    </row>
    <row r="5070" spans="1:16" outlineLevel="2" x14ac:dyDescent="0.2">
      <c r="A5070" s="5">
        <v>46237</v>
      </c>
      <c r="B5070" s="2">
        <v>161376</v>
      </c>
      <c r="C5070" s="2">
        <v>1</v>
      </c>
      <c r="D5070" s="2" t="s">
        <v>207</v>
      </c>
      <c r="E5070" s="2" t="s">
        <v>23</v>
      </c>
      <c r="F5070" s="2" t="s">
        <v>47</v>
      </c>
      <c r="G5070" s="2" t="s">
        <v>22</v>
      </c>
      <c r="H5070" s="2" t="s">
        <v>208</v>
      </c>
      <c r="I5070" s="2" t="s">
        <v>23</v>
      </c>
      <c r="J5070" s="2">
        <v>41</v>
      </c>
      <c r="K5070" s="2" t="s">
        <v>129</v>
      </c>
      <c r="L5070" s="2">
        <v>25213</v>
      </c>
      <c r="M5070" s="2" t="s">
        <v>130</v>
      </c>
      <c r="N5070" s="2">
        <v>75</v>
      </c>
      <c r="O5070" s="2">
        <v>256781.25</v>
      </c>
      <c r="P5070" s="2">
        <v>3423.75</v>
      </c>
    </row>
    <row r="5071" spans="1:16" outlineLevel="2" x14ac:dyDescent="0.2">
      <c r="A5071" s="5">
        <v>46237</v>
      </c>
      <c r="B5071" s="2">
        <v>161376</v>
      </c>
      <c r="C5071" s="2">
        <v>2</v>
      </c>
      <c r="D5071" s="2" t="s">
        <v>207</v>
      </c>
      <c r="E5071" s="2" t="s">
        <v>23</v>
      </c>
      <c r="F5071" s="2" t="s">
        <v>47</v>
      </c>
      <c r="G5071" s="2" t="s">
        <v>22</v>
      </c>
      <c r="H5071" s="2" t="s">
        <v>209</v>
      </c>
      <c r="I5071" s="2" t="s">
        <v>23</v>
      </c>
      <c r="J5071" s="2">
        <v>41</v>
      </c>
      <c r="K5071" s="2" t="s">
        <v>129</v>
      </c>
      <c r="L5071" s="2">
        <v>25213</v>
      </c>
      <c r="M5071" s="2" t="s">
        <v>130</v>
      </c>
      <c r="N5071" s="2">
        <v>50</v>
      </c>
      <c r="O5071" s="2">
        <v>152519</v>
      </c>
      <c r="P5071" s="2">
        <v>3050.38</v>
      </c>
    </row>
    <row r="5072" spans="1:16" outlineLevel="1" x14ac:dyDescent="0.2">
      <c r="A5072" s="5"/>
      <c r="D5072" s="3" t="s">
        <v>699</v>
      </c>
      <c r="N5072" s="2">
        <f>SUBTOTAL(9,N5070:N5071)</f>
        <v>125</v>
      </c>
      <c r="O5072" s="2">
        <f>SUBTOTAL(9,O5070:O5071)</f>
        <v>409300.25</v>
      </c>
      <c r="P5072" s="2">
        <f>+O5072/N5072</f>
        <v>3274.402</v>
      </c>
    </row>
    <row r="5073" spans="1:16" outlineLevel="2" x14ac:dyDescent="0.2">
      <c r="A5073" s="5">
        <v>46237</v>
      </c>
      <c r="B5073" s="2">
        <v>161376</v>
      </c>
      <c r="C5073" s="2">
        <v>3</v>
      </c>
      <c r="D5073" s="2" t="s">
        <v>128</v>
      </c>
      <c r="E5073" s="2" t="s">
        <v>23</v>
      </c>
      <c r="F5073" s="2" t="s">
        <v>47</v>
      </c>
      <c r="G5073" s="2" t="s">
        <v>22</v>
      </c>
      <c r="H5073" s="2" t="s">
        <v>23</v>
      </c>
      <c r="I5073" s="2" t="s">
        <v>23</v>
      </c>
      <c r="J5073" s="2">
        <v>41</v>
      </c>
      <c r="K5073" s="2" t="s">
        <v>129</v>
      </c>
      <c r="L5073" s="2">
        <v>25213</v>
      </c>
      <c r="M5073" s="2" t="s">
        <v>130</v>
      </c>
      <c r="N5073" s="2">
        <v>50</v>
      </c>
      <c r="O5073" s="2">
        <v>186122.75</v>
      </c>
      <c r="P5073" s="2">
        <v>3722.46</v>
      </c>
    </row>
    <row r="5074" spans="1:16" outlineLevel="1" x14ac:dyDescent="0.2">
      <c r="A5074" s="5"/>
      <c r="D5074" s="3" t="s">
        <v>732</v>
      </c>
      <c r="N5074" s="2">
        <f>SUBTOTAL(9,N5073:N5073)</f>
        <v>50</v>
      </c>
      <c r="O5074" s="2">
        <f>SUBTOTAL(9,O5073:O5073)</f>
        <v>186122.75</v>
      </c>
      <c r="P5074" s="2">
        <f>+O5074/N5074</f>
        <v>3722.4549999999999</v>
      </c>
    </row>
    <row r="5075" spans="1:16" outlineLevel="2" x14ac:dyDescent="0.2">
      <c r="A5075" s="5">
        <v>46237</v>
      </c>
      <c r="B5075" s="2">
        <v>161376</v>
      </c>
      <c r="C5075" s="2">
        <v>4</v>
      </c>
      <c r="D5075" s="2" t="s">
        <v>207</v>
      </c>
      <c r="E5075" s="2" t="s">
        <v>23</v>
      </c>
      <c r="F5075" s="2" t="s">
        <v>47</v>
      </c>
      <c r="G5075" s="2" t="s">
        <v>22</v>
      </c>
      <c r="H5075" s="2" t="s">
        <v>23</v>
      </c>
      <c r="I5075" s="2" t="s">
        <v>23</v>
      </c>
      <c r="J5075" s="2">
        <v>1</v>
      </c>
      <c r="K5075" s="2" t="s">
        <v>24</v>
      </c>
      <c r="L5075" s="2">
        <v>25213</v>
      </c>
      <c r="M5075" s="2" t="s">
        <v>130</v>
      </c>
      <c r="N5075" s="2">
        <v>6</v>
      </c>
      <c r="O5075" s="2">
        <v>502817</v>
      </c>
      <c r="P5075" s="2">
        <v>83802.83</v>
      </c>
    </row>
    <row r="5076" spans="1:16" outlineLevel="2" x14ac:dyDescent="0.2">
      <c r="A5076" s="5">
        <v>46237</v>
      </c>
      <c r="B5076" s="2">
        <v>161376</v>
      </c>
      <c r="C5076" s="2">
        <v>5</v>
      </c>
      <c r="D5076" s="2" t="s">
        <v>207</v>
      </c>
      <c r="E5076" s="2" t="s">
        <v>23</v>
      </c>
      <c r="F5076" s="2" t="s">
        <v>47</v>
      </c>
      <c r="G5076" s="2" t="s">
        <v>210</v>
      </c>
      <c r="H5076" s="2" t="s">
        <v>23</v>
      </c>
      <c r="I5076" s="2" t="s">
        <v>23</v>
      </c>
      <c r="J5076" s="2">
        <v>1</v>
      </c>
      <c r="K5076" s="2" t="s">
        <v>24</v>
      </c>
      <c r="L5076" s="2">
        <v>25213</v>
      </c>
      <c r="M5076" s="2" t="s">
        <v>130</v>
      </c>
      <c r="N5076" s="2">
        <v>2</v>
      </c>
      <c r="O5076" s="2">
        <v>130061.46</v>
      </c>
      <c r="P5076" s="2">
        <v>65030.73</v>
      </c>
    </row>
    <row r="5077" spans="1:16" outlineLevel="1" x14ac:dyDescent="0.2">
      <c r="A5077" s="5"/>
      <c r="D5077" s="3" t="s">
        <v>699</v>
      </c>
      <c r="N5077" s="2">
        <f>SUBTOTAL(9,N5075:N5076)</f>
        <v>8</v>
      </c>
      <c r="O5077" s="2">
        <f>SUBTOTAL(9,O5075:O5076)</f>
        <v>632878.46</v>
      </c>
      <c r="P5077" s="2">
        <f>+O5077/N5077</f>
        <v>79109.807499999995</v>
      </c>
    </row>
    <row r="5078" spans="1:16" outlineLevel="2" x14ac:dyDescent="0.2">
      <c r="A5078" s="5">
        <v>46237</v>
      </c>
      <c r="B5078" s="2">
        <v>161376</v>
      </c>
      <c r="C5078" s="2">
        <v>6</v>
      </c>
      <c r="D5078" s="2" t="s">
        <v>128</v>
      </c>
      <c r="E5078" s="2" t="s">
        <v>23</v>
      </c>
      <c r="F5078" s="2" t="s">
        <v>47</v>
      </c>
      <c r="G5078" s="2" t="s">
        <v>22</v>
      </c>
      <c r="H5078" s="2" t="s">
        <v>23</v>
      </c>
      <c r="I5078" s="2" t="s">
        <v>23</v>
      </c>
      <c r="J5078" s="2">
        <v>1</v>
      </c>
      <c r="K5078" s="2" t="s">
        <v>24</v>
      </c>
      <c r="L5078" s="2">
        <v>25213</v>
      </c>
      <c r="M5078" s="2" t="s">
        <v>130</v>
      </c>
      <c r="N5078" s="2">
        <v>3</v>
      </c>
      <c r="O5078" s="2">
        <v>270700.71000000002</v>
      </c>
      <c r="P5078" s="2">
        <v>90233.57</v>
      </c>
    </row>
    <row r="5079" spans="1:16" outlineLevel="1" x14ac:dyDescent="0.2">
      <c r="A5079" s="5"/>
      <c r="D5079" s="3" t="s">
        <v>732</v>
      </c>
      <c r="N5079" s="2">
        <f>SUBTOTAL(9,N5078:N5078)</f>
        <v>3</v>
      </c>
      <c r="O5079" s="2">
        <f>SUBTOTAL(9,O5078:O5078)</f>
        <v>270700.71000000002</v>
      </c>
      <c r="P5079" s="2">
        <f>+O5079/N5079</f>
        <v>90233.57</v>
      </c>
    </row>
    <row r="5080" spans="1:16" outlineLevel="2" x14ac:dyDescent="0.2">
      <c r="A5080" s="5">
        <v>46237</v>
      </c>
      <c r="B5080" s="2">
        <v>161385</v>
      </c>
      <c r="C5080" s="2">
        <v>1</v>
      </c>
      <c r="D5080" s="2" t="s">
        <v>474</v>
      </c>
      <c r="E5080" s="2" t="s">
        <v>475</v>
      </c>
      <c r="F5080" s="2" t="s">
        <v>47</v>
      </c>
      <c r="G5080" s="2" t="s">
        <v>22</v>
      </c>
      <c r="H5080" s="2" t="s">
        <v>23</v>
      </c>
      <c r="I5080" s="2" t="s">
        <v>23</v>
      </c>
      <c r="J5080" s="2">
        <v>41</v>
      </c>
      <c r="K5080" s="2" t="s">
        <v>129</v>
      </c>
      <c r="L5080" s="2">
        <v>2338</v>
      </c>
      <c r="M5080" s="2" t="s">
        <v>417</v>
      </c>
      <c r="N5080" s="2">
        <v>480</v>
      </c>
      <c r="O5080" s="2">
        <v>468110.03</v>
      </c>
      <c r="P5080" s="2">
        <v>975.23</v>
      </c>
    </row>
    <row r="5081" spans="1:16" outlineLevel="1" x14ac:dyDescent="0.2">
      <c r="A5081" s="5"/>
      <c r="D5081" s="3" t="s">
        <v>780</v>
      </c>
      <c r="N5081" s="2">
        <f>SUBTOTAL(9,N5080:N5080)</f>
        <v>480</v>
      </c>
      <c r="O5081" s="2">
        <f>SUBTOTAL(9,O5080:O5080)</f>
        <v>468110.03</v>
      </c>
      <c r="P5081" s="2">
        <f>+O5081/N5081</f>
        <v>975.22922916666676</v>
      </c>
    </row>
    <row r="5082" spans="1:16" outlineLevel="2" x14ac:dyDescent="0.2">
      <c r="A5082" s="5">
        <v>46238</v>
      </c>
      <c r="B5082" s="2">
        <v>161397</v>
      </c>
      <c r="C5082" s="2">
        <v>2</v>
      </c>
      <c r="D5082" s="2" t="s">
        <v>197</v>
      </c>
      <c r="E5082" s="2" t="s">
        <v>582</v>
      </c>
      <c r="F5082" s="2" t="s">
        <v>40</v>
      </c>
      <c r="G5082" s="2" t="s">
        <v>22</v>
      </c>
      <c r="H5082" s="2" t="s">
        <v>23</v>
      </c>
      <c r="I5082" s="2" t="s">
        <v>23</v>
      </c>
      <c r="J5082" s="2">
        <v>86</v>
      </c>
      <c r="K5082" s="2" t="s">
        <v>73</v>
      </c>
      <c r="L5082" s="2">
        <v>2541</v>
      </c>
      <c r="M5082" s="2" t="s">
        <v>534</v>
      </c>
      <c r="N5082" s="2">
        <v>105</v>
      </c>
      <c r="O5082" s="2">
        <v>4147389.12</v>
      </c>
      <c r="P5082" s="2">
        <v>39498.94</v>
      </c>
    </row>
    <row r="5083" spans="1:16" outlineLevel="2" x14ac:dyDescent="0.2">
      <c r="A5083" s="5">
        <v>46246</v>
      </c>
      <c r="B5083" s="2">
        <v>161397</v>
      </c>
      <c r="C5083" s="2">
        <v>4</v>
      </c>
      <c r="D5083" s="2" t="s">
        <v>197</v>
      </c>
      <c r="E5083" s="2" t="s">
        <v>538</v>
      </c>
      <c r="F5083" s="2" t="s">
        <v>40</v>
      </c>
      <c r="G5083" s="2" t="s">
        <v>22</v>
      </c>
      <c r="H5083" s="2" t="s">
        <v>23</v>
      </c>
      <c r="I5083" s="2" t="s">
        <v>23</v>
      </c>
      <c r="J5083" s="2">
        <v>86</v>
      </c>
      <c r="K5083" s="2" t="s">
        <v>73</v>
      </c>
      <c r="L5083" s="2">
        <v>2541</v>
      </c>
      <c r="M5083" s="2" t="s">
        <v>534</v>
      </c>
      <c r="N5083" s="2">
        <v>8</v>
      </c>
      <c r="O5083" s="2">
        <v>297150.48</v>
      </c>
      <c r="P5083" s="2">
        <v>37143.81</v>
      </c>
    </row>
    <row r="5084" spans="1:16" outlineLevel="1" x14ac:dyDescent="0.2">
      <c r="A5084" s="5"/>
      <c r="D5084" s="3" t="s">
        <v>734</v>
      </c>
      <c r="N5084" s="2">
        <f>SUBTOTAL(9,N5082:N5083)</f>
        <v>113</v>
      </c>
      <c r="O5084" s="2">
        <f>SUBTOTAL(9,O5082:O5083)</f>
        <v>4444539.5999999996</v>
      </c>
      <c r="P5084" s="2">
        <f>+O5084/N5084</f>
        <v>39332.208849557515</v>
      </c>
    </row>
    <row r="5085" spans="1:16" outlineLevel="2" x14ac:dyDescent="0.2">
      <c r="A5085" s="5">
        <v>46237</v>
      </c>
      <c r="B5085" s="2">
        <v>161398</v>
      </c>
      <c r="C5085" s="2">
        <v>1</v>
      </c>
      <c r="D5085" s="2" t="s">
        <v>338</v>
      </c>
      <c r="E5085" s="2" t="s">
        <v>23</v>
      </c>
      <c r="F5085" s="2" t="s">
        <v>40</v>
      </c>
      <c r="G5085" s="2" t="s">
        <v>22</v>
      </c>
      <c r="H5085" s="2" t="s">
        <v>23</v>
      </c>
      <c r="I5085" s="2" t="s">
        <v>666</v>
      </c>
      <c r="J5085" s="2">
        <v>1</v>
      </c>
      <c r="K5085" s="2" t="s">
        <v>24</v>
      </c>
      <c r="L5085" s="2">
        <v>25077</v>
      </c>
      <c r="M5085" s="2" t="s">
        <v>607</v>
      </c>
      <c r="N5085" s="2">
        <v>48</v>
      </c>
      <c r="O5085" s="2">
        <v>1401718.09</v>
      </c>
      <c r="P5085" s="2">
        <v>29202.46</v>
      </c>
    </row>
    <row r="5086" spans="1:16" outlineLevel="2" x14ac:dyDescent="0.2">
      <c r="A5086" s="5">
        <v>46237</v>
      </c>
      <c r="B5086" s="2">
        <v>161398</v>
      </c>
      <c r="C5086" s="2">
        <v>2</v>
      </c>
      <c r="D5086" s="2" t="s">
        <v>338</v>
      </c>
      <c r="E5086" s="2" t="s">
        <v>23</v>
      </c>
      <c r="F5086" s="2" t="s">
        <v>40</v>
      </c>
      <c r="G5086" s="2" t="s">
        <v>22</v>
      </c>
      <c r="H5086" s="2" t="s">
        <v>23</v>
      </c>
      <c r="I5086" s="2" t="s">
        <v>320</v>
      </c>
      <c r="J5086" s="2">
        <v>1</v>
      </c>
      <c r="K5086" s="2" t="s">
        <v>24</v>
      </c>
      <c r="L5086" s="2">
        <v>25077</v>
      </c>
      <c r="M5086" s="2" t="s">
        <v>607</v>
      </c>
      <c r="N5086" s="2">
        <v>48</v>
      </c>
      <c r="O5086" s="2">
        <v>1468283.41</v>
      </c>
      <c r="P5086" s="2">
        <v>30589.24</v>
      </c>
    </row>
    <row r="5087" spans="1:16" outlineLevel="1" x14ac:dyDescent="0.2">
      <c r="A5087" s="5"/>
      <c r="D5087" s="3" t="s">
        <v>754</v>
      </c>
      <c r="N5087" s="2">
        <f>SUBTOTAL(9,N5085:N5086)</f>
        <v>96</v>
      </c>
      <c r="O5087" s="2">
        <f>SUBTOTAL(9,O5085:O5086)</f>
        <v>2870001.5</v>
      </c>
      <c r="P5087" s="2">
        <f>+O5087/N5087</f>
        <v>29895.848958333332</v>
      </c>
    </row>
    <row r="5088" spans="1:16" outlineLevel="2" x14ac:dyDescent="0.2">
      <c r="A5088" s="5">
        <v>46255</v>
      </c>
      <c r="B5088" s="2">
        <v>161398</v>
      </c>
      <c r="C5088" s="2">
        <v>4</v>
      </c>
      <c r="D5088" s="2" t="s">
        <v>150</v>
      </c>
      <c r="E5088" s="2" t="s">
        <v>151</v>
      </c>
      <c r="F5088" s="2" t="s">
        <v>40</v>
      </c>
      <c r="G5088" s="2" t="s">
        <v>22</v>
      </c>
      <c r="H5088" s="2" t="s">
        <v>23</v>
      </c>
      <c r="I5088" s="2" t="s">
        <v>152</v>
      </c>
      <c r="J5088" s="2">
        <v>1</v>
      </c>
      <c r="K5088" s="2" t="s">
        <v>24</v>
      </c>
      <c r="L5088" s="2">
        <v>25077</v>
      </c>
      <c r="M5088" s="2" t="s">
        <v>607</v>
      </c>
      <c r="N5088" s="2">
        <v>89</v>
      </c>
      <c r="O5088" s="2">
        <v>2276971.4900000002</v>
      </c>
      <c r="P5088" s="2">
        <v>25583.95</v>
      </c>
    </row>
    <row r="5089" spans="1:16" outlineLevel="1" x14ac:dyDescent="0.2">
      <c r="A5089" s="5"/>
      <c r="D5089" s="3" t="s">
        <v>718</v>
      </c>
      <c r="N5089" s="2">
        <f>SUBTOTAL(9,N5088:N5088)</f>
        <v>89</v>
      </c>
      <c r="O5089" s="2">
        <f>SUBTOTAL(9,O5088:O5088)</f>
        <v>2276971.4900000002</v>
      </c>
      <c r="P5089" s="2">
        <f>+O5089/N5089</f>
        <v>25583.949325842699</v>
      </c>
    </row>
    <row r="5090" spans="1:16" outlineLevel="2" x14ac:dyDescent="0.2">
      <c r="A5090" s="5">
        <v>46237</v>
      </c>
      <c r="B5090" s="2">
        <v>161399</v>
      </c>
      <c r="C5090" s="2">
        <v>1</v>
      </c>
      <c r="D5090" s="2" t="s">
        <v>197</v>
      </c>
      <c r="E5090" s="2" t="s">
        <v>284</v>
      </c>
      <c r="F5090" s="2" t="s">
        <v>40</v>
      </c>
      <c r="G5090" s="2" t="s">
        <v>22</v>
      </c>
      <c r="H5090" s="2" t="s">
        <v>23</v>
      </c>
      <c r="I5090" s="2" t="s">
        <v>23</v>
      </c>
      <c r="J5090" s="2">
        <v>1</v>
      </c>
      <c r="K5090" s="2" t="s">
        <v>24</v>
      </c>
      <c r="L5090" s="2">
        <v>2541</v>
      </c>
      <c r="M5090" s="2" t="s">
        <v>534</v>
      </c>
      <c r="N5090" s="2">
        <v>540</v>
      </c>
      <c r="O5090" s="2">
        <v>35364784.869999997</v>
      </c>
      <c r="P5090" s="2">
        <v>65490.34</v>
      </c>
    </row>
    <row r="5091" spans="1:16" outlineLevel="2" x14ac:dyDescent="0.2">
      <c r="A5091" s="5">
        <v>46237</v>
      </c>
      <c r="B5091" s="2">
        <v>161399</v>
      </c>
      <c r="C5091" s="2">
        <v>2</v>
      </c>
      <c r="D5091" s="2" t="s">
        <v>197</v>
      </c>
      <c r="E5091" s="2" t="s">
        <v>584</v>
      </c>
      <c r="F5091" s="2" t="s">
        <v>40</v>
      </c>
      <c r="G5091" s="2" t="s">
        <v>22</v>
      </c>
      <c r="H5091" s="2" t="s">
        <v>23</v>
      </c>
      <c r="I5091" s="2" t="s">
        <v>23</v>
      </c>
      <c r="J5091" s="2">
        <v>1</v>
      </c>
      <c r="K5091" s="2" t="s">
        <v>24</v>
      </c>
      <c r="L5091" s="2">
        <v>2541</v>
      </c>
      <c r="M5091" s="2" t="s">
        <v>534</v>
      </c>
      <c r="N5091" s="2">
        <v>495</v>
      </c>
      <c r="O5091" s="2">
        <v>32666847.789999999</v>
      </c>
      <c r="P5091" s="2">
        <v>65993.63</v>
      </c>
    </row>
    <row r="5092" spans="1:16" outlineLevel="2" x14ac:dyDescent="0.2">
      <c r="A5092" s="5">
        <v>46246</v>
      </c>
      <c r="B5092" s="2">
        <v>161399</v>
      </c>
      <c r="C5092" s="2">
        <v>4</v>
      </c>
      <c r="D5092" s="2" t="s">
        <v>197</v>
      </c>
      <c r="E5092" s="2" t="s">
        <v>538</v>
      </c>
      <c r="F5092" s="2" t="s">
        <v>40</v>
      </c>
      <c r="G5092" s="2" t="s">
        <v>22</v>
      </c>
      <c r="H5092" s="2" t="s">
        <v>23</v>
      </c>
      <c r="I5092" s="2" t="s">
        <v>23</v>
      </c>
      <c r="J5092" s="2">
        <v>86</v>
      </c>
      <c r="K5092" s="2" t="s">
        <v>73</v>
      </c>
      <c r="L5092" s="2">
        <v>2541</v>
      </c>
      <c r="M5092" s="2" t="s">
        <v>534</v>
      </c>
      <c r="N5092" s="2">
        <v>19</v>
      </c>
      <c r="O5092" s="2">
        <v>694499.24</v>
      </c>
      <c r="P5092" s="2">
        <v>36552.589999999997</v>
      </c>
    </row>
    <row r="5093" spans="1:16" outlineLevel="1" x14ac:dyDescent="0.2">
      <c r="A5093" s="5"/>
      <c r="D5093" s="3" t="s">
        <v>734</v>
      </c>
      <c r="N5093" s="2">
        <f>SUBTOTAL(9,N5090:N5092)</f>
        <v>1054</v>
      </c>
      <c r="O5093" s="2">
        <f>SUBTOTAL(9,O5090:O5092)</f>
        <v>68726131.899999991</v>
      </c>
      <c r="P5093" s="2">
        <f>+O5093/N5093</f>
        <v>65205.058728652744</v>
      </c>
    </row>
    <row r="5094" spans="1:16" outlineLevel="2" x14ac:dyDescent="0.2">
      <c r="A5094" s="5">
        <v>46238</v>
      </c>
      <c r="B5094" s="2">
        <v>161400</v>
      </c>
      <c r="C5094" s="2">
        <v>1</v>
      </c>
      <c r="D5094" s="2" t="s">
        <v>175</v>
      </c>
      <c r="E5094" s="2" t="s">
        <v>337</v>
      </c>
      <c r="F5094" s="2" t="s">
        <v>40</v>
      </c>
      <c r="G5094" s="2" t="s">
        <v>22</v>
      </c>
      <c r="H5094" s="2" t="s">
        <v>23</v>
      </c>
      <c r="I5094" s="2" t="s">
        <v>23</v>
      </c>
      <c r="J5094" s="2">
        <v>5</v>
      </c>
      <c r="K5094" s="2" t="s">
        <v>27</v>
      </c>
      <c r="L5094" s="2">
        <v>2521</v>
      </c>
      <c r="M5094" s="2" t="s">
        <v>82</v>
      </c>
      <c r="N5094" s="2">
        <v>30</v>
      </c>
      <c r="O5094" s="2">
        <v>883067.74</v>
      </c>
      <c r="P5094" s="2">
        <v>29435.59</v>
      </c>
    </row>
    <row r="5095" spans="1:16" outlineLevel="2" x14ac:dyDescent="0.2">
      <c r="A5095" s="5">
        <v>46238</v>
      </c>
      <c r="B5095" s="2">
        <v>161400</v>
      </c>
      <c r="C5095" s="2">
        <v>2</v>
      </c>
      <c r="D5095" s="2" t="s">
        <v>175</v>
      </c>
      <c r="E5095" s="2" t="s">
        <v>310</v>
      </c>
      <c r="F5095" s="2" t="s">
        <v>40</v>
      </c>
      <c r="G5095" s="2" t="s">
        <v>22</v>
      </c>
      <c r="H5095" s="2" t="s">
        <v>23</v>
      </c>
      <c r="I5095" s="2" t="s">
        <v>23</v>
      </c>
      <c r="J5095" s="2">
        <v>5</v>
      </c>
      <c r="K5095" s="2" t="s">
        <v>27</v>
      </c>
      <c r="L5095" s="2">
        <v>2521</v>
      </c>
      <c r="M5095" s="2" t="s">
        <v>82</v>
      </c>
      <c r="N5095" s="2">
        <v>40</v>
      </c>
      <c r="O5095" s="2">
        <v>1165910.08</v>
      </c>
      <c r="P5095" s="2">
        <v>29147.75</v>
      </c>
    </row>
    <row r="5096" spans="1:16" outlineLevel="1" x14ac:dyDescent="0.2">
      <c r="A5096" s="5"/>
      <c r="D5096" s="3" t="s">
        <v>725</v>
      </c>
      <c r="N5096" s="2">
        <f>SUBTOTAL(9,N5094:N5095)</f>
        <v>70</v>
      </c>
      <c r="O5096" s="2">
        <f>SUBTOTAL(9,O5094:O5095)</f>
        <v>2048977.82</v>
      </c>
      <c r="P5096" s="2">
        <f>+O5096/N5096</f>
        <v>29271.111714285715</v>
      </c>
    </row>
    <row r="5097" spans="1:16" outlineLevel="2" x14ac:dyDescent="0.2">
      <c r="A5097" s="5">
        <v>46239</v>
      </c>
      <c r="B5097" s="2">
        <v>161403</v>
      </c>
      <c r="C5097" s="2">
        <v>1</v>
      </c>
      <c r="D5097" s="2" t="s">
        <v>667</v>
      </c>
      <c r="E5097" s="2" t="s">
        <v>55</v>
      </c>
      <c r="F5097" s="2" t="s">
        <v>23</v>
      </c>
      <c r="G5097" s="2" t="s">
        <v>23</v>
      </c>
      <c r="H5097" s="2" t="s">
        <v>23</v>
      </c>
      <c r="I5097" s="2" t="s">
        <v>23</v>
      </c>
      <c r="J5097" s="2">
        <v>2</v>
      </c>
      <c r="K5097" s="2" t="s">
        <v>48</v>
      </c>
      <c r="L5097" s="2">
        <v>1833</v>
      </c>
      <c r="M5097" s="2" t="s">
        <v>142</v>
      </c>
      <c r="N5097" s="2">
        <v>9</v>
      </c>
      <c r="O5097" s="2">
        <v>158694.92000000001</v>
      </c>
      <c r="P5097" s="2">
        <v>17632.77</v>
      </c>
    </row>
    <row r="5098" spans="1:16" outlineLevel="1" x14ac:dyDescent="0.2">
      <c r="A5098" s="5"/>
      <c r="D5098" s="3" t="s">
        <v>809</v>
      </c>
      <c r="N5098" s="2">
        <f>SUBTOTAL(9,N5097:N5097)</f>
        <v>9</v>
      </c>
      <c r="O5098" s="2">
        <f>SUBTOTAL(9,O5097:O5097)</f>
        <v>158694.92000000001</v>
      </c>
      <c r="P5098" s="2">
        <f>+O5098/N5098</f>
        <v>17632.768888888892</v>
      </c>
    </row>
    <row r="5099" spans="1:16" outlineLevel="2" x14ac:dyDescent="0.2">
      <c r="A5099" s="5">
        <v>46241</v>
      </c>
      <c r="B5099" s="2">
        <v>161403</v>
      </c>
      <c r="C5099" s="2">
        <v>315</v>
      </c>
      <c r="D5099" s="2" t="s">
        <v>140</v>
      </c>
      <c r="E5099" s="2" t="s">
        <v>23</v>
      </c>
      <c r="F5099" s="2" t="s">
        <v>55</v>
      </c>
      <c r="G5099" s="2" t="s">
        <v>23</v>
      </c>
      <c r="H5099" s="2" t="s">
        <v>23</v>
      </c>
      <c r="I5099" s="2" t="s">
        <v>23</v>
      </c>
      <c r="J5099" s="2">
        <v>1</v>
      </c>
      <c r="K5099" s="2" t="s">
        <v>24</v>
      </c>
      <c r="L5099" s="2">
        <v>1833</v>
      </c>
      <c r="M5099" s="2" t="s">
        <v>142</v>
      </c>
      <c r="N5099" s="2">
        <v>53</v>
      </c>
      <c r="O5099" s="2">
        <v>309339.94</v>
      </c>
      <c r="P5099" s="2">
        <v>5836.6</v>
      </c>
    </row>
    <row r="5100" spans="1:16" outlineLevel="1" x14ac:dyDescent="0.2">
      <c r="A5100" s="5"/>
      <c r="D5100" s="3" t="s">
        <v>696</v>
      </c>
      <c r="N5100" s="2">
        <f>SUBTOTAL(9,N5099:N5099)</f>
        <v>53</v>
      </c>
      <c r="O5100" s="2">
        <f>SUBTOTAL(9,O5099:O5099)</f>
        <v>309339.94</v>
      </c>
      <c r="P5100" s="2">
        <f>+O5100/N5100</f>
        <v>5836.6026415094339</v>
      </c>
    </row>
    <row r="5101" spans="1:16" outlineLevel="2" x14ac:dyDescent="0.2">
      <c r="A5101" s="5">
        <v>46246</v>
      </c>
      <c r="B5101" s="2">
        <v>161408</v>
      </c>
      <c r="C5101" s="2">
        <v>1</v>
      </c>
      <c r="D5101" s="2" t="s">
        <v>38</v>
      </c>
      <c r="E5101" s="2" t="s">
        <v>39</v>
      </c>
      <c r="F5101" s="2" t="s">
        <v>40</v>
      </c>
      <c r="G5101" s="2" t="s">
        <v>407</v>
      </c>
      <c r="H5101" s="2" t="s">
        <v>23</v>
      </c>
      <c r="I5101" s="2" t="s">
        <v>184</v>
      </c>
      <c r="J5101" s="2">
        <v>40</v>
      </c>
      <c r="K5101" s="2" t="s">
        <v>43</v>
      </c>
      <c r="L5101" s="2">
        <v>1502</v>
      </c>
      <c r="M5101" s="2" t="s">
        <v>114</v>
      </c>
      <c r="N5101" s="2">
        <v>264</v>
      </c>
      <c r="O5101" s="2">
        <v>10084242.35</v>
      </c>
      <c r="P5101" s="2">
        <v>38197.89</v>
      </c>
    </row>
    <row r="5102" spans="1:16" outlineLevel="2" x14ac:dyDescent="0.2">
      <c r="A5102" s="5">
        <v>46246</v>
      </c>
      <c r="B5102" s="2">
        <v>161408</v>
      </c>
      <c r="C5102" s="2">
        <v>2</v>
      </c>
      <c r="D5102" s="2" t="s">
        <v>38</v>
      </c>
      <c r="E5102" s="2" t="s">
        <v>39</v>
      </c>
      <c r="F5102" s="2" t="s">
        <v>40</v>
      </c>
      <c r="G5102" s="2" t="s">
        <v>407</v>
      </c>
      <c r="H5102" s="2" t="s">
        <v>23</v>
      </c>
      <c r="I5102" s="2" t="s">
        <v>614</v>
      </c>
      <c r="J5102" s="2">
        <v>40</v>
      </c>
      <c r="K5102" s="2" t="s">
        <v>43</v>
      </c>
      <c r="L5102" s="2">
        <v>1502</v>
      </c>
      <c r="M5102" s="2" t="s">
        <v>114</v>
      </c>
      <c r="N5102" s="2">
        <v>264</v>
      </c>
      <c r="O5102" s="2">
        <v>10035342.74</v>
      </c>
      <c r="P5102" s="2">
        <v>38012.660000000003</v>
      </c>
    </row>
    <row r="5103" spans="1:16" outlineLevel="1" x14ac:dyDescent="0.2">
      <c r="A5103" s="5"/>
      <c r="D5103" s="3" t="s">
        <v>721</v>
      </c>
      <c r="N5103" s="2">
        <f>SUBTOTAL(9,N5101:N5102)</f>
        <v>528</v>
      </c>
      <c r="O5103" s="2">
        <f>SUBTOTAL(9,O5101:O5102)</f>
        <v>20119585.09</v>
      </c>
      <c r="P5103" s="2">
        <f>+O5103/N5103</f>
        <v>38105.274791666663</v>
      </c>
    </row>
    <row r="5104" spans="1:16" outlineLevel="2" x14ac:dyDescent="0.2">
      <c r="A5104" s="5">
        <v>46244</v>
      </c>
      <c r="B5104" s="2">
        <v>161408</v>
      </c>
      <c r="C5104" s="2">
        <v>300</v>
      </c>
      <c r="D5104" s="2" t="s">
        <v>560</v>
      </c>
      <c r="E5104" s="2" t="s">
        <v>39</v>
      </c>
      <c r="F5104" s="2" t="s">
        <v>55</v>
      </c>
      <c r="G5104" s="2" t="s">
        <v>23</v>
      </c>
      <c r="H5104" s="2" t="s">
        <v>23</v>
      </c>
      <c r="I5104" s="2" t="s">
        <v>23</v>
      </c>
      <c r="J5104" s="2">
        <v>40</v>
      </c>
      <c r="K5104" s="2" t="s">
        <v>43</v>
      </c>
      <c r="L5104" s="2">
        <v>133</v>
      </c>
      <c r="M5104" s="2" t="s">
        <v>668</v>
      </c>
      <c r="N5104" s="2">
        <v>176</v>
      </c>
      <c r="O5104" s="2">
        <v>5093352.0199999996</v>
      </c>
      <c r="P5104" s="2">
        <v>28939.5</v>
      </c>
    </row>
    <row r="5105" spans="1:16" outlineLevel="1" x14ac:dyDescent="0.2">
      <c r="A5105" s="5"/>
      <c r="D5105" s="3" t="s">
        <v>798</v>
      </c>
      <c r="N5105" s="2">
        <f>SUBTOTAL(9,N5104:N5104)</f>
        <v>176</v>
      </c>
      <c r="O5105" s="2">
        <f>SUBTOTAL(9,O5104:O5104)</f>
        <v>5093352.0199999996</v>
      </c>
      <c r="P5105" s="2">
        <f>+O5105/N5105</f>
        <v>28939.500113636361</v>
      </c>
    </row>
    <row r="5106" spans="1:16" outlineLevel="2" x14ac:dyDescent="0.2">
      <c r="A5106" s="5">
        <v>46239</v>
      </c>
      <c r="B5106" s="2">
        <v>161409</v>
      </c>
      <c r="C5106" s="2">
        <v>1</v>
      </c>
      <c r="D5106" s="2" t="s">
        <v>75</v>
      </c>
      <c r="E5106" s="2" t="s">
        <v>23</v>
      </c>
      <c r="F5106" s="2" t="s">
        <v>108</v>
      </c>
      <c r="G5106" s="2" t="s">
        <v>22</v>
      </c>
      <c r="H5106" s="2" t="s">
        <v>23</v>
      </c>
      <c r="I5106" s="2" t="s">
        <v>100</v>
      </c>
      <c r="J5106" s="2">
        <v>1</v>
      </c>
      <c r="K5106" s="2" t="s">
        <v>24</v>
      </c>
      <c r="L5106" s="2">
        <v>2024</v>
      </c>
      <c r="M5106" s="2" t="s">
        <v>76</v>
      </c>
      <c r="N5106" s="2">
        <v>315</v>
      </c>
      <c r="O5106" s="2">
        <v>13067460.91</v>
      </c>
      <c r="P5106" s="2">
        <v>41484</v>
      </c>
    </row>
    <row r="5107" spans="1:16" outlineLevel="2" x14ac:dyDescent="0.2">
      <c r="A5107" s="5">
        <v>46244</v>
      </c>
      <c r="B5107" s="2">
        <v>161409</v>
      </c>
      <c r="C5107" s="2">
        <v>2</v>
      </c>
      <c r="D5107" s="2" t="s">
        <v>75</v>
      </c>
      <c r="E5107" s="2" t="s">
        <v>23</v>
      </c>
      <c r="F5107" s="2" t="s">
        <v>108</v>
      </c>
      <c r="G5107" s="2" t="s">
        <v>22</v>
      </c>
      <c r="H5107" s="2" t="s">
        <v>23</v>
      </c>
      <c r="I5107" s="2" t="s">
        <v>23</v>
      </c>
      <c r="J5107" s="2">
        <v>1</v>
      </c>
      <c r="K5107" s="2" t="s">
        <v>24</v>
      </c>
      <c r="L5107" s="2">
        <v>2024</v>
      </c>
      <c r="M5107" s="2" t="s">
        <v>76</v>
      </c>
      <c r="N5107" s="2">
        <v>204</v>
      </c>
      <c r="O5107" s="2">
        <v>8745909.2300000004</v>
      </c>
      <c r="P5107" s="2">
        <v>42872.1</v>
      </c>
    </row>
    <row r="5108" spans="1:16" outlineLevel="2" x14ac:dyDescent="0.2">
      <c r="A5108" s="5">
        <v>46244</v>
      </c>
      <c r="B5108" s="2">
        <v>161409</v>
      </c>
      <c r="C5108" s="2">
        <v>3</v>
      </c>
      <c r="D5108" s="2" t="s">
        <v>75</v>
      </c>
      <c r="E5108" s="2" t="s">
        <v>23</v>
      </c>
      <c r="F5108" s="2" t="s">
        <v>108</v>
      </c>
      <c r="G5108" s="2" t="s">
        <v>22</v>
      </c>
      <c r="H5108" s="2" t="s">
        <v>23</v>
      </c>
      <c r="I5108" s="2" t="s">
        <v>101</v>
      </c>
      <c r="J5108" s="2">
        <v>1</v>
      </c>
      <c r="K5108" s="2" t="s">
        <v>24</v>
      </c>
      <c r="L5108" s="2">
        <v>2024</v>
      </c>
      <c r="M5108" s="2" t="s">
        <v>76</v>
      </c>
      <c r="N5108" s="2">
        <v>135</v>
      </c>
      <c r="O5108" s="2">
        <v>5732699.3300000001</v>
      </c>
      <c r="P5108" s="2">
        <v>42464.44</v>
      </c>
    </row>
    <row r="5109" spans="1:16" outlineLevel="2" x14ac:dyDescent="0.2">
      <c r="A5109" s="5">
        <v>46246</v>
      </c>
      <c r="B5109" s="2">
        <v>161409</v>
      </c>
      <c r="C5109" s="2">
        <v>4</v>
      </c>
      <c r="D5109" s="2" t="s">
        <v>75</v>
      </c>
      <c r="E5109" s="2" t="s">
        <v>23</v>
      </c>
      <c r="F5109" s="2" t="s">
        <v>108</v>
      </c>
      <c r="G5109" s="2" t="s">
        <v>22</v>
      </c>
      <c r="H5109" s="2" t="s">
        <v>23</v>
      </c>
      <c r="I5109" s="2" t="s">
        <v>23</v>
      </c>
      <c r="J5109" s="2">
        <v>1</v>
      </c>
      <c r="K5109" s="2" t="s">
        <v>24</v>
      </c>
      <c r="L5109" s="2">
        <v>2024</v>
      </c>
      <c r="M5109" s="2" t="s">
        <v>76</v>
      </c>
      <c r="N5109" s="2">
        <v>37</v>
      </c>
      <c r="O5109" s="2">
        <v>1618310.95</v>
      </c>
      <c r="P5109" s="2">
        <v>43738.13</v>
      </c>
    </row>
    <row r="5110" spans="1:16" outlineLevel="1" x14ac:dyDescent="0.2">
      <c r="A5110" s="5"/>
      <c r="D5110" s="3" t="s">
        <v>729</v>
      </c>
      <c r="N5110" s="2">
        <f>SUBTOTAL(9,N5106:N5109)</f>
        <v>691</v>
      </c>
      <c r="O5110" s="2">
        <f>SUBTOTAL(9,O5106:O5109)</f>
        <v>29164380.419999998</v>
      </c>
      <c r="P5110" s="2">
        <f>+O5110/N5110</f>
        <v>42206.049811866855</v>
      </c>
    </row>
    <row r="5111" spans="1:16" outlineLevel="2" x14ac:dyDescent="0.2">
      <c r="A5111" s="5">
        <v>46237</v>
      </c>
      <c r="B5111" s="2">
        <v>161410</v>
      </c>
      <c r="C5111" s="2">
        <v>7</v>
      </c>
      <c r="D5111" s="2" t="s">
        <v>45</v>
      </c>
      <c r="E5111" s="2" t="s">
        <v>125</v>
      </c>
      <c r="F5111" s="2" t="s">
        <v>289</v>
      </c>
      <c r="G5111" s="2" t="s">
        <v>22</v>
      </c>
      <c r="H5111" s="2" t="s">
        <v>23</v>
      </c>
      <c r="I5111" s="2" t="s">
        <v>23</v>
      </c>
      <c r="J5111" s="2">
        <v>2</v>
      </c>
      <c r="K5111" s="2" t="s">
        <v>48</v>
      </c>
      <c r="L5111" s="2">
        <v>106</v>
      </c>
      <c r="M5111" s="2" t="s">
        <v>486</v>
      </c>
      <c r="N5111" s="2">
        <v>56</v>
      </c>
      <c r="O5111" s="2">
        <v>1190000</v>
      </c>
      <c r="P5111" s="2">
        <v>21250</v>
      </c>
    </row>
    <row r="5112" spans="1:16" outlineLevel="2" x14ac:dyDescent="0.2">
      <c r="A5112" s="5">
        <v>46237</v>
      </c>
      <c r="B5112" s="2">
        <v>161411</v>
      </c>
      <c r="C5112" s="2">
        <v>11</v>
      </c>
      <c r="D5112" s="2" t="s">
        <v>45</v>
      </c>
      <c r="E5112" s="2" t="s">
        <v>227</v>
      </c>
      <c r="F5112" s="2" t="s">
        <v>289</v>
      </c>
      <c r="G5112" s="2" t="s">
        <v>22</v>
      </c>
      <c r="H5112" s="2" t="s">
        <v>23</v>
      </c>
      <c r="I5112" s="2" t="s">
        <v>23</v>
      </c>
      <c r="J5112" s="2">
        <v>2</v>
      </c>
      <c r="K5112" s="2" t="s">
        <v>48</v>
      </c>
      <c r="L5112" s="2">
        <v>801</v>
      </c>
      <c r="M5112" s="2" t="s">
        <v>56</v>
      </c>
      <c r="N5112" s="2">
        <v>46</v>
      </c>
      <c r="O5112" s="2">
        <v>1291931</v>
      </c>
      <c r="P5112" s="2">
        <v>28085.46</v>
      </c>
    </row>
    <row r="5113" spans="1:16" outlineLevel="2" x14ac:dyDescent="0.2">
      <c r="A5113" s="5">
        <v>46237</v>
      </c>
      <c r="B5113" s="2">
        <v>161411</v>
      </c>
      <c r="C5113" s="2">
        <v>12</v>
      </c>
      <c r="D5113" s="2" t="s">
        <v>45</v>
      </c>
      <c r="E5113" s="2" t="s">
        <v>227</v>
      </c>
      <c r="F5113" s="2" t="s">
        <v>289</v>
      </c>
      <c r="G5113" s="2" t="s">
        <v>22</v>
      </c>
      <c r="H5113" s="2" t="s">
        <v>23</v>
      </c>
      <c r="I5113" s="2" t="s">
        <v>23</v>
      </c>
      <c r="J5113" s="2">
        <v>41</v>
      </c>
      <c r="K5113" s="2" t="s">
        <v>129</v>
      </c>
      <c r="L5113" s="2">
        <v>801</v>
      </c>
      <c r="M5113" s="2" t="s">
        <v>56</v>
      </c>
      <c r="N5113" s="2">
        <v>45</v>
      </c>
      <c r="O5113" s="2">
        <v>734623.65</v>
      </c>
      <c r="P5113" s="2">
        <v>16324.97</v>
      </c>
    </row>
    <row r="5114" spans="1:16" outlineLevel="2" x14ac:dyDescent="0.2">
      <c r="A5114" s="5">
        <v>46237</v>
      </c>
      <c r="B5114" s="2">
        <v>161411</v>
      </c>
      <c r="C5114" s="2">
        <v>14</v>
      </c>
      <c r="D5114" s="2" t="s">
        <v>45</v>
      </c>
      <c r="E5114" s="2" t="s">
        <v>227</v>
      </c>
      <c r="F5114" s="2" t="s">
        <v>289</v>
      </c>
      <c r="G5114" s="2" t="s">
        <v>210</v>
      </c>
      <c r="H5114" s="2" t="s">
        <v>23</v>
      </c>
      <c r="I5114" s="2" t="s">
        <v>23</v>
      </c>
      <c r="J5114" s="2">
        <v>41</v>
      </c>
      <c r="K5114" s="2" t="s">
        <v>129</v>
      </c>
      <c r="L5114" s="2">
        <v>801</v>
      </c>
      <c r="M5114" s="2" t="s">
        <v>56</v>
      </c>
      <c r="N5114" s="2">
        <v>17</v>
      </c>
      <c r="O5114" s="2">
        <v>116077.04</v>
      </c>
      <c r="P5114" s="2">
        <v>6828.06</v>
      </c>
    </row>
    <row r="5115" spans="1:16" outlineLevel="2" x14ac:dyDescent="0.2">
      <c r="A5115" s="5">
        <v>46237</v>
      </c>
      <c r="B5115" s="2">
        <v>161411</v>
      </c>
      <c r="C5115" s="2">
        <v>17</v>
      </c>
      <c r="D5115" s="2" t="s">
        <v>45</v>
      </c>
      <c r="E5115" s="2" t="s">
        <v>558</v>
      </c>
      <c r="F5115" s="2" t="s">
        <v>289</v>
      </c>
      <c r="G5115" s="2" t="s">
        <v>22</v>
      </c>
      <c r="H5115" s="2" t="s">
        <v>23</v>
      </c>
      <c r="I5115" s="2" t="s">
        <v>23</v>
      </c>
      <c r="J5115" s="2">
        <v>41</v>
      </c>
      <c r="K5115" s="2" t="s">
        <v>129</v>
      </c>
      <c r="L5115" s="2">
        <v>801</v>
      </c>
      <c r="M5115" s="2" t="s">
        <v>56</v>
      </c>
      <c r="N5115" s="2">
        <v>13</v>
      </c>
      <c r="O5115" s="2">
        <v>201326.5</v>
      </c>
      <c r="P5115" s="2">
        <v>15486.65</v>
      </c>
    </row>
    <row r="5116" spans="1:16" outlineLevel="2" x14ac:dyDescent="0.2">
      <c r="A5116" s="5">
        <v>46237</v>
      </c>
      <c r="B5116" s="2">
        <v>161411</v>
      </c>
      <c r="C5116" s="2">
        <v>18</v>
      </c>
      <c r="D5116" s="2" t="s">
        <v>45</v>
      </c>
      <c r="E5116" s="2" t="s">
        <v>558</v>
      </c>
      <c r="F5116" s="2" t="s">
        <v>289</v>
      </c>
      <c r="G5116" s="2" t="s">
        <v>22</v>
      </c>
      <c r="H5116" s="2" t="s">
        <v>23</v>
      </c>
      <c r="I5116" s="2" t="s">
        <v>23</v>
      </c>
      <c r="J5116" s="2">
        <v>41</v>
      </c>
      <c r="K5116" s="2" t="s">
        <v>129</v>
      </c>
      <c r="L5116" s="2">
        <v>801</v>
      </c>
      <c r="M5116" s="2" t="s">
        <v>56</v>
      </c>
      <c r="N5116" s="2">
        <v>19</v>
      </c>
      <c r="O5116" s="2">
        <v>188885.26</v>
      </c>
      <c r="P5116" s="2">
        <v>9941.33</v>
      </c>
    </row>
    <row r="5117" spans="1:16" outlineLevel="1" x14ac:dyDescent="0.2">
      <c r="A5117" s="5"/>
      <c r="D5117" s="3" t="s">
        <v>733</v>
      </c>
      <c r="N5117" s="2">
        <f>SUBTOTAL(9,N5111:N5116)</f>
        <v>196</v>
      </c>
      <c r="O5117" s="2">
        <f>SUBTOTAL(9,O5111:O5116)</f>
        <v>3722843.45</v>
      </c>
      <c r="P5117" s="2">
        <f>+O5117/N5117</f>
        <v>18994.09923469388</v>
      </c>
    </row>
    <row r="5118" spans="1:16" outlineLevel="2" x14ac:dyDescent="0.2">
      <c r="A5118" s="5">
        <v>46237</v>
      </c>
      <c r="B5118" s="2">
        <v>161411</v>
      </c>
      <c r="C5118" s="2">
        <v>26</v>
      </c>
      <c r="D5118" s="2" t="s">
        <v>226</v>
      </c>
      <c r="E5118" s="2" t="s">
        <v>544</v>
      </c>
      <c r="F5118" s="2" t="s">
        <v>289</v>
      </c>
      <c r="G5118" s="2" t="s">
        <v>22</v>
      </c>
      <c r="H5118" s="2" t="s">
        <v>23</v>
      </c>
      <c r="I5118" s="2" t="s">
        <v>23</v>
      </c>
      <c r="J5118" s="2">
        <v>41</v>
      </c>
      <c r="K5118" s="2" t="s">
        <v>129</v>
      </c>
      <c r="L5118" s="2">
        <v>801</v>
      </c>
      <c r="M5118" s="2" t="s">
        <v>56</v>
      </c>
      <c r="N5118" s="2">
        <v>25</v>
      </c>
      <c r="O5118" s="2">
        <v>496306.9</v>
      </c>
      <c r="P5118" s="2">
        <v>19852.28</v>
      </c>
    </row>
    <row r="5119" spans="1:16" outlineLevel="2" x14ac:dyDescent="0.2">
      <c r="A5119" s="5">
        <v>46237</v>
      </c>
      <c r="B5119" s="2">
        <v>161411</v>
      </c>
      <c r="C5119" s="2">
        <v>30</v>
      </c>
      <c r="D5119" s="2" t="s">
        <v>226</v>
      </c>
      <c r="E5119" s="2" t="s">
        <v>651</v>
      </c>
      <c r="F5119" s="2" t="s">
        <v>289</v>
      </c>
      <c r="G5119" s="2" t="s">
        <v>22</v>
      </c>
      <c r="H5119" s="2" t="s">
        <v>23</v>
      </c>
      <c r="I5119" s="2" t="s">
        <v>23</v>
      </c>
      <c r="J5119" s="2">
        <v>41</v>
      </c>
      <c r="K5119" s="2" t="s">
        <v>129</v>
      </c>
      <c r="L5119" s="2">
        <v>801</v>
      </c>
      <c r="M5119" s="2" t="s">
        <v>56</v>
      </c>
      <c r="N5119" s="2">
        <v>19</v>
      </c>
      <c r="O5119" s="2">
        <v>468607.04</v>
      </c>
      <c r="P5119" s="2">
        <v>24663.53</v>
      </c>
    </row>
    <row r="5120" spans="1:16" outlineLevel="2" x14ac:dyDescent="0.2">
      <c r="A5120" s="5">
        <v>46237</v>
      </c>
      <c r="B5120" s="2">
        <v>161411</v>
      </c>
      <c r="C5120" s="2">
        <v>31</v>
      </c>
      <c r="D5120" s="2" t="s">
        <v>226</v>
      </c>
      <c r="E5120" s="2" t="s">
        <v>83</v>
      </c>
      <c r="F5120" s="2" t="s">
        <v>289</v>
      </c>
      <c r="G5120" s="2" t="s">
        <v>22</v>
      </c>
      <c r="H5120" s="2" t="s">
        <v>23</v>
      </c>
      <c r="I5120" s="2" t="s">
        <v>23</v>
      </c>
      <c r="J5120" s="2">
        <v>41</v>
      </c>
      <c r="K5120" s="2" t="s">
        <v>129</v>
      </c>
      <c r="L5120" s="2">
        <v>801</v>
      </c>
      <c r="M5120" s="2" t="s">
        <v>56</v>
      </c>
      <c r="N5120" s="2">
        <v>27</v>
      </c>
      <c r="O5120" s="2">
        <v>477638.13</v>
      </c>
      <c r="P5120" s="2">
        <v>17690.3</v>
      </c>
    </row>
    <row r="5121" spans="1:16" outlineLevel="1" x14ac:dyDescent="0.2">
      <c r="A5121" s="5"/>
      <c r="D5121" s="3" t="s">
        <v>736</v>
      </c>
      <c r="N5121" s="2">
        <f>SUBTOTAL(9,N5118:N5120)</f>
        <v>71</v>
      </c>
      <c r="O5121" s="2">
        <f>SUBTOTAL(9,O5118:O5120)</f>
        <v>1442552.0699999998</v>
      </c>
      <c r="P5121" s="2">
        <f>+O5121/N5121</f>
        <v>20317.634788732394</v>
      </c>
    </row>
    <row r="5122" spans="1:16" outlineLevel="2" x14ac:dyDescent="0.2">
      <c r="A5122" s="5">
        <v>46237</v>
      </c>
      <c r="B5122" s="2">
        <v>161411</v>
      </c>
      <c r="C5122" s="2">
        <v>32</v>
      </c>
      <c r="D5122" s="2" t="s">
        <v>45</v>
      </c>
      <c r="E5122" s="2" t="s">
        <v>46</v>
      </c>
      <c r="F5122" s="2" t="s">
        <v>289</v>
      </c>
      <c r="G5122" s="2" t="s">
        <v>22</v>
      </c>
      <c r="H5122" s="2" t="s">
        <v>23</v>
      </c>
      <c r="I5122" s="2" t="s">
        <v>23</v>
      </c>
      <c r="J5122" s="2">
        <v>2</v>
      </c>
      <c r="K5122" s="2" t="s">
        <v>48</v>
      </c>
      <c r="L5122" s="2">
        <v>801</v>
      </c>
      <c r="M5122" s="2" t="s">
        <v>56</v>
      </c>
      <c r="N5122" s="2">
        <v>2</v>
      </c>
      <c r="O5122" s="2">
        <v>18048.78</v>
      </c>
      <c r="P5122" s="2">
        <v>9024.39</v>
      </c>
    </row>
    <row r="5123" spans="1:16" outlineLevel="2" x14ac:dyDescent="0.2">
      <c r="A5123" s="5">
        <v>46239</v>
      </c>
      <c r="B5123" s="2">
        <v>161411</v>
      </c>
      <c r="C5123" s="2">
        <v>313</v>
      </c>
      <c r="D5123" s="2" t="s">
        <v>45</v>
      </c>
      <c r="E5123" s="2" t="s">
        <v>228</v>
      </c>
      <c r="F5123" s="2" t="s">
        <v>55</v>
      </c>
      <c r="G5123" s="2" t="s">
        <v>23</v>
      </c>
      <c r="H5123" s="2" t="s">
        <v>23</v>
      </c>
      <c r="I5123" s="2" t="s">
        <v>23</v>
      </c>
      <c r="J5123" s="2">
        <v>2</v>
      </c>
      <c r="K5123" s="2" t="s">
        <v>48</v>
      </c>
      <c r="L5123" s="2">
        <v>801</v>
      </c>
      <c r="M5123" s="2" t="s">
        <v>56</v>
      </c>
      <c r="N5123" s="2">
        <v>1</v>
      </c>
      <c r="O5123" s="2">
        <v>9024.39</v>
      </c>
      <c r="P5123" s="2">
        <v>9024.39</v>
      </c>
    </row>
    <row r="5124" spans="1:16" outlineLevel="1" x14ac:dyDescent="0.2">
      <c r="A5124" s="5"/>
      <c r="D5124" s="3" t="s">
        <v>733</v>
      </c>
      <c r="N5124" s="2">
        <f>SUBTOTAL(9,N5122:N5123)</f>
        <v>3</v>
      </c>
      <c r="O5124" s="2">
        <f>SUBTOTAL(9,O5122:O5123)</f>
        <v>27073.17</v>
      </c>
      <c r="P5124" s="2">
        <f>+O5124/N5124</f>
        <v>9024.39</v>
      </c>
    </row>
    <row r="5125" spans="1:16" outlineLevel="2" x14ac:dyDescent="0.2">
      <c r="A5125" s="5">
        <v>46246</v>
      </c>
      <c r="B5125" s="2">
        <v>161428</v>
      </c>
      <c r="C5125" s="2">
        <v>1</v>
      </c>
      <c r="D5125" s="2" t="s">
        <v>57</v>
      </c>
      <c r="E5125" s="2" t="s">
        <v>259</v>
      </c>
      <c r="F5125" s="2" t="s">
        <v>31</v>
      </c>
      <c r="G5125" s="2" t="s">
        <v>23</v>
      </c>
      <c r="H5125" s="2" t="s">
        <v>23</v>
      </c>
      <c r="I5125" s="2" t="s">
        <v>23</v>
      </c>
      <c r="J5125" s="2">
        <v>1</v>
      </c>
      <c r="K5125" s="2" t="s">
        <v>24</v>
      </c>
      <c r="L5125" s="2">
        <v>25092</v>
      </c>
      <c r="M5125" s="2" t="s">
        <v>96</v>
      </c>
      <c r="N5125" s="2">
        <v>1</v>
      </c>
      <c r="O5125" s="2">
        <v>16491.900000000001</v>
      </c>
      <c r="P5125" s="2">
        <v>16491.900000000001</v>
      </c>
    </row>
    <row r="5126" spans="1:16" outlineLevel="2" x14ac:dyDescent="0.2">
      <c r="A5126" s="5">
        <v>46248</v>
      </c>
      <c r="B5126" s="2">
        <v>161435</v>
      </c>
      <c r="C5126" s="2">
        <v>1</v>
      </c>
      <c r="D5126" s="2" t="s">
        <v>57</v>
      </c>
      <c r="E5126" s="2" t="s">
        <v>259</v>
      </c>
      <c r="F5126" s="2" t="s">
        <v>31</v>
      </c>
      <c r="G5126" s="2" t="s">
        <v>22</v>
      </c>
      <c r="H5126" s="2" t="s">
        <v>23</v>
      </c>
      <c r="I5126" s="2" t="s">
        <v>23</v>
      </c>
      <c r="J5126" s="2">
        <v>1</v>
      </c>
      <c r="K5126" s="2" t="s">
        <v>24</v>
      </c>
      <c r="L5126" s="2">
        <v>2143</v>
      </c>
      <c r="M5126" s="2" t="s">
        <v>411</v>
      </c>
      <c r="N5126" s="2">
        <v>5</v>
      </c>
      <c r="O5126" s="2">
        <v>176113.4</v>
      </c>
      <c r="P5126" s="2">
        <v>35222.68</v>
      </c>
    </row>
    <row r="5127" spans="1:16" outlineLevel="1" x14ac:dyDescent="0.2">
      <c r="A5127" s="5"/>
      <c r="D5127" s="3" t="s">
        <v>716</v>
      </c>
      <c r="N5127" s="2">
        <f>SUBTOTAL(9,N5125:N5126)</f>
        <v>6</v>
      </c>
      <c r="O5127" s="2">
        <f>SUBTOTAL(9,O5125:O5126)</f>
        <v>192605.3</v>
      </c>
      <c r="P5127" s="2">
        <f>+O5127/N5127</f>
        <v>32100.883333333331</v>
      </c>
    </row>
    <row r="5128" spans="1:16" outlineLevel="2" x14ac:dyDescent="0.2">
      <c r="A5128" s="5">
        <v>46239</v>
      </c>
      <c r="B5128" s="2">
        <v>161437</v>
      </c>
      <c r="C5128" s="2">
        <v>1</v>
      </c>
      <c r="D5128" s="2" t="s">
        <v>207</v>
      </c>
      <c r="E5128" s="2" t="s">
        <v>23</v>
      </c>
      <c r="F5128" s="2" t="s">
        <v>47</v>
      </c>
      <c r="G5128" s="2" t="s">
        <v>22</v>
      </c>
      <c r="H5128" s="2" t="s">
        <v>208</v>
      </c>
      <c r="I5128" s="2" t="s">
        <v>23</v>
      </c>
      <c r="J5128" s="2">
        <v>41</v>
      </c>
      <c r="K5128" s="2" t="s">
        <v>129</v>
      </c>
      <c r="L5128" s="2">
        <v>25213</v>
      </c>
      <c r="M5128" s="2" t="s">
        <v>130</v>
      </c>
      <c r="N5128" s="2">
        <v>75</v>
      </c>
      <c r="O5128" s="2">
        <v>256781.25</v>
      </c>
      <c r="P5128" s="2">
        <v>3423.75</v>
      </c>
    </row>
    <row r="5129" spans="1:16" outlineLevel="2" x14ac:dyDescent="0.2">
      <c r="A5129" s="5">
        <v>46239</v>
      </c>
      <c r="B5129" s="2">
        <v>161437</v>
      </c>
      <c r="C5129" s="2">
        <v>2</v>
      </c>
      <c r="D5129" s="2" t="s">
        <v>207</v>
      </c>
      <c r="E5129" s="2" t="s">
        <v>23</v>
      </c>
      <c r="F5129" s="2" t="s">
        <v>47</v>
      </c>
      <c r="G5129" s="2" t="s">
        <v>22</v>
      </c>
      <c r="H5129" s="2" t="s">
        <v>209</v>
      </c>
      <c r="I5129" s="2" t="s">
        <v>23</v>
      </c>
      <c r="J5129" s="2">
        <v>41</v>
      </c>
      <c r="K5129" s="2" t="s">
        <v>129</v>
      </c>
      <c r="L5129" s="2">
        <v>25213</v>
      </c>
      <c r="M5129" s="2" t="s">
        <v>130</v>
      </c>
      <c r="N5129" s="2">
        <v>50</v>
      </c>
      <c r="O5129" s="2">
        <v>149252.15</v>
      </c>
      <c r="P5129" s="2">
        <v>2985.04</v>
      </c>
    </row>
    <row r="5130" spans="1:16" outlineLevel="1" x14ac:dyDescent="0.2">
      <c r="A5130" s="5"/>
      <c r="D5130" s="3" t="s">
        <v>699</v>
      </c>
      <c r="N5130" s="2">
        <f>SUBTOTAL(9,N5128:N5129)</f>
        <v>125</v>
      </c>
      <c r="O5130" s="2">
        <f>SUBTOTAL(9,O5128:O5129)</f>
        <v>406033.4</v>
      </c>
      <c r="P5130" s="2">
        <f>+O5130/N5130</f>
        <v>3248.2672000000002</v>
      </c>
    </row>
    <row r="5131" spans="1:16" outlineLevel="2" x14ac:dyDescent="0.2">
      <c r="A5131" s="5">
        <v>46239</v>
      </c>
      <c r="B5131" s="2">
        <v>161437</v>
      </c>
      <c r="C5131" s="2">
        <v>3</v>
      </c>
      <c r="D5131" s="2" t="s">
        <v>128</v>
      </c>
      <c r="E5131" s="2" t="s">
        <v>23</v>
      </c>
      <c r="F5131" s="2" t="s">
        <v>23</v>
      </c>
      <c r="G5131" s="2" t="s">
        <v>22</v>
      </c>
      <c r="H5131" s="2" t="s">
        <v>23</v>
      </c>
      <c r="I5131" s="2" t="s">
        <v>23</v>
      </c>
      <c r="J5131" s="2">
        <v>41</v>
      </c>
      <c r="K5131" s="2" t="s">
        <v>129</v>
      </c>
      <c r="L5131" s="2">
        <v>25213</v>
      </c>
      <c r="M5131" s="2" t="s">
        <v>130</v>
      </c>
      <c r="N5131" s="2">
        <v>50</v>
      </c>
      <c r="O5131" s="2">
        <v>185375.95</v>
      </c>
      <c r="P5131" s="2">
        <v>3707.52</v>
      </c>
    </row>
    <row r="5132" spans="1:16" outlineLevel="1" x14ac:dyDescent="0.2">
      <c r="A5132" s="5"/>
      <c r="D5132" s="3" t="s">
        <v>732</v>
      </c>
      <c r="N5132" s="2">
        <f>SUBTOTAL(9,N5131:N5131)</f>
        <v>50</v>
      </c>
      <c r="O5132" s="2">
        <f>SUBTOTAL(9,O5131:O5131)</f>
        <v>185375.95</v>
      </c>
      <c r="P5132" s="2">
        <f>+O5132/N5132</f>
        <v>3707.5190000000002</v>
      </c>
    </row>
    <row r="5133" spans="1:16" outlineLevel="2" x14ac:dyDescent="0.2">
      <c r="A5133" s="5">
        <v>46239</v>
      </c>
      <c r="B5133" s="2">
        <v>161437</v>
      </c>
      <c r="C5133" s="2">
        <v>4</v>
      </c>
      <c r="D5133" s="2" t="s">
        <v>294</v>
      </c>
      <c r="E5133" s="2" t="s">
        <v>23</v>
      </c>
      <c r="F5133" s="2" t="s">
        <v>47</v>
      </c>
      <c r="G5133" s="2" t="s">
        <v>22</v>
      </c>
      <c r="H5133" s="2" t="s">
        <v>23</v>
      </c>
      <c r="I5133" s="2" t="s">
        <v>23</v>
      </c>
      <c r="J5133" s="2">
        <v>41</v>
      </c>
      <c r="K5133" s="2" t="s">
        <v>129</v>
      </c>
      <c r="L5133" s="2">
        <v>25213</v>
      </c>
      <c r="M5133" s="2" t="s">
        <v>130</v>
      </c>
      <c r="N5133" s="2">
        <v>25</v>
      </c>
      <c r="O5133" s="2">
        <v>88047.27</v>
      </c>
      <c r="P5133" s="2">
        <v>3521.89</v>
      </c>
    </row>
    <row r="5134" spans="1:16" outlineLevel="1" x14ac:dyDescent="0.2">
      <c r="A5134" s="5"/>
      <c r="D5134" s="3" t="s">
        <v>740</v>
      </c>
      <c r="N5134" s="2">
        <f>SUBTOTAL(9,N5133:N5133)</f>
        <v>25</v>
      </c>
      <c r="O5134" s="2">
        <f>SUBTOTAL(9,O5133:O5133)</f>
        <v>88047.27</v>
      </c>
      <c r="P5134" s="2">
        <f>+O5134/N5134</f>
        <v>3521.8908000000001</v>
      </c>
    </row>
    <row r="5135" spans="1:16" outlineLevel="2" x14ac:dyDescent="0.2">
      <c r="A5135" s="5">
        <v>46239</v>
      </c>
      <c r="B5135" s="2">
        <v>161437</v>
      </c>
      <c r="C5135" s="2">
        <v>5</v>
      </c>
      <c r="D5135" s="2" t="s">
        <v>207</v>
      </c>
      <c r="E5135" s="2" t="s">
        <v>23</v>
      </c>
      <c r="F5135" s="2" t="s">
        <v>47</v>
      </c>
      <c r="G5135" s="2" t="s">
        <v>22</v>
      </c>
      <c r="H5135" s="2" t="s">
        <v>23</v>
      </c>
      <c r="I5135" s="2" t="s">
        <v>23</v>
      </c>
      <c r="J5135" s="2">
        <v>1</v>
      </c>
      <c r="K5135" s="2" t="s">
        <v>24</v>
      </c>
      <c r="L5135" s="2">
        <v>25213</v>
      </c>
      <c r="M5135" s="2" t="s">
        <v>130</v>
      </c>
      <c r="N5135" s="2">
        <v>10</v>
      </c>
      <c r="O5135" s="2">
        <v>825480.28</v>
      </c>
      <c r="P5135" s="2">
        <v>82548.03</v>
      </c>
    </row>
    <row r="5136" spans="1:16" outlineLevel="2" x14ac:dyDescent="0.2">
      <c r="A5136" s="5">
        <v>46239</v>
      </c>
      <c r="B5136" s="2">
        <v>161437</v>
      </c>
      <c r="C5136" s="2">
        <v>6</v>
      </c>
      <c r="D5136" s="2" t="s">
        <v>207</v>
      </c>
      <c r="E5136" s="2" t="s">
        <v>23</v>
      </c>
      <c r="F5136" s="2" t="s">
        <v>47</v>
      </c>
      <c r="G5136" s="2" t="s">
        <v>210</v>
      </c>
      <c r="H5136" s="2" t="s">
        <v>23</v>
      </c>
      <c r="I5136" s="2" t="s">
        <v>23</v>
      </c>
      <c r="J5136" s="2">
        <v>1</v>
      </c>
      <c r="K5136" s="2" t="s">
        <v>24</v>
      </c>
      <c r="L5136" s="2">
        <v>25213</v>
      </c>
      <c r="M5136" s="2" t="s">
        <v>130</v>
      </c>
      <c r="N5136" s="2">
        <v>10</v>
      </c>
      <c r="O5136" s="2">
        <v>655907.93999999994</v>
      </c>
      <c r="P5136" s="2">
        <v>65590.789999999994</v>
      </c>
    </row>
    <row r="5137" spans="1:16" outlineLevel="1" x14ac:dyDescent="0.2">
      <c r="A5137" s="5"/>
      <c r="D5137" s="3" t="s">
        <v>699</v>
      </c>
      <c r="N5137" s="2">
        <f>SUBTOTAL(9,N5135:N5136)</f>
        <v>20</v>
      </c>
      <c r="O5137" s="2">
        <f>SUBTOTAL(9,O5135:O5136)</f>
        <v>1481388.22</v>
      </c>
      <c r="P5137" s="2">
        <f>+O5137/N5137</f>
        <v>74069.410999999993</v>
      </c>
    </row>
    <row r="5138" spans="1:16" outlineLevel="2" x14ac:dyDescent="0.2">
      <c r="A5138" s="5">
        <v>46239</v>
      </c>
      <c r="B5138" s="2">
        <v>161437</v>
      </c>
      <c r="C5138" s="2">
        <v>7</v>
      </c>
      <c r="D5138" s="2" t="s">
        <v>128</v>
      </c>
      <c r="E5138" s="2" t="s">
        <v>23</v>
      </c>
      <c r="F5138" s="2" t="s">
        <v>47</v>
      </c>
      <c r="G5138" s="2" t="s">
        <v>22</v>
      </c>
      <c r="H5138" s="2" t="s">
        <v>23</v>
      </c>
      <c r="I5138" s="2" t="s">
        <v>23</v>
      </c>
      <c r="J5138" s="2">
        <v>1</v>
      </c>
      <c r="K5138" s="2" t="s">
        <v>24</v>
      </c>
      <c r="L5138" s="2">
        <v>25213</v>
      </c>
      <c r="M5138" s="2" t="s">
        <v>130</v>
      </c>
      <c r="N5138" s="2">
        <v>10</v>
      </c>
      <c r="O5138" s="2">
        <v>900778.82</v>
      </c>
      <c r="P5138" s="2">
        <v>90077.88</v>
      </c>
    </row>
    <row r="5139" spans="1:16" outlineLevel="1" x14ac:dyDescent="0.2">
      <c r="A5139" s="5"/>
      <c r="D5139" s="3" t="s">
        <v>732</v>
      </c>
      <c r="N5139" s="2">
        <f>SUBTOTAL(9,N5138:N5138)</f>
        <v>10</v>
      </c>
      <c r="O5139" s="2">
        <f>SUBTOTAL(9,O5138:O5138)</f>
        <v>900778.82</v>
      </c>
      <c r="P5139" s="2">
        <f>+O5139/N5139</f>
        <v>90077.881999999998</v>
      </c>
    </row>
    <row r="5140" spans="1:16" outlineLevel="2" x14ac:dyDescent="0.2">
      <c r="A5140" s="5">
        <v>46239</v>
      </c>
      <c r="B5140" s="2">
        <v>161438</v>
      </c>
      <c r="C5140" s="2">
        <v>1</v>
      </c>
      <c r="D5140" s="2" t="s">
        <v>474</v>
      </c>
      <c r="E5140" s="2" t="s">
        <v>475</v>
      </c>
      <c r="F5140" s="2" t="s">
        <v>47</v>
      </c>
      <c r="G5140" s="2" t="s">
        <v>22</v>
      </c>
      <c r="H5140" s="2" t="s">
        <v>23</v>
      </c>
      <c r="I5140" s="2" t="s">
        <v>23</v>
      </c>
      <c r="J5140" s="2">
        <v>41</v>
      </c>
      <c r="K5140" s="2" t="s">
        <v>129</v>
      </c>
      <c r="L5140" s="2">
        <v>2338</v>
      </c>
      <c r="M5140" s="2" t="s">
        <v>417</v>
      </c>
      <c r="N5140" s="2">
        <v>544</v>
      </c>
      <c r="O5140" s="2">
        <v>549133.74</v>
      </c>
      <c r="P5140" s="2">
        <v>1009.44</v>
      </c>
    </row>
    <row r="5141" spans="1:16" outlineLevel="1" x14ac:dyDescent="0.2">
      <c r="A5141" s="5"/>
      <c r="D5141" s="3" t="s">
        <v>780</v>
      </c>
      <c r="N5141" s="2">
        <f>SUBTOTAL(9,N5140:N5140)</f>
        <v>544</v>
      </c>
      <c r="O5141" s="2">
        <f>SUBTOTAL(9,O5140:O5140)</f>
        <v>549133.74</v>
      </c>
      <c r="P5141" s="2">
        <f>+O5141/N5141</f>
        <v>1009.4370220588235</v>
      </c>
    </row>
    <row r="5142" spans="1:16" outlineLevel="2" x14ac:dyDescent="0.2">
      <c r="A5142" s="5">
        <v>46239</v>
      </c>
      <c r="B5142" s="2">
        <v>161439</v>
      </c>
      <c r="C5142" s="2">
        <v>1</v>
      </c>
      <c r="D5142" s="2" t="s">
        <v>140</v>
      </c>
      <c r="E5142" s="2" t="s">
        <v>23</v>
      </c>
      <c r="F5142" s="2" t="s">
        <v>108</v>
      </c>
      <c r="G5142" s="2" t="s">
        <v>22</v>
      </c>
      <c r="H5142" s="2" t="s">
        <v>23</v>
      </c>
      <c r="I5142" s="2" t="s">
        <v>23</v>
      </c>
      <c r="J5142" s="2">
        <v>1</v>
      </c>
      <c r="K5142" s="2" t="s">
        <v>24</v>
      </c>
      <c r="L5142" s="2">
        <v>1503</v>
      </c>
      <c r="M5142" s="2" t="s">
        <v>603</v>
      </c>
      <c r="N5142" s="2">
        <v>54</v>
      </c>
      <c r="O5142" s="2">
        <v>2443488</v>
      </c>
      <c r="P5142" s="2">
        <v>45249.78</v>
      </c>
    </row>
    <row r="5143" spans="1:16" outlineLevel="1" x14ac:dyDescent="0.2">
      <c r="A5143" s="5"/>
      <c r="D5143" s="3" t="s">
        <v>696</v>
      </c>
      <c r="N5143" s="2">
        <f>SUBTOTAL(9,N5142:N5142)</f>
        <v>54</v>
      </c>
      <c r="O5143" s="2">
        <f>SUBTOTAL(9,O5142:O5142)</f>
        <v>2443488</v>
      </c>
      <c r="P5143" s="2">
        <f>+O5143/N5143</f>
        <v>45249.777777777781</v>
      </c>
    </row>
    <row r="5144" spans="1:16" outlineLevel="2" x14ac:dyDescent="0.2">
      <c r="A5144" s="5">
        <v>46239</v>
      </c>
      <c r="B5144" s="2">
        <v>161440</v>
      </c>
      <c r="C5144" s="2">
        <v>1</v>
      </c>
      <c r="D5144" s="2" t="s">
        <v>60</v>
      </c>
      <c r="E5144" s="2" t="s">
        <v>669</v>
      </c>
      <c r="F5144" s="2" t="s">
        <v>31</v>
      </c>
      <c r="G5144" s="2" t="s">
        <v>22</v>
      </c>
      <c r="H5144" s="2" t="s">
        <v>23</v>
      </c>
      <c r="I5144" s="2" t="s">
        <v>23</v>
      </c>
      <c r="J5144" s="2">
        <v>78</v>
      </c>
      <c r="K5144" s="2" t="s">
        <v>212</v>
      </c>
      <c r="L5144" s="2">
        <v>226</v>
      </c>
      <c r="M5144" s="2" t="s">
        <v>59</v>
      </c>
      <c r="N5144" s="2">
        <v>91</v>
      </c>
      <c r="O5144" s="2">
        <v>1676248.89</v>
      </c>
      <c r="P5144" s="2">
        <v>18420.32</v>
      </c>
    </row>
    <row r="5145" spans="1:16" outlineLevel="1" x14ac:dyDescent="0.2">
      <c r="A5145" s="5"/>
      <c r="D5145" s="3" t="s">
        <v>728</v>
      </c>
      <c r="N5145" s="2">
        <f>SUBTOTAL(9,N5144:N5144)</f>
        <v>91</v>
      </c>
      <c r="O5145" s="2">
        <f>SUBTOTAL(9,O5144:O5144)</f>
        <v>1676248.89</v>
      </c>
      <c r="P5145" s="2">
        <f>+O5145/N5145</f>
        <v>18420.317472527473</v>
      </c>
    </row>
    <row r="5146" spans="1:16" outlineLevel="2" x14ac:dyDescent="0.2">
      <c r="A5146" s="5">
        <v>46244</v>
      </c>
      <c r="B5146" s="2">
        <v>161441</v>
      </c>
      <c r="C5146" s="2">
        <v>1</v>
      </c>
      <c r="D5146" s="2" t="s">
        <v>19</v>
      </c>
      <c r="E5146" s="2" t="s">
        <v>20</v>
      </c>
      <c r="F5146" s="2" t="s">
        <v>199</v>
      </c>
      <c r="G5146" s="2" t="s">
        <v>22</v>
      </c>
      <c r="H5146" s="2" t="s">
        <v>23</v>
      </c>
      <c r="I5146" s="2" t="s">
        <v>23</v>
      </c>
      <c r="J5146" s="2">
        <v>39</v>
      </c>
      <c r="K5146" s="2" t="s">
        <v>172</v>
      </c>
      <c r="L5146" s="2">
        <v>1</v>
      </c>
      <c r="M5146" s="2" t="s">
        <v>265</v>
      </c>
      <c r="N5146" s="2">
        <v>51</v>
      </c>
      <c r="O5146" s="2">
        <v>161209.25</v>
      </c>
      <c r="P5146" s="2">
        <v>3160.97</v>
      </c>
    </row>
    <row r="5147" spans="1:16" outlineLevel="1" x14ac:dyDescent="0.2">
      <c r="A5147" s="5"/>
      <c r="D5147" s="3" t="s">
        <v>704</v>
      </c>
      <c r="N5147" s="2">
        <f>SUBTOTAL(9,N5146:N5146)</f>
        <v>51</v>
      </c>
      <c r="O5147" s="2">
        <f>SUBTOTAL(9,O5146:O5146)</f>
        <v>161209.25</v>
      </c>
      <c r="P5147" s="2">
        <f>+O5147/N5147</f>
        <v>3160.9656862745096</v>
      </c>
    </row>
    <row r="5148" spans="1:16" outlineLevel="2" x14ac:dyDescent="0.2">
      <c r="A5148" s="5">
        <v>46240</v>
      </c>
      <c r="B5148" s="2">
        <v>161452</v>
      </c>
      <c r="C5148" s="2">
        <v>1</v>
      </c>
      <c r="D5148" s="2" t="s">
        <v>404</v>
      </c>
      <c r="E5148" s="2" t="s">
        <v>23</v>
      </c>
      <c r="F5148" s="2" t="s">
        <v>405</v>
      </c>
      <c r="G5148" s="2" t="s">
        <v>22</v>
      </c>
      <c r="H5148" s="2" t="s">
        <v>23</v>
      </c>
      <c r="I5148" s="2" t="s">
        <v>23</v>
      </c>
      <c r="J5148" s="2">
        <v>1</v>
      </c>
      <c r="K5148" s="2" t="s">
        <v>24</v>
      </c>
      <c r="L5148" s="2">
        <v>25190</v>
      </c>
      <c r="M5148" s="2" t="s">
        <v>644</v>
      </c>
      <c r="N5148" s="2">
        <v>0</v>
      </c>
      <c r="O5148" s="2">
        <v>0</v>
      </c>
      <c r="P5148" s="2">
        <v>0</v>
      </c>
    </row>
    <row r="5149" spans="1:16" outlineLevel="2" x14ac:dyDescent="0.2">
      <c r="A5149" s="5">
        <v>46240</v>
      </c>
      <c r="B5149" s="2">
        <v>161452</v>
      </c>
      <c r="C5149" s="2">
        <v>2</v>
      </c>
      <c r="D5149" s="2" t="s">
        <v>404</v>
      </c>
      <c r="E5149" s="2" t="s">
        <v>23</v>
      </c>
      <c r="F5149" s="2" t="s">
        <v>23</v>
      </c>
      <c r="G5149" s="2" t="s">
        <v>22</v>
      </c>
      <c r="H5149" s="2" t="s">
        <v>23</v>
      </c>
      <c r="I5149" s="2" t="s">
        <v>23</v>
      </c>
      <c r="J5149" s="2">
        <v>86</v>
      </c>
      <c r="K5149" s="2" t="s">
        <v>73</v>
      </c>
      <c r="L5149" s="2">
        <v>25190</v>
      </c>
      <c r="M5149" s="2" t="s">
        <v>644</v>
      </c>
      <c r="N5149" s="2">
        <v>10</v>
      </c>
      <c r="O5149" s="2">
        <v>43571.9</v>
      </c>
      <c r="P5149" s="2">
        <v>4357.1899999999996</v>
      </c>
    </row>
    <row r="5150" spans="1:16" outlineLevel="1" x14ac:dyDescent="0.2">
      <c r="A5150" s="5"/>
      <c r="D5150" s="3" t="s">
        <v>769</v>
      </c>
      <c r="N5150" s="2">
        <f>SUBTOTAL(9,N5148:N5149)</f>
        <v>10</v>
      </c>
      <c r="O5150" s="2">
        <f>SUBTOTAL(9,O5148:O5149)</f>
        <v>43571.9</v>
      </c>
      <c r="P5150" s="2">
        <f>+O5150/N5150</f>
        <v>4357.1900000000005</v>
      </c>
    </row>
    <row r="5151" spans="1:16" outlineLevel="2" x14ac:dyDescent="0.2">
      <c r="A5151" s="5">
        <v>46248</v>
      </c>
      <c r="B5151" s="2">
        <v>161453</v>
      </c>
      <c r="C5151" s="2">
        <v>1</v>
      </c>
      <c r="D5151" s="2" t="s">
        <v>57</v>
      </c>
      <c r="E5151" s="2" t="s">
        <v>259</v>
      </c>
      <c r="F5151" s="2" t="s">
        <v>31</v>
      </c>
      <c r="G5151" s="2" t="s">
        <v>22</v>
      </c>
      <c r="H5151" s="2" t="s">
        <v>23</v>
      </c>
      <c r="I5151" s="2" t="s">
        <v>23</v>
      </c>
      <c r="J5151" s="2">
        <v>1</v>
      </c>
      <c r="K5151" s="2" t="s">
        <v>24</v>
      </c>
      <c r="L5151" s="2">
        <v>1555</v>
      </c>
      <c r="M5151" s="2" t="s">
        <v>139</v>
      </c>
      <c r="N5151" s="2">
        <v>1</v>
      </c>
      <c r="O5151" s="2">
        <v>27693.17</v>
      </c>
      <c r="P5151" s="2">
        <v>27693.17</v>
      </c>
    </row>
    <row r="5152" spans="1:16" outlineLevel="1" x14ac:dyDescent="0.2">
      <c r="A5152" s="5"/>
      <c r="D5152" s="3" t="s">
        <v>716</v>
      </c>
      <c r="N5152" s="2">
        <f>SUBTOTAL(9,N5151:N5151)</f>
        <v>1</v>
      </c>
      <c r="O5152" s="2">
        <f>SUBTOTAL(9,O5151:O5151)</f>
        <v>27693.17</v>
      </c>
      <c r="P5152" s="2">
        <f>+O5152/N5152</f>
        <v>27693.17</v>
      </c>
    </row>
    <row r="5153" spans="1:16" outlineLevel="2" x14ac:dyDescent="0.2">
      <c r="A5153" s="5">
        <v>46240</v>
      </c>
      <c r="B5153" s="2">
        <v>161455</v>
      </c>
      <c r="C5153" s="2">
        <v>1</v>
      </c>
      <c r="D5153" s="2" t="s">
        <v>19</v>
      </c>
      <c r="E5153" s="2" t="s">
        <v>20</v>
      </c>
      <c r="F5153" s="2" t="s">
        <v>35</v>
      </c>
      <c r="G5153" s="2" t="s">
        <v>22</v>
      </c>
      <c r="H5153" s="2" t="s">
        <v>23</v>
      </c>
      <c r="I5153" s="2" t="s">
        <v>23</v>
      </c>
      <c r="J5153" s="2">
        <v>1</v>
      </c>
      <c r="K5153" s="2" t="s">
        <v>24</v>
      </c>
      <c r="L5153" s="2">
        <v>1829</v>
      </c>
      <c r="M5153" s="2" t="s">
        <v>25</v>
      </c>
      <c r="N5153" s="2">
        <v>341</v>
      </c>
      <c r="O5153" s="2">
        <v>15265489.640000001</v>
      </c>
      <c r="P5153" s="2">
        <v>44766.83</v>
      </c>
    </row>
    <row r="5154" spans="1:16" outlineLevel="1" x14ac:dyDescent="0.2">
      <c r="A5154" s="5"/>
      <c r="D5154" s="3" t="s">
        <v>704</v>
      </c>
      <c r="N5154" s="2">
        <f>SUBTOTAL(9,N5153:N5153)</f>
        <v>341</v>
      </c>
      <c r="O5154" s="2">
        <f>SUBTOTAL(9,O5153:O5153)</f>
        <v>15265489.640000001</v>
      </c>
      <c r="P5154" s="2">
        <f>+O5154/N5154</f>
        <v>44766.831788856303</v>
      </c>
    </row>
    <row r="5155" spans="1:16" outlineLevel="2" x14ac:dyDescent="0.2">
      <c r="A5155" s="5">
        <v>46241</v>
      </c>
      <c r="B5155" s="2">
        <v>161459</v>
      </c>
      <c r="C5155" s="2">
        <v>1</v>
      </c>
      <c r="D5155" s="2" t="s">
        <v>140</v>
      </c>
      <c r="E5155" s="2" t="s">
        <v>23</v>
      </c>
      <c r="F5155" s="2" t="s">
        <v>108</v>
      </c>
      <c r="G5155" s="2" t="s">
        <v>22</v>
      </c>
      <c r="H5155" s="2" t="s">
        <v>23</v>
      </c>
      <c r="I5155" s="2" t="s">
        <v>23</v>
      </c>
      <c r="J5155" s="2">
        <v>1</v>
      </c>
      <c r="K5155" s="2" t="s">
        <v>24</v>
      </c>
      <c r="L5155" s="2">
        <v>1503</v>
      </c>
      <c r="M5155" s="2" t="s">
        <v>603</v>
      </c>
      <c r="N5155" s="2">
        <v>54</v>
      </c>
      <c r="O5155" s="2">
        <v>2465890.61</v>
      </c>
      <c r="P5155" s="2">
        <v>45664.639999999999</v>
      </c>
    </row>
    <row r="5156" spans="1:16" outlineLevel="1" x14ac:dyDescent="0.2">
      <c r="A5156" s="5"/>
      <c r="D5156" s="3" t="s">
        <v>696</v>
      </c>
      <c r="N5156" s="2">
        <f>SUBTOTAL(9,N5155:N5155)</f>
        <v>54</v>
      </c>
      <c r="O5156" s="2">
        <f>SUBTOTAL(9,O5155:O5155)</f>
        <v>2465890.61</v>
      </c>
      <c r="P5156" s="2">
        <f>+O5156/N5156</f>
        <v>45664.640925925924</v>
      </c>
    </row>
    <row r="5157" spans="1:16" outlineLevel="2" x14ac:dyDescent="0.2">
      <c r="A5157" s="5">
        <v>46241</v>
      </c>
      <c r="B5157" s="2">
        <v>161460</v>
      </c>
      <c r="C5157" s="2">
        <v>1</v>
      </c>
      <c r="D5157" s="2" t="s">
        <v>207</v>
      </c>
      <c r="E5157" s="2" t="s">
        <v>23</v>
      </c>
      <c r="F5157" s="2" t="s">
        <v>47</v>
      </c>
      <c r="G5157" s="2" t="s">
        <v>22</v>
      </c>
      <c r="H5157" s="2" t="s">
        <v>23</v>
      </c>
      <c r="I5157" s="2" t="s">
        <v>23</v>
      </c>
      <c r="J5157" s="2">
        <v>1</v>
      </c>
      <c r="K5157" s="2" t="s">
        <v>24</v>
      </c>
      <c r="L5157" s="2">
        <v>25213</v>
      </c>
      <c r="M5157" s="2" t="s">
        <v>130</v>
      </c>
      <c r="N5157" s="2">
        <v>8</v>
      </c>
      <c r="O5157" s="2">
        <v>663995.36</v>
      </c>
      <c r="P5157" s="2">
        <v>82999.42</v>
      </c>
    </row>
    <row r="5158" spans="1:16" outlineLevel="2" x14ac:dyDescent="0.2">
      <c r="A5158" s="5">
        <v>46241</v>
      </c>
      <c r="B5158" s="2">
        <v>161460</v>
      </c>
      <c r="C5158" s="2">
        <v>2</v>
      </c>
      <c r="D5158" s="2" t="s">
        <v>207</v>
      </c>
      <c r="E5158" s="2" t="s">
        <v>23</v>
      </c>
      <c r="F5158" s="2" t="s">
        <v>47</v>
      </c>
      <c r="G5158" s="2" t="s">
        <v>210</v>
      </c>
      <c r="H5158" s="2" t="s">
        <v>23</v>
      </c>
      <c r="I5158" s="2" t="s">
        <v>23</v>
      </c>
      <c r="J5158" s="2">
        <v>1</v>
      </c>
      <c r="K5158" s="2" t="s">
        <v>24</v>
      </c>
      <c r="L5158" s="2">
        <v>25213</v>
      </c>
      <c r="M5158" s="2" t="s">
        <v>130</v>
      </c>
      <c r="N5158" s="2">
        <v>8</v>
      </c>
      <c r="O5158" s="2">
        <v>505310.8</v>
      </c>
      <c r="P5158" s="2">
        <v>63163.85</v>
      </c>
    </row>
    <row r="5159" spans="1:16" outlineLevel="2" x14ac:dyDescent="0.2">
      <c r="A5159" s="5">
        <v>46241</v>
      </c>
      <c r="B5159" s="2">
        <v>161460</v>
      </c>
      <c r="C5159" s="2">
        <v>3</v>
      </c>
      <c r="D5159" s="2" t="s">
        <v>207</v>
      </c>
      <c r="E5159" s="2" t="s">
        <v>23</v>
      </c>
      <c r="F5159" s="2" t="s">
        <v>47</v>
      </c>
      <c r="G5159" s="2" t="s">
        <v>22</v>
      </c>
      <c r="H5159" s="2" t="s">
        <v>209</v>
      </c>
      <c r="I5159" s="2" t="s">
        <v>23</v>
      </c>
      <c r="J5159" s="2">
        <v>41</v>
      </c>
      <c r="K5159" s="2" t="s">
        <v>129</v>
      </c>
      <c r="L5159" s="2">
        <v>25213</v>
      </c>
      <c r="M5159" s="2" t="s">
        <v>130</v>
      </c>
      <c r="N5159" s="2">
        <v>50</v>
      </c>
      <c r="O5159" s="2">
        <v>147852</v>
      </c>
      <c r="P5159" s="2">
        <v>2957.04</v>
      </c>
    </row>
    <row r="5160" spans="1:16" outlineLevel="1" x14ac:dyDescent="0.2">
      <c r="A5160" s="5"/>
      <c r="D5160" s="3" t="s">
        <v>699</v>
      </c>
      <c r="N5160" s="2">
        <f>SUBTOTAL(9,N5157:N5159)</f>
        <v>66</v>
      </c>
      <c r="O5160" s="2">
        <f>SUBTOTAL(9,O5157:O5159)</f>
        <v>1317158.1599999999</v>
      </c>
      <c r="P5160" s="2">
        <f>+O5160/N5160</f>
        <v>19956.941818181818</v>
      </c>
    </row>
    <row r="5161" spans="1:16" outlineLevel="2" x14ac:dyDescent="0.2">
      <c r="A5161" s="5">
        <v>46241</v>
      </c>
      <c r="B5161" s="2">
        <v>161460</v>
      </c>
      <c r="C5161" s="2">
        <v>4</v>
      </c>
      <c r="D5161" s="2" t="s">
        <v>128</v>
      </c>
      <c r="E5161" s="2" t="s">
        <v>23</v>
      </c>
      <c r="F5161" s="2" t="s">
        <v>47</v>
      </c>
      <c r="G5161" s="2" t="s">
        <v>22</v>
      </c>
      <c r="H5161" s="2" t="s">
        <v>23</v>
      </c>
      <c r="I5161" s="2" t="s">
        <v>23</v>
      </c>
      <c r="J5161" s="2">
        <v>1</v>
      </c>
      <c r="K5161" s="2" t="s">
        <v>24</v>
      </c>
      <c r="L5161" s="2">
        <v>25213</v>
      </c>
      <c r="M5161" s="2" t="s">
        <v>130</v>
      </c>
      <c r="N5161" s="2">
        <v>5</v>
      </c>
      <c r="O5161" s="2">
        <v>449300.97</v>
      </c>
      <c r="P5161" s="2">
        <v>89860.19</v>
      </c>
    </row>
    <row r="5162" spans="1:16" outlineLevel="1" x14ac:dyDescent="0.2">
      <c r="A5162" s="5"/>
      <c r="D5162" s="3" t="s">
        <v>732</v>
      </c>
      <c r="N5162" s="2">
        <f>SUBTOTAL(9,N5161:N5161)</f>
        <v>5</v>
      </c>
      <c r="O5162" s="2">
        <f>SUBTOTAL(9,O5161:O5161)</f>
        <v>449300.97</v>
      </c>
      <c r="P5162" s="2">
        <f>+O5162/N5162</f>
        <v>89860.193999999989</v>
      </c>
    </row>
    <row r="5163" spans="1:16" outlineLevel="2" x14ac:dyDescent="0.2">
      <c r="A5163" s="5">
        <v>46241</v>
      </c>
      <c r="B5163" s="2">
        <v>161460</v>
      </c>
      <c r="C5163" s="2">
        <v>5</v>
      </c>
      <c r="D5163" s="2" t="s">
        <v>207</v>
      </c>
      <c r="E5163" s="2" t="s">
        <v>23</v>
      </c>
      <c r="F5163" s="2" t="s">
        <v>47</v>
      </c>
      <c r="G5163" s="2" t="s">
        <v>22</v>
      </c>
      <c r="H5163" s="2" t="s">
        <v>208</v>
      </c>
      <c r="I5163" s="2" t="s">
        <v>23</v>
      </c>
      <c r="J5163" s="2">
        <v>41</v>
      </c>
      <c r="K5163" s="2" t="s">
        <v>129</v>
      </c>
      <c r="L5163" s="2">
        <v>25213</v>
      </c>
      <c r="M5163" s="2" t="s">
        <v>130</v>
      </c>
      <c r="N5163" s="2">
        <v>75</v>
      </c>
      <c r="O5163" s="2">
        <v>256781.25</v>
      </c>
      <c r="P5163" s="2">
        <v>3423.75</v>
      </c>
    </row>
    <row r="5164" spans="1:16" outlineLevel="1" x14ac:dyDescent="0.2">
      <c r="A5164" s="5"/>
      <c r="D5164" s="3" t="s">
        <v>699</v>
      </c>
      <c r="N5164" s="2">
        <f>SUBTOTAL(9,N5163:N5163)</f>
        <v>75</v>
      </c>
      <c r="O5164" s="2">
        <f>SUBTOTAL(9,O5163:O5163)</f>
        <v>256781.25</v>
      </c>
      <c r="P5164" s="2">
        <f>+O5164/N5164</f>
        <v>3423.75</v>
      </c>
    </row>
    <row r="5165" spans="1:16" outlineLevel="2" x14ac:dyDescent="0.2">
      <c r="A5165" s="5">
        <v>46241</v>
      </c>
      <c r="B5165" s="2">
        <v>161460</v>
      </c>
      <c r="C5165" s="2">
        <v>6</v>
      </c>
      <c r="D5165" s="2" t="s">
        <v>128</v>
      </c>
      <c r="E5165" s="2" t="s">
        <v>23</v>
      </c>
      <c r="F5165" s="2" t="s">
        <v>47</v>
      </c>
      <c r="G5165" s="2" t="s">
        <v>22</v>
      </c>
      <c r="H5165" s="2" t="s">
        <v>23</v>
      </c>
      <c r="I5165" s="2" t="s">
        <v>23</v>
      </c>
      <c r="J5165" s="2">
        <v>41</v>
      </c>
      <c r="K5165" s="2" t="s">
        <v>129</v>
      </c>
      <c r="L5165" s="2">
        <v>25213</v>
      </c>
      <c r="M5165" s="2" t="s">
        <v>130</v>
      </c>
      <c r="N5165" s="2">
        <v>75</v>
      </c>
      <c r="O5165" s="2">
        <v>275730.36</v>
      </c>
      <c r="P5165" s="2">
        <v>3676.4</v>
      </c>
    </row>
    <row r="5166" spans="1:16" outlineLevel="1" x14ac:dyDescent="0.2">
      <c r="A5166" s="5"/>
      <c r="D5166" s="3" t="s">
        <v>732</v>
      </c>
      <c r="N5166" s="2">
        <f>SUBTOTAL(9,N5165:N5165)</f>
        <v>75</v>
      </c>
      <c r="O5166" s="2">
        <f>SUBTOTAL(9,O5165:O5165)</f>
        <v>275730.36</v>
      </c>
      <c r="P5166" s="2">
        <f>+O5166/N5166</f>
        <v>3676.4047999999998</v>
      </c>
    </row>
    <row r="5167" spans="1:16" outlineLevel="2" x14ac:dyDescent="0.2">
      <c r="A5167" s="5">
        <v>46241</v>
      </c>
      <c r="B5167" s="2">
        <v>161462</v>
      </c>
      <c r="C5167" s="2">
        <v>1</v>
      </c>
      <c r="D5167" s="2" t="s">
        <v>57</v>
      </c>
      <c r="E5167" s="2" t="s">
        <v>463</v>
      </c>
      <c r="F5167" s="2" t="s">
        <v>31</v>
      </c>
      <c r="G5167" s="2" t="s">
        <v>22</v>
      </c>
      <c r="H5167" s="2" t="s">
        <v>505</v>
      </c>
      <c r="I5167" s="2" t="s">
        <v>23</v>
      </c>
      <c r="J5167" s="2">
        <v>1</v>
      </c>
      <c r="K5167" s="2" t="s">
        <v>24</v>
      </c>
      <c r="L5167" s="2">
        <v>226</v>
      </c>
      <c r="M5167" s="2" t="s">
        <v>59</v>
      </c>
      <c r="N5167" s="2">
        <v>25</v>
      </c>
      <c r="O5167" s="2">
        <v>1061657.55</v>
      </c>
      <c r="P5167" s="2">
        <v>42466.3</v>
      </c>
    </row>
    <row r="5168" spans="1:16" outlineLevel="1" x14ac:dyDescent="0.2">
      <c r="A5168" s="5"/>
      <c r="D5168" s="3" t="s">
        <v>716</v>
      </c>
      <c r="N5168" s="2">
        <f>SUBTOTAL(9,N5167:N5167)</f>
        <v>25</v>
      </c>
      <c r="O5168" s="2">
        <f>SUBTOTAL(9,O5167:O5167)</f>
        <v>1061657.55</v>
      </c>
      <c r="P5168" s="2">
        <f>+O5168/N5168</f>
        <v>42466.302000000003</v>
      </c>
    </row>
    <row r="5169" spans="1:16" outlineLevel="2" x14ac:dyDescent="0.2">
      <c r="A5169" s="5">
        <v>46241</v>
      </c>
      <c r="B5169" s="2">
        <v>161462</v>
      </c>
      <c r="C5169" s="2">
        <v>2</v>
      </c>
      <c r="D5169" s="2" t="s">
        <v>60</v>
      </c>
      <c r="E5169" s="2" t="s">
        <v>669</v>
      </c>
      <c r="F5169" s="2" t="s">
        <v>31</v>
      </c>
      <c r="G5169" s="2" t="s">
        <v>22</v>
      </c>
      <c r="H5169" s="2" t="s">
        <v>670</v>
      </c>
      <c r="I5169" s="2" t="s">
        <v>23</v>
      </c>
      <c r="J5169" s="2">
        <v>1</v>
      </c>
      <c r="K5169" s="2" t="s">
        <v>24</v>
      </c>
      <c r="L5169" s="2">
        <v>226</v>
      </c>
      <c r="M5169" s="2" t="s">
        <v>59</v>
      </c>
      <c r="N5169" s="2">
        <v>55</v>
      </c>
      <c r="O5169" s="2">
        <v>1512756.71</v>
      </c>
      <c r="P5169" s="2">
        <v>27504.67</v>
      </c>
    </row>
    <row r="5170" spans="1:16" outlineLevel="2" x14ac:dyDescent="0.2">
      <c r="A5170" s="5">
        <v>46241</v>
      </c>
      <c r="B5170" s="2">
        <v>161462</v>
      </c>
      <c r="C5170" s="2">
        <v>3</v>
      </c>
      <c r="D5170" s="2" t="s">
        <v>60</v>
      </c>
      <c r="E5170" s="2" t="s">
        <v>669</v>
      </c>
      <c r="F5170" s="2" t="s">
        <v>31</v>
      </c>
      <c r="G5170" s="2" t="s">
        <v>22</v>
      </c>
      <c r="H5170" s="2" t="s">
        <v>505</v>
      </c>
      <c r="I5170" s="2" t="s">
        <v>23</v>
      </c>
      <c r="J5170" s="2">
        <v>78</v>
      </c>
      <c r="K5170" s="2" t="s">
        <v>212</v>
      </c>
      <c r="L5170" s="2">
        <v>226</v>
      </c>
      <c r="M5170" s="2" t="s">
        <v>59</v>
      </c>
      <c r="N5170" s="2">
        <v>91</v>
      </c>
      <c r="O5170" s="2">
        <v>1691493.83</v>
      </c>
      <c r="P5170" s="2">
        <v>18587.84</v>
      </c>
    </row>
    <row r="5171" spans="1:16" outlineLevel="1" x14ac:dyDescent="0.2">
      <c r="A5171" s="5"/>
      <c r="D5171" s="3" t="s">
        <v>728</v>
      </c>
      <c r="N5171" s="2">
        <f>SUBTOTAL(9,N5169:N5170)</f>
        <v>146</v>
      </c>
      <c r="O5171" s="2">
        <f>SUBTOTAL(9,O5169:O5170)</f>
        <v>3204250.54</v>
      </c>
      <c r="P5171" s="2">
        <f>+O5171/N5171</f>
        <v>21946.921506849314</v>
      </c>
    </row>
    <row r="5172" spans="1:16" outlineLevel="2" x14ac:dyDescent="0.2">
      <c r="A5172" s="5">
        <v>46241</v>
      </c>
      <c r="B5172" s="2">
        <v>161463</v>
      </c>
      <c r="C5172" s="2">
        <v>1</v>
      </c>
      <c r="D5172" s="2" t="s">
        <v>19</v>
      </c>
      <c r="E5172" s="2" t="s">
        <v>20</v>
      </c>
      <c r="F5172" s="2" t="s">
        <v>199</v>
      </c>
      <c r="G5172" s="2" t="s">
        <v>22</v>
      </c>
      <c r="H5172" s="2" t="s">
        <v>23</v>
      </c>
      <c r="I5172" s="2" t="s">
        <v>23</v>
      </c>
      <c r="J5172" s="2">
        <v>39</v>
      </c>
      <c r="K5172" s="2" t="s">
        <v>172</v>
      </c>
      <c r="L5172" s="2">
        <v>1</v>
      </c>
      <c r="M5172" s="2" t="s">
        <v>265</v>
      </c>
      <c r="N5172" s="2">
        <v>159</v>
      </c>
      <c r="O5172" s="2">
        <v>537843.56000000006</v>
      </c>
      <c r="P5172" s="2">
        <v>3382.66</v>
      </c>
    </row>
    <row r="5173" spans="1:16" outlineLevel="1" x14ac:dyDescent="0.2">
      <c r="A5173" s="5"/>
      <c r="D5173" s="3" t="s">
        <v>704</v>
      </c>
      <c r="N5173" s="2">
        <f>SUBTOTAL(9,N5172:N5172)</f>
        <v>159</v>
      </c>
      <c r="O5173" s="2">
        <f>SUBTOTAL(9,O5172:O5172)</f>
        <v>537843.56000000006</v>
      </c>
      <c r="P5173" s="2">
        <f>+O5173/N5173</f>
        <v>3382.6638993710694</v>
      </c>
    </row>
    <row r="5174" spans="1:16" outlineLevel="2" x14ac:dyDescent="0.2">
      <c r="A5174" s="5">
        <v>46241</v>
      </c>
      <c r="B5174" s="2">
        <v>161465</v>
      </c>
      <c r="C5174" s="2">
        <v>1</v>
      </c>
      <c r="D5174" s="2" t="s">
        <v>474</v>
      </c>
      <c r="E5174" s="2" t="s">
        <v>475</v>
      </c>
      <c r="F5174" s="2" t="s">
        <v>47</v>
      </c>
      <c r="G5174" s="2" t="s">
        <v>22</v>
      </c>
      <c r="H5174" s="2" t="s">
        <v>23</v>
      </c>
      <c r="I5174" s="2" t="s">
        <v>23</v>
      </c>
      <c r="J5174" s="2">
        <v>41</v>
      </c>
      <c r="K5174" s="2" t="s">
        <v>129</v>
      </c>
      <c r="L5174" s="2">
        <v>2338</v>
      </c>
      <c r="M5174" s="2" t="s">
        <v>417</v>
      </c>
      <c r="N5174" s="2">
        <v>608</v>
      </c>
      <c r="O5174" s="2">
        <v>608353.93999999994</v>
      </c>
      <c r="P5174" s="2">
        <v>1000.58</v>
      </c>
    </row>
    <row r="5175" spans="1:16" outlineLevel="1" x14ac:dyDescent="0.2">
      <c r="A5175" s="5"/>
      <c r="D5175" s="3" t="s">
        <v>780</v>
      </c>
      <c r="N5175" s="2">
        <f>SUBTOTAL(9,N5174:N5174)</f>
        <v>608</v>
      </c>
      <c r="O5175" s="2">
        <f>SUBTOTAL(9,O5174:O5174)</f>
        <v>608353.93999999994</v>
      </c>
      <c r="P5175" s="2">
        <f>+O5175/N5175</f>
        <v>1000.5821381578946</v>
      </c>
    </row>
    <row r="5176" spans="1:16" outlineLevel="2" x14ac:dyDescent="0.2">
      <c r="A5176" s="5">
        <v>46241</v>
      </c>
      <c r="B5176" s="2">
        <v>161467</v>
      </c>
      <c r="C5176" s="2">
        <v>1</v>
      </c>
      <c r="D5176" s="2" t="s">
        <v>38</v>
      </c>
      <c r="E5176" s="2" t="s">
        <v>39</v>
      </c>
      <c r="F5176" s="2" t="s">
        <v>52</v>
      </c>
      <c r="G5176" s="2" t="s">
        <v>22</v>
      </c>
      <c r="H5176" s="2" t="s">
        <v>23</v>
      </c>
      <c r="I5176" s="2" t="s">
        <v>23</v>
      </c>
      <c r="J5176" s="2">
        <v>1</v>
      </c>
      <c r="K5176" s="2" t="s">
        <v>24</v>
      </c>
      <c r="L5176" s="2">
        <v>206</v>
      </c>
      <c r="M5176" s="2" t="s">
        <v>516</v>
      </c>
      <c r="N5176" s="2">
        <v>81</v>
      </c>
      <c r="O5176" s="2">
        <v>2526911.7999999998</v>
      </c>
      <c r="P5176" s="2">
        <v>31196.44</v>
      </c>
    </row>
    <row r="5177" spans="1:16" outlineLevel="1" x14ac:dyDescent="0.2">
      <c r="A5177" s="5"/>
      <c r="D5177" s="3" t="s">
        <v>721</v>
      </c>
      <c r="N5177" s="2">
        <f>SUBTOTAL(9,N5176:N5176)</f>
        <v>81</v>
      </c>
      <c r="O5177" s="2">
        <f>SUBTOTAL(9,O5176:O5176)</f>
        <v>2526911.7999999998</v>
      </c>
      <c r="P5177" s="2">
        <f>+O5177/N5177</f>
        <v>31196.44197530864</v>
      </c>
    </row>
    <row r="5178" spans="1:16" outlineLevel="2" x14ac:dyDescent="0.2">
      <c r="A5178" s="5">
        <v>46239</v>
      </c>
      <c r="B5178" s="2">
        <v>161515</v>
      </c>
      <c r="C5178" s="2">
        <v>5</v>
      </c>
      <c r="D5178" s="2" t="s">
        <v>45</v>
      </c>
      <c r="E5178" s="2" t="s">
        <v>125</v>
      </c>
      <c r="F5178" s="2" t="s">
        <v>289</v>
      </c>
      <c r="G5178" s="2" t="s">
        <v>22</v>
      </c>
      <c r="H5178" s="2" t="s">
        <v>23</v>
      </c>
      <c r="I5178" s="2" t="s">
        <v>23</v>
      </c>
      <c r="J5178" s="2">
        <v>2</v>
      </c>
      <c r="K5178" s="2" t="s">
        <v>48</v>
      </c>
      <c r="L5178" s="2">
        <v>106</v>
      </c>
      <c r="M5178" s="2" t="s">
        <v>486</v>
      </c>
      <c r="N5178" s="2">
        <v>126</v>
      </c>
      <c r="O5178" s="2">
        <v>2094088.99</v>
      </c>
      <c r="P5178" s="2">
        <v>16619.75</v>
      </c>
    </row>
    <row r="5179" spans="1:16" outlineLevel="1" x14ac:dyDescent="0.2">
      <c r="A5179" s="5"/>
      <c r="D5179" s="3" t="s">
        <v>733</v>
      </c>
      <c r="N5179" s="2">
        <f>SUBTOTAL(9,N5178:N5178)</f>
        <v>126</v>
      </c>
      <c r="O5179" s="2">
        <f>SUBTOTAL(9,O5178:O5178)</f>
        <v>2094088.99</v>
      </c>
      <c r="P5179" s="2">
        <f>+O5179/N5179</f>
        <v>16619.753888888888</v>
      </c>
    </row>
    <row r="5180" spans="1:16" outlineLevel="2" x14ac:dyDescent="0.2">
      <c r="A5180" s="5">
        <v>46248</v>
      </c>
      <c r="B5180" s="2">
        <v>161518</v>
      </c>
      <c r="C5180" s="2">
        <v>1</v>
      </c>
      <c r="D5180" s="2" t="s">
        <v>38</v>
      </c>
      <c r="E5180" s="2" t="s">
        <v>39</v>
      </c>
      <c r="F5180" s="2" t="s">
        <v>40</v>
      </c>
      <c r="G5180" s="2" t="s">
        <v>22</v>
      </c>
      <c r="H5180" s="2" t="s">
        <v>23</v>
      </c>
      <c r="I5180" s="2" t="s">
        <v>220</v>
      </c>
      <c r="J5180" s="2">
        <v>40</v>
      </c>
      <c r="K5180" s="2" t="s">
        <v>43</v>
      </c>
      <c r="L5180" s="2">
        <v>1502</v>
      </c>
      <c r="M5180" s="2" t="s">
        <v>114</v>
      </c>
      <c r="N5180" s="2">
        <v>228</v>
      </c>
      <c r="O5180" s="2">
        <v>7573241.0300000003</v>
      </c>
      <c r="P5180" s="2">
        <v>33215.97</v>
      </c>
    </row>
    <row r="5181" spans="1:16" outlineLevel="2" x14ac:dyDescent="0.2">
      <c r="A5181" s="5">
        <v>46248</v>
      </c>
      <c r="B5181" s="2">
        <v>161518</v>
      </c>
      <c r="C5181" s="2">
        <v>2</v>
      </c>
      <c r="D5181" s="2" t="s">
        <v>38</v>
      </c>
      <c r="E5181" s="2" t="s">
        <v>39</v>
      </c>
      <c r="F5181" s="2" t="s">
        <v>23</v>
      </c>
      <c r="G5181" s="2" t="s">
        <v>22</v>
      </c>
      <c r="H5181" s="2" t="s">
        <v>23</v>
      </c>
      <c r="I5181" s="2" t="s">
        <v>580</v>
      </c>
      <c r="J5181" s="2">
        <v>1</v>
      </c>
      <c r="K5181" s="2" t="s">
        <v>24</v>
      </c>
      <c r="L5181" s="2">
        <v>1502</v>
      </c>
      <c r="M5181" s="2" t="s">
        <v>114</v>
      </c>
      <c r="N5181" s="2">
        <v>88</v>
      </c>
      <c r="O5181" s="2">
        <v>2929854.4</v>
      </c>
      <c r="P5181" s="2">
        <v>33293.800000000003</v>
      </c>
    </row>
    <row r="5182" spans="1:16" outlineLevel="2" x14ac:dyDescent="0.2">
      <c r="A5182" s="5">
        <v>46246</v>
      </c>
      <c r="B5182" s="2">
        <v>161518</v>
      </c>
      <c r="C5182" s="2">
        <v>3</v>
      </c>
      <c r="D5182" s="2" t="s">
        <v>38</v>
      </c>
      <c r="E5182" s="2" t="s">
        <v>39</v>
      </c>
      <c r="F5182" s="2" t="s">
        <v>40</v>
      </c>
      <c r="G5182" s="2" t="s">
        <v>22</v>
      </c>
      <c r="H5182" s="2" t="s">
        <v>23</v>
      </c>
      <c r="I5182" s="2" t="s">
        <v>23</v>
      </c>
      <c r="J5182" s="2">
        <v>40</v>
      </c>
      <c r="K5182" s="2" t="s">
        <v>43</v>
      </c>
      <c r="L5182" s="2">
        <v>1502</v>
      </c>
      <c r="M5182" s="2" t="s">
        <v>114</v>
      </c>
      <c r="N5182" s="2">
        <v>65</v>
      </c>
      <c r="O5182" s="2">
        <v>2475231.9900000002</v>
      </c>
      <c r="P5182" s="2">
        <v>38080.49</v>
      </c>
    </row>
    <row r="5183" spans="1:16" outlineLevel="1" x14ac:dyDescent="0.2">
      <c r="A5183" s="5"/>
      <c r="D5183" s="3" t="s">
        <v>721</v>
      </c>
      <c r="N5183" s="2">
        <f>SUBTOTAL(9,N5180:N5182)</f>
        <v>381</v>
      </c>
      <c r="O5183" s="2">
        <f>SUBTOTAL(9,O5180:O5182)</f>
        <v>12978327.42</v>
      </c>
      <c r="P5183" s="2">
        <f>+O5183/N5183</f>
        <v>34063.851496062991</v>
      </c>
    </row>
    <row r="5184" spans="1:16" outlineLevel="2" x14ac:dyDescent="0.2">
      <c r="A5184" s="5">
        <v>46239</v>
      </c>
      <c r="B5184" s="2">
        <v>161520</v>
      </c>
      <c r="C5184" s="2">
        <v>2</v>
      </c>
      <c r="D5184" s="2" t="s">
        <v>45</v>
      </c>
      <c r="E5184" s="2" t="s">
        <v>227</v>
      </c>
      <c r="F5184" s="2" t="s">
        <v>289</v>
      </c>
      <c r="G5184" s="2" t="s">
        <v>22</v>
      </c>
      <c r="H5184" s="2" t="s">
        <v>23</v>
      </c>
      <c r="I5184" s="2" t="s">
        <v>23</v>
      </c>
      <c r="J5184" s="2">
        <v>41</v>
      </c>
      <c r="K5184" s="2" t="s">
        <v>129</v>
      </c>
      <c r="L5184" s="2">
        <v>801</v>
      </c>
      <c r="M5184" s="2" t="s">
        <v>56</v>
      </c>
      <c r="N5184" s="2">
        <v>16</v>
      </c>
      <c r="O5184" s="2">
        <v>270404.40999999997</v>
      </c>
      <c r="P5184" s="2">
        <v>16900.28</v>
      </c>
    </row>
    <row r="5185" spans="1:16" outlineLevel="2" x14ac:dyDescent="0.2">
      <c r="A5185" s="5">
        <v>46239</v>
      </c>
      <c r="B5185" s="2">
        <v>161520</v>
      </c>
      <c r="C5185" s="2">
        <v>5</v>
      </c>
      <c r="D5185" s="2" t="s">
        <v>45</v>
      </c>
      <c r="E5185" s="2" t="s">
        <v>227</v>
      </c>
      <c r="F5185" s="2" t="s">
        <v>289</v>
      </c>
      <c r="G5185" s="2" t="s">
        <v>22</v>
      </c>
      <c r="H5185" s="2" t="s">
        <v>23</v>
      </c>
      <c r="I5185" s="2" t="s">
        <v>23</v>
      </c>
      <c r="J5185" s="2">
        <v>41</v>
      </c>
      <c r="K5185" s="2" t="s">
        <v>129</v>
      </c>
      <c r="L5185" s="2">
        <v>801</v>
      </c>
      <c r="M5185" s="2" t="s">
        <v>56</v>
      </c>
      <c r="N5185" s="2">
        <v>4</v>
      </c>
      <c r="O5185" s="2">
        <v>65967.58</v>
      </c>
      <c r="P5185" s="2">
        <v>16491.900000000001</v>
      </c>
    </row>
    <row r="5186" spans="1:16" outlineLevel="2" x14ac:dyDescent="0.2">
      <c r="A5186" s="5">
        <v>46239</v>
      </c>
      <c r="B5186" s="2">
        <v>161520</v>
      </c>
      <c r="C5186" s="2">
        <v>8</v>
      </c>
      <c r="D5186" s="2" t="s">
        <v>45</v>
      </c>
      <c r="E5186" s="2" t="s">
        <v>558</v>
      </c>
      <c r="F5186" s="2" t="s">
        <v>289</v>
      </c>
      <c r="G5186" s="2" t="s">
        <v>22</v>
      </c>
      <c r="H5186" s="2" t="s">
        <v>23</v>
      </c>
      <c r="I5186" s="2" t="s">
        <v>23</v>
      </c>
      <c r="J5186" s="2">
        <v>41</v>
      </c>
      <c r="K5186" s="2" t="s">
        <v>129</v>
      </c>
      <c r="L5186" s="2">
        <v>801</v>
      </c>
      <c r="M5186" s="2" t="s">
        <v>56</v>
      </c>
      <c r="N5186" s="2">
        <v>16</v>
      </c>
      <c r="O5186" s="2">
        <v>233066.94</v>
      </c>
      <c r="P5186" s="2">
        <v>14566.68</v>
      </c>
    </row>
    <row r="5187" spans="1:16" outlineLevel="2" x14ac:dyDescent="0.2">
      <c r="A5187" s="5">
        <v>46239</v>
      </c>
      <c r="B5187" s="2">
        <v>161520</v>
      </c>
      <c r="C5187" s="2">
        <v>11</v>
      </c>
      <c r="D5187" s="2" t="s">
        <v>45</v>
      </c>
      <c r="E5187" s="2" t="s">
        <v>46</v>
      </c>
      <c r="F5187" s="2" t="s">
        <v>289</v>
      </c>
      <c r="G5187" s="2" t="s">
        <v>22</v>
      </c>
      <c r="H5187" s="2" t="s">
        <v>23</v>
      </c>
      <c r="I5187" s="2" t="s">
        <v>23</v>
      </c>
      <c r="J5187" s="2">
        <v>2</v>
      </c>
      <c r="K5187" s="2" t="s">
        <v>48</v>
      </c>
      <c r="L5187" s="2">
        <v>801</v>
      </c>
      <c r="M5187" s="2" t="s">
        <v>56</v>
      </c>
      <c r="N5187" s="2">
        <v>2</v>
      </c>
      <c r="O5187" s="2">
        <v>10581.26</v>
      </c>
      <c r="P5187" s="2">
        <v>5290.63</v>
      </c>
    </row>
    <row r="5188" spans="1:16" outlineLevel="1" x14ac:dyDescent="0.2">
      <c r="A5188" s="5"/>
      <c r="D5188" s="3" t="s">
        <v>733</v>
      </c>
      <c r="N5188" s="2">
        <f>SUBTOTAL(9,N5184:N5187)</f>
        <v>38</v>
      </c>
      <c r="O5188" s="2">
        <f>SUBTOTAL(9,O5184:O5187)</f>
        <v>580020.18999999994</v>
      </c>
      <c r="P5188" s="2">
        <f>+O5188/N5188</f>
        <v>15263.689210526314</v>
      </c>
    </row>
    <row r="5189" spans="1:16" outlineLevel="2" x14ac:dyDescent="0.2">
      <c r="A5189" s="5">
        <v>46239</v>
      </c>
      <c r="B5189" s="2">
        <v>161520</v>
      </c>
      <c r="C5189" s="2">
        <v>12</v>
      </c>
      <c r="D5189" s="2" t="s">
        <v>226</v>
      </c>
      <c r="E5189" s="2" t="s">
        <v>544</v>
      </c>
      <c r="F5189" s="2" t="s">
        <v>289</v>
      </c>
      <c r="G5189" s="2" t="s">
        <v>22</v>
      </c>
      <c r="H5189" s="2" t="s">
        <v>23</v>
      </c>
      <c r="I5189" s="2" t="s">
        <v>23</v>
      </c>
      <c r="J5189" s="2">
        <v>41</v>
      </c>
      <c r="K5189" s="2" t="s">
        <v>129</v>
      </c>
      <c r="L5189" s="2">
        <v>801</v>
      </c>
      <c r="M5189" s="2" t="s">
        <v>56</v>
      </c>
      <c r="N5189" s="2">
        <v>16</v>
      </c>
      <c r="O5189" s="2">
        <v>280672.23</v>
      </c>
      <c r="P5189" s="2">
        <v>17542.009999999998</v>
      </c>
    </row>
    <row r="5190" spans="1:16" outlineLevel="2" x14ac:dyDescent="0.2">
      <c r="A5190" s="5">
        <v>46239</v>
      </c>
      <c r="B5190" s="2">
        <v>161520</v>
      </c>
      <c r="C5190" s="2">
        <v>15</v>
      </c>
      <c r="D5190" s="2" t="s">
        <v>226</v>
      </c>
      <c r="E5190" s="2" t="s">
        <v>568</v>
      </c>
      <c r="F5190" s="2" t="s">
        <v>289</v>
      </c>
      <c r="G5190" s="2" t="s">
        <v>22</v>
      </c>
      <c r="H5190" s="2" t="s">
        <v>23</v>
      </c>
      <c r="I5190" s="2" t="s">
        <v>23</v>
      </c>
      <c r="J5190" s="2">
        <v>41</v>
      </c>
      <c r="K5190" s="2" t="s">
        <v>129</v>
      </c>
      <c r="L5190" s="2">
        <v>801</v>
      </c>
      <c r="M5190" s="2" t="s">
        <v>56</v>
      </c>
      <c r="N5190" s="2">
        <v>25</v>
      </c>
      <c r="O5190" s="2">
        <v>551380</v>
      </c>
      <c r="P5190" s="2">
        <v>22055.200000000001</v>
      </c>
    </row>
    <row r="5191" spans="1:16" outlineLevel="2" x14ac:dyDescent="0.2">
      <c r="A5191" s="5">
        <v>46239</v>
      </c>
      <c r="B5191" s="2">
        <v>161520</v>
      </c>
      <c r="C5191" s="2">
        <v>17</v>
      </c>
      <c r="D5191" s="2" t="s">
        <v>226</v>
      </c>
      <c r="E5191" s="2" t="s">
        <v>581</v>
      </c>
      <c r="F5191" s="2" t="s">
        <v>289</v>
      </c>
      <c r="G5191" s="2" t="s">
        <v>22</v>
      </c>
      <c r="H5191" s="2" t="s">
        <v>23</v>
      </c>
      <c r="I5191" s="2" t="s">
        <v>23</v>
      </c>
      <c r="J5191" s="2">
        <v>41</v>
      </c>
      <c r="K5191" s="2" t="s">
        <v>129</v>
      </c>
      <c r="L5191" s="2">
        <v>801</v>
      </c>
      <c r="M5191" s="2" t="s">
        <v>56</v>
      </c>
      <c r="N5191" s="2">
        <v>68</v>
      </c>
      <c r="O5191" s="2">
        <v>1649152.61</v>
      </c>
      <c r="P5191" s="2">
        <v>24252.240000000002</v>
      </c>
    </row>
    <row r="5192" spans="1:16" outlineLevel="2" x14ac:dyDescent="0.2">
      <c r="A5192" s="5">
        <v>46239</v>
      </c>
      <c r="B5192" s="2">
        <v>161520</v>
      </c>
      <c r="C5192" s="2">
        <v>19</v>
      </c>
      <c r="D5192" s="2" t="s">
        <v>226</v>
      </c>
      <c r="E5192" s="2" t="s">
        <v>640</v>
      </c>
      <c r="F5192" s="2" t="s">
        <v>289</v>
      </c>
      <c r="G5192" s="2" t="s">
        <v>22</v>
      </c>
      <c r="H5192" s="2" t="s">
        <v>23</v>
      </c>
      <c r="I5192" s="2" t="s">
        <v>23</v>
      </c>
      <c r="J5192" s="2">
        <v>41</v>
      </c>
      <c r="K5192" s="2" t="s">
        <v>129</v>
      </c>
      <c r="L5192" s="2">
        <v>801</v>
      </c>
      <c r="M5192" s="2" t="s">
        <v>56</v>
      </c>
      <c r="N5192" s="2">
        <v>36</v>
      </c>
      <c r="O5192" s="2">
        <v>804975.71</v>
      </c>
      <c r="P5192" s="2">
        <v>22360.44</v>
      </c>
    </row>
    <row r="5193" spans="1:16" outlineLevel="1" x14ac:dyDescent="0.2">
      <c r="A5193" s="5"/>
      <c r="D5193" s="3" t="s">
        <v>736</v>
      </c>
      <c r="N5193" s="2">
        <f>SUBTOTAL(9,N5189:N5192)</f>
        <v>145</v>
      </c>
      <c r="O5193" s="2">
        <f>SUBTOTAL(9,O5189:O5192)</f>
        <v>3286180.55</v>
      </c>
      <c r="P5193" s="2">
        <f>+O5193/N5193</f>
        <v>22663.314137931033</v>
      </c>
    </row>
    <row r="5194" spans="1:16" outlineLevel="2" x14ac:dyDescent="0.2">
      <c r="A5194" s="5">
        <v>46241</v>
      </c>
      <c r="B5194" s="2">
        <v>161520</v>
      </c>
      <c r="C5194" s="2">
        <v>305</v>
      </c>
      <c r="D5194" s="2" t="s">
        <v>45</v>
      </c>
      <c r="E5194" s="2" t="s">
        <v>228</v>
      </c>
      <c r="F5194" s="2" t="s">
        <v>55</v>
      </c>
      <c r="G5194" s="2" t="s">
        <v>23</v>
      </c>
      <c r="H5194" s="2" t="s">
        <v>23</v>
      </c>
      <c r="I5194" s="2" t="s">
        <v>23</v>
      </c>
      <c r="J5194" s="2">
        <v>41</v>
      </c>
      <c r="K5194" s="2" t="s">
        <v>129</v>
      </c>
      <c r="L5194" s="2">
        <v>801</v>
      </c>
      <c r="M5194" s="2" t="s">
        <v>56</v>
      </c>
      <c r="N5194" s="2">
        <v>2</v>
      </c>
      <c r="O5194" s="2">
        <v>4980.6400000000003</v>
      </c>
      <c r="P5194" s="2">
        <v>2490.3200000000002</v>
      </c>
    </row>
    <row r="5195" spans="1:16" outlineLevel="1" x14ac:dyDescent="0.2">
      <c r="A5195" s="5"/>
      <c r="D5195" s="3" t="s">
        <v>733</v>
      </c>
      <c r="N5195" s="2">
        <f>SUBTOTAL(9,N5194:N5194)</f>
        <v>2</v>
      </c>
      <c r="O5195" s="2">
        <f>SUBTOTAL(9,O5194:O5194)</f>
        <v>4980.6400000000003</v>
      </c>
      <c r="P5195" s="2">
        <f>+O5195/N5195</f>
        <v>2490.3200000000002</v>
      </c>
    </row>
    <row r="5196" spans="1:16" outlineLevel="2" x14ac:dyDescent="0.2">
      <c r="A5196" s="5">
        <v>46246</v>
      </c>
      <c r="B5196" s="2">
        <v>161522</v>
      </c>
      <c r="C5196" s="2">
        <v>1</v>
      </c>
      <c r="D5196" s="2" t="s">
        <v>26</v>
      </c>
      <c r="E5196" s="2" t="s">
        <v>51</v>
      </c>
      <c r="F5196" s="2" t="s">
        <v>52</v>
      </c>
      <c r="G5196" s="2" t="s">
        <v>22</v>
      </c>
      <c r="H5196" s="2" t="s">
        <v>23</v>
      </c>
      <c r="I5196" s="2" t="s">
        <v>23</v>
      </c>
      <c r="J5196" s="2">
        <v>1</v>
      </c>
      <c r="K5196" s="2" t="s">
        <v>24</v>
      </c>
      <c r="L5196" s="2">
        <v>2602</v>
      </c>
      <c r="M5196" s="2" t="s">
        <v>464</v>
      </c>
      <c r="N5196" s="2">
        <v>192</v>
      </c>
      <c r="O5196" s="2">
        <v>1395089.84</v>
      </c>
      <c r="P5196" s="2">
        <v>7266.09</v>
      </c>
    </row>
    <row r="5197" spans="1:16" outlineLevel="2" x14ac:dyDescent="0.2">
      <c r="A5197" s="5">
        <v>46255</v>
      </c>
      <c r="B5197" s="2">
        <v>161522</v>
      </c>
      <c r="C5197" s="2">
        <v>302</v>
      </c>
      <c r="D5197" s="2" t="s">
        <v>26</v>
      </c>
      <c r="E5197" s="2" t="s">
        <v>23</v>
      </c>
      <c r="F5197" s="2" t="s">
        <v>52</v>
      </c>
      <c r="G5197" s="2" t="s">
        <v>22</v>
      </c>
      <c r="H5197" s="2" t="s">
        <v>23</v>
      </c>
      <c r="I5197" s="2" t="s">
        <v>23</v>
      </c>
      <c r="J5197" s="2">
        <v>5</v>
      </c>
      <c r="K5197" s="2" t="s">
        <v>27</v>
      </c>
      <c r="L5197" s="2">
        <v>2602</v>
      </c>
      <c r="M5197" s="2" t="s">
        <v>464</v>
      </c>
      <c r="N5197" s="2">
        <v>266</v>
      </c>
      <c r="O5197" s="2">
        <v>1546280.26</v>
      </c>
      <c r="P5197" s="2">
        <v>5813.08</v>
      </c>
    </row>
    <row r="5198" spans="1:16" outlineLevel="2" x14ac:dyDescent="0.2">
      <c r="A5198" s="5">
        <v>46251</v>
      </c>
      <c r="B5198" s="2">
        <v>161522</v>
      </c>
      <c r="C5198" s="2">
        <v>315</v>
      </c>
      <c r="D5198" s="2" t="s">
        <v>26</v>
      </c>
      <c r="E5198" s="2" t="s">
        <v>51</v>
      </c>
      <c r="F5198" s="2" t="s">
        <v>52</v>
      </c>
      <c r="G5198" s="2" t="s">
        <v>22</v>
      </c>
      <c r="H5198" s="2" t="s">
        <v>23</v>
      </c>
      <c r="I5198" s="2" t="s">
        <v>23</v>
      </c>
      <c r="J5198" s="2">
        <v>5</v>
      </c>
      <c r="K5198" s="2" t="s">
        <v>27</v>
      </c>
      <c r="L5198" s="2">
        <v>2602</v>
      </c>
      <c r="M5198" s="2" t="s">
        <v>464</v>
      </c>
      <c r="N5198" s="2">
        <v>240</v>
      </c>
      <c r="O5198" s="2">
        <v>1312172.31</v>
      </c>
      <c r="P5198" s="2">
        <v>5467.38</v>
      </c>
    </row>
    <row r="5199" spans="1:16" outlineLevel="1" x14ac:dyDescent="0.2">
      <c r="A5199" s="5"/>
      <c r="D5199" s="3" t="s">
        <v>711</v>
      </c>
      <c r="N5199" s="2">
        <f>SUBTOTAL(9,N5196:N5198)</f>
        <v>698</v>
      </c>
      <c r="O5199" s="2">
        <f>SUBTOTAL(9,O5196:O5198)</f>
        <v>4253542.41</v>
      </c>
      <c r="P5199" s="2">
        <f>+O5199/N5199</f>
        <v>6093.9003008595992</v>
      </c>
    </row>
    <row r="5200" spans="1:16" outlineLevel="2" x14ac:dyDescent="0.2">
      <c r="A5200" s="5">
        <v>46241</v>
      </c>
      <c r="B5200" s="2">
        <v>161523</v>
      </c>
      <c r="C5200" s="2">
        <v>1</v>
      </c>
      <c r="D5200" s="2" t="s">
        <v>70</v>
      </c>
      <c r="E5200" s="2" t="s">
        <v>71</v>
      </c>
      <c r="F5200" s="2" t="s">
        <v>72</v>
      </c>
      <c r="G5200" s="2" t="s">
        <v>22</v>
      </c>
      <c r="H5200" s="2" t="s">
        <v>23</v>
      </c>
      <c r="I5200" s="2" t="s">
        <v>23</v>
      </c>
      <c r="J5200" s="2">
        <v>86</v>
      </c>
      <c r="K5200" s="2" t="s">
        <v>73</v>
      </c>
      <c r="L5200" s="2">
        <v>896</v>
      </c>
      <c r="M5200" s="2" t="s">
        <v>74</v>
      </c>
      <c r="N5200" s="2">
        <v>129</v>
      </c>
      <c r="O5200" s="2">
        <v>1208017.75</v>
      </c>
      <c r="P5200" s="2">
        <v>9364.48</v>
      </c>
    </row>
    <row r="5201" spans="1:16" outlineLevel="1" x14ac:dyDescent="0.2">
      <c r="A5201" s="5"/>
      <c r="D5201" s="3" t="s">
        <v>695</v>
      </c>
      <c r="N5201" s="2">
        <f>SUBTOTAL(9,N5200:N5200)</f>
        <v>129</v>
      </c>
      <c r="O5201" s="2">
        <f>SUBTOTAL(9,O5200:O5200)</f>
        <v>1208017.75</v>
      </c>
      <c r="P5201" s="2">
        <f>+O5201/N5201</f>
        <v>9364.478682170542</v>
      </c>
    </row>
    <row r="5202" spans="1:16" outlineLevel="2" x14ac:dyDescent="0.2">
      <c r="A5202" s="5">
        <v>46248</v>
      </c>
      <c r="B5202" s="2">
        <v>161535</v>
      </c>
      <c r="C5202" s="2">
        <v>302</v>
      </c>
      <c r="D5202" s="2" t="s">
        <v>45</v>
      </c>
      <c r="E5202" s="2" t="s">
        <v>46</v>
      </c>
      <c r="F5202" s="2" t="s">
        <v>55</v>
      </c>
      <c r="G5202" s="2" t="s">
        <v>23</v>
      </c>
      <c r="H5202" s="2" t="s">
        <v>23</v>
      </c>
      <c r="I5202" s="2" t="s">
        <v>23</v>
      </c>
      <c r="J5202" s="2">
        <v>2</v>
      </c>
      <c r="K5202" s="2" t="s">
        <v>48</v>
      </c>
      <c r="L5202" s="2">
        <v>1557</v>
      </c>
      <c r="M5202" s="2" t="s">
        <v>98</v>
      </c>
      <c r="N5202" s="2">
        <v>2</v>
      </c>
      <c r="O5202" s="2">
        <v>15248.46</v>
      </c>
      <c r="P5202" s="2">
        <v>7624.23</v>
      </c>
    </row>
    <row r="5203" spans="1:16" outlineLevel="1" x14ac:dyDescent="0.2">
      <c r="A5203" s="5"/>
      <c r="D5203" s="3" t="s">
        <v>733</v>
      </c>
      <c r="N5203" s="2">
        <f>SUBTOTAL(9,N5202:N5202)</f>
        <v>2</v>
      </c>
      <c r="O5203" s="2">
        <f>SUBTOTAL(9,O5202:O5202)</f>
        <v>15248.46</v>
      </c>
      <c r="P5203" s="2">
        <f>+O5203/N5203</f>
        <v>7624.23</v>
      </c>
    </row>
    <row r="5204" spans="1:16" outlineLevel="2" x14ac:dyDescent="0.2">
      <c r="A5204" s="5">
        <v>46248</v>
      </c>
      <c r="B5204" s="2">
        <v>161535</v>
      </c>
      <c r="C5204" s="2">
        <v>303</v>
      </c>
      <c r="D5204" s="2" t="s">
        <v>54</v>
      </c>
      <c r="E5204" s="2" t="s">
        <v>20</v>
      </c>
      <c r="F5204" s="2" t="s">
        <v>47</v>
      </c>
      <c r="G5204" s="2" t="s">
        <v>23</v>
      </c>
      <c r="H5204" s="2" t="s">
        <v>23</v>
      </c>
      <c r="I5204" s="2" t="s">
        <v>23</v>
      </c>
      <c r="J5204" s="2">
        <v>2</v>
      </c>
      <c r="K5204" s="2" t="s">
        <v>48</v>
      </c>
      <c r="L5204" s="2">
        <v>1557</v>
      </c>
      <c r="M5204" s="2" t="s">
        <v>98</v>
      </c>
      <c r="N5204" s="2">
        <v>3</v>
      </c>
      <c r="O5204" s="2">
        <v>19605.650000000001</v>
      </c>
      <c r="P5204" s="2">
        <v>6535.22</v>
      </c>
    </row>
    <row r="5205" spans="1:16" outlineLevel="1" x14ac:dyDescent="0.2">
      <c r="A5205" s="5"/>
      <c r="D5205" s="3" t="s">
        <v>719</v>
      </c>
      <c r="N5205" s="2">
        <f>SUBTOTAL(9,N5204:N5204)</f>
        <v>3</v>
      </c>
      <c r="O5205" s="2">
        <f>SUBTOTAL(9,O5204:O5204)</f>
        <v>19605.650000000001</v>
      </c>
      <c r="P5205" s="2">
        <f>+O5205/N5205</f>
        <v>6535.2166666666672</v>
      </c>
    </row>
    <row r="5206" spans="1:16" outlineLevel="2" x14ac:dyDescent="0.2">
      <c r="A5206" s="5">
        <v>46244</v>
      </c>
      <c r="B5206" s="2">
        <v>161538</v>
      </c>
      <c r="C5206" s="2">
        <v>1</v>
      </c>
      <c r="D5206" s="2" t="s">
        <v>140</v>
      </c>
      <c r="E5206" s="2" t="s">
        <v>23</v>
      </c>
      <c r="F5206" s="2" t="s">
        <v>108</v>
      </c>
      <c r="G5206" s="2" t="s">
        <v>22</v>
      </c>
      <c r="H5206" s="2" t="s">
        <v>23</v>
      </c>
      <c r="I5206" s="2" t="s">
        <v>23</v>
      </c>
      <c r="J5206" s="2">
        <v>1</v>
      </c>
      <c r="K5206" s="2" t="s">
        <v>24</v>
      </c>
      <c r="L5206" s="2">
        <v>1503</v>
      </c>
      <c r="M5206" s="2" t="s">
        <v>603</v>
      </c>
      <c r="N5206" s="2">
        <v>36</v>
      </c>
      <c r="O5206" s="2">
        <v>1711034.68</v>
      </c>
      <c r="P5206" s="2">
        <v>47528.74</v>
      </c>
    </row>
    <row r="5207" spans="1:16" outlineLevel="1" x14ac:dyDescent="0.2">
      <c r="A5207" s="5"/>
      <c r="D5207" s="3" t="s">
        <v>696</v>
      </c>
      <c r="N5207" s="2">
        <f>SUBTOTAL(9,N5206:N5206)</f>
        <v>36</v>
      </c>
      <c r="O5207" s="2">
        <f>SUBTOTAL(9,O5206:O5206)</f>
        <v>1711034.68</v>
      </c>
      <c r="P5207" s="2">
        <f>+O5207/N5207</f>
        <v>47528.741111111107</v>
      </c>
    </row>
    <row r="5208" spans="1:16" outlineLevel="2" x14ac:dyDescent="0.2">
      <c r="A5208" s="5">
        <v>46244</v>
      </c>
      <c r="B5208" s="2">
        <v>161539</v>
      </c>
      <c r="C5208" s="2">
        <v>1</v>
      </c>
      <c r="D5208" s="2" t="s">
        <v>19</v>
      </c>
      <c r="E5208" s="2" t="s">
        <v>20</v>
      </c>
      <c r="F5208" s="2" t="s">
        <v>199</v>
      </c>
      <c r="G5208" s="2" t="s">
        <v>22</v>
      </c>
      <c r="H5208" s="2" t="s">
        <v>23</v>
      </c>
      <c r="I5208" s="2" t="s">
        <v>23</v>
      </c>
      <c r="J5208" s="2">
        <v>39</v>
      </c>
      <c r="K5208" s="2" t="s">
        <v>172</v>
      </c>
      <c r="L5208" s="2">
        <v>1</v>
      </c>
      <c r="M5208" s="2" t="s">
        <v>265</v>
      </c>
      <c r="N5208" s="2">
        <v>151</v>
      </c>
      <c r="O5208" s="2">
        <v>490850.67</v>
      </c>
      <c r="P5208" s="2">
        <v>3250.67</v>
      </c>
    </row>
    <row r="5209" spans="1:16" outlineLevel="1" x14ac:dyDescent="0.2">
      <c r="A5209" s="5"/>
      <c r="D5209" s="3" t="s">
        <v>704</v>
      </c>
      <c r="N5209" s="2">
        <f>SUBTOTAL(9,N5208:N5208)</f>
        <v>151</v>
      </c>
      <c r="O5209" s="2">
        <f>SUBTOTAL(9,O5208:O5208)</f>
        <v>490850.67</v>
      </c>
      <c r="P5209" s="2">
        <f>+O5209/N5209</f>
        <v>3250.6666887417218</v>
      </c>
    </row>
    <row r="5210" spans="1:16" outlineLevel="2" x14ac:dyDescent="0.2">
      <c r="A5210" s="5">
        <v>46244</v>
      </c>
      <c r="B5210" s="2">
        <v>161540</v>
      </c>
      <c r="C5210" s="2">
        <v>1</v>
      </c>
      <c r="D5210" s="2" t="s">
        <v>207</v>
      </c>
      <c r="E5210" s="2" t="s">
        <v>23</v>
      </c>
      <c r="F5210" s="2" t="s">
        <v>47</v>
      </c>
      <c r="G5210" s="2" t="s">
        <v>22</v>
      </c>
      <c r="H5210" s="2" t="s">
        <v>208</v>
      </c>
      <c r="I5210" s="2" t="s">
        <v>23</v>
      </c>
      <c r="J5210" s="2">
        <v>41</v>
      </c>
      <c r="K5210" s="2" t="s">
        <v>129</v>
      </c>
      <c r="L5210" s="2">
        <v>25213</v>
      </c>
      <c r="M5210" s="2" t="s">
        <v>130</v>
      </c>
      <c r="N5210" s="2">
        <v>75</v>
      </c>
      <c r="O5210" s="2">
        <v>256781.25</v>
      </c>
      <c r="P5210" s="2">
        <v>3423.75</v>
      </c>
    </row>
    <row r="5211" spans="1:16" outlineLevel="2" x14ac:dyDescent="0.2">
      <c r="A5211" s="5">
        <v>46244</v>
      </c>
      <c r="B5211" s="2">
        <v>161540</v>
      </c>
      <c r="C5211" s="2">
        <v>2</v>
      </c>
      <c r="D5211" s="2" t="s">
        <v>207</v>
      </c>
      <c r="E5211" s="2" t="s">
        <v>23</v>
      </c>
      <c r="F5211" s="2" t="s">
        <v>47</v>
      </c>
      <c r="G5211" s="2" t="s">
        <v>22</v>
      </c>
      <c r="H5211" s="2" t="s">
        <v>209</v>
      </c>
      <c r="I5211" s="2" t="s">
        <v>23</v>
      </c>
      <c r="J5211" s="2">
        <v>41</v>
      </c>
      <c r="K5211" s="2" t="s">
        <v>129</v>
      </c>
      <c r="L5211" s="2">
        <v>25213</v>
      </c>
      <c r="M5211" s="2" t="s">
        <v>130</v>
      </c>
      <c r="N5211" s="2">
        <v>50</v>
      </c>
      <c r="O5211" s="2">
        <v>149905.48000000001</v>
      </c>
      <c r="P5211" s="2">
        <v>2998.11</v>
      </c>
    </row>
    <row r="5212" spans="1:16" outlineLevel="1" x14ac:dyDescent="0.2">
      <c r="A5212" s="5"/>
      <c r="D5212" s="3" t="s">
        <v>699</v>
      </c>
      <c r="N5212" s="2">
        <f>SUBTOTAL(9,N5210:N5211)</f>
        <v>125</v>
      </c>
      <c r="O5212" s="2">
        <f>SUBTOTAL(9,O5210:O5211)</f>
        <v>406686.73</v>
      </c>
      <c r="P5212" s="2">
        <f>+O5212/N5212</f>
        <v>3253.4938399999996</v>
      </c>
    </row>
    <row r="5213" spans="1:16" outlineLevel="2" x14ac:dyDescent="0.2">
      <c r="A5213" s="5">
        <v>46244</v>
      </c>
      <c r="B5213" s="2">
        <v>161540</v>
      </c>
      <c r="C5213" s="2">
        <v>3</v>
      </c>
      <c r="D5213" s="2" t="s">
        <v>128</v>
      </c>
      <c r="E5213" s="2" t="s">
        <v>23</v>
      </c>
      <c r="F5213" s="2" t="s">
        <v>47</v>
      </c>
      <c r="G5213" s="2" t="s">
        <v>22</v>
      </c>
      <c r="H5213" s="2" t="s">
        <v>23</v>
      </c>
      <c r="I5213" s="2" t="s">
        <v>23</v>
      </c>
      <c r="J5213" s="2">
        <v>41</v>
      </c>
      <c r="K5213" s="2" t="s">
        <v>129</v>
      </c>
      <c r="L5213" s="2">
        <v>25213</v>
      </c>
      <c r="M5213" s="2" t="s">
        <v>130</v>
      </c>
      <c r="N5213" s="2">
        <v>75</v>
      </c>
      <c r="O5213" s="2">
        <v>280117.5</v>
      </c>
      <c r="P5213" s="2">
        <v>3734.9</v>
      </c>
    </row>
    <row r="5214" spans="1:16" outlineLevel="1" x14ac:dyDescent="0.2">
      <c r="A5214" s="5"/>
      <c r="D5214" s="3" t="s">
        <v>732</v>
      </c>
      <c r="N5214" s="2">
        <f>SUBTOTAL(9,N5213:N5213)</f>
        <v>75</v>
      </c>
      <c r="O5214" s="2">
        <f>SUBTOTAL(9,O5213:O5213)</f>
        <v>280117.5</v>
      </c>
      <c r="P5214" s="2">
        <f>+O5214/N5214</f>
        <v>3734.9</v>
      </c>
    </row>
    <row r="5215" spans="1:16" outlineLevel="2" x14ac:dyDescent="0.2">
      <c r="A5215" s="5">
        <v>46244</v>
      </c>
      <c r="B5215" s="2">
        <v>161540</v>
      </c>
      <c r="C5215" s="2">
        <v>4</v>
      </c>
      <c r="D5215" s="2" t="s">
        <v>207</v>
      </c>
      <c r="E5215" s="2" t="s">
        <v>23</v>
      </c>
      <c r="F5215" s="2" t="s">
        <v>47</v>
      </c>
      <c r="G5215" s="2" t="s">
        <v>210</v>
      </c>
      <c r="H5215" s="2" t="s">
        <v>23</v>
      </c>
      <c r="I5215" s="2" t="s">
        <v>23</v>
      </c>
      <c r="J5215" s="2">
        <v>1</v>
      </c>
      <c r="K5215" s="2" t="s">
        <v>24</v>
      </c>
      <c r="L5215" s="2">
        <v>25213</v>
      </c>
      <c r="M5215" s="2" t="s">
        <v>130</v>
      </c>
      <c r="N5215" s="2">
        <v>10</v>
      </c>
      <c r="O5215" s="2">
        <v>661508.57999999996</v>
      </c>
      <c r="P5215" s="2">
        <v>66150.86</v>
      </c>
    </row>
    <row r="5216" spans="1:16" outlineLevel="1" x14ac:dyDescent="0.2">
      <c r="A5216" s="5"/>
      <c r="D5216" s="3" t="s">
        <v>699</v>
      </c>
      <c r="N5216" s="2">
        <f>SUBTOTAL(9,N5215:N5215)</f>
        <v>10</v>
      </c>
      <c r="O5216" s="2">
        <f>SUBTOTAL(9,O5215:O5215)</f>
        <v>661508.57999999996</v>
      </c>
      <c r="P5216" s="2">
        <f>+O5216/N5216</f>
        <v>66150.857999999993</v>
      </c>
    </row>
    <row r="5217" spans="1:16" outlineLevel="2" x14ac:dyDescent="0.2">
      <c r="A5217" s="5">
        <v>46244</v>
      </c>
      <c r="B5217" s="2">
        <v>161540</v>
      </c>
      <c r="C5217" s="2">
        <v>5</v>
      </c>
      <c r="D5217" s="2" t="s">
        <v>128</v>
      </c>
      <c r="E5217" s="2" t="s">
        <v>23</v>
      </c>
      <c r="F5217" s="2" t="s">
        <v>47</v>
      </c>
      <c r="G5217" s="2" t="s">
        <v>22</v>
      </c>
      <c r="H5217" s="2" t="s">
        <v>23</v>
      </c>
      <c r="I5217" s="2" t="s">
        <v>23</v>
      </c>
      <c r="J5217" s="2">
        <v>1</v>
      </c>
      <c r="K5217" s="2" t="s">
        <v>24</v>
      </c>
      <c r="L5217" s="2">
        <v>25213</v>
      </c>
      <c r="M5217" s="2" t="s">
        <v>130</v>
      </c>
      <c r="N5217" s="2">
        <v>10</v>
      </c>
      <c r="O5217" s="2">
        <v>907002.9</v>
      </c>
      <c r="P5217" s="2">
        <v>90700.29</v>
      </c>
    </row>
    <row r="5218" spans="1:16" outlineLevel="1" x14ac:dyDescent="0.2">
      <c r="A5218" s="5"/>
      <c r="D5218" s="3" t="s">
        <v>732</v>
      </c>
      <c r="N5218" s="2">
        <f>SUBTOTAL(9,N5217:N5217)</f>
        <v>10</v>
      </c>
      <c r="O5218" s="2">
        <f>SUBTOTAL(9,O5217:O5217)</f>
        <v>907002.9</v>
      </c>
      <c r="P5218" s="2">
        <f>+O5218/N5218</f>
        <v>90700.290000000008</v>
      </c>
    </row>
    <row r="5219" spans="1:16" outlineLevel="2" x14ac:dyDescent="0.2">
      <c r="A5219" s="5">
        <v>46244</v>
      </c>
      <c r="B5219" s="2">
        <v>161543</v>
      </c>
      <c r="C5219" s="2">
        <v>1</v>
      </c>
      <c r="D5219" s="2" t="s">
        <v>474</v>
      </c>
      <c r="E5219" s="2" t="s">
        <v>475</v>
      </c>
      <c r="F5219" s="2" t="s">
        <v>47</v>
      </c>
      <c r="G5219" s="2" t="s">
        <v>23</v>
      </c>
      <c r="H5219" s="2" t="s">
        <v>23</v>
      </c>
      <c r="I5219" s="2" t="s">
        <v>23</v>
      </c>
      <c r="J5219" s="2">
        <v>41</v>
      </c>
      <c r="K5219" s="2" t="s">
        <v>129</v>
      </c>
      <c r="L5219" s="2">
        <v>2338</v>
      </c>
      <c r="M5219" s="2" t="s">
        <v>417</v>
      </c>
      <c r="N5219" s="2">
        <v>640</v>
      </c>
      <c r="O5219" s="2">
        <v>611529.69999999995</v>
      </c>
      <c r="P5219" s="2">
        <v>955.52</v>
      </c>
    </row>
    <row r="5220" spans="1:16" outlineLevel="1" x14ac:dyDescent="0.2">
      <c r="A5220" s="5"/>
      <c r="D5220" s="3" t="s">
        <v>780</v>
      </c>
      <c r="N5220" s="2">
        <f>SUBTOTAL(9,N5219:N5219)</f>
        <v>640</v>
      </c>
      <c r="O5220" s="2">
        <f>SUBTOTAL(9,O5219:O5219)</f>
        <v>611529.69999999995</v>
      </c>
      <c r="P5220" s="2">
        <f>+O5220/N5220</f>
        <v>955.5151562499999</v>
      </c>
    </row>
    <row r="5221" spans="1:16" outlineLevel="2" x14ac:dyDescent="0.2">
      <c r="A5221" s="5">
        <v>46255</v>
      </c>
      <c r="B5221" s="2">
        <v>161554</v>
      </c>
      <c r="C5221" s="2">
        <v>301</v>
      </c>
      <c r="D5221" s="2" t="s">
        <v>45</v>
      </c>
      <c r="E5221" s="2" t="s">
        <v>46</v>
      </c>
      <c r="F5221" s="2" t="s">
        <v>55</v>
      </c>
      <c r="G5221" s="2" t="s">
        <v>23</v>
      </c>
      <c r="H5221" s="2" t="s">
        <v>23</v>
      </c>
      <c r="I5221" s="2" t="s">
        <v>23</v>
      </c>
      <c r="J5221" s="2">
        <v>2</v>
      </c>
      <c r="K5221" s="2" t="s">
        <v>48</v>
      </c>
      <c r="L5221" s="2">
        <v>1974</v>
      </c>
      <c r="M5221" s="2" t="s">
        <v>95</v>
      </c>
      <c r="N5221" s="2">
        <v>2</v>
      </c>
      <c r="O5221" s="2">
        <v>46051.96</v>
      </c>
      <c r="P5221" s="2">
        <v>23025.98</v>
      </c>
    </row>
    <row r="5222" spans="1:16" outlineLevel="1" x14ac:dyDescent="0.2">
      <c r="A5222" s="5"/>
      <c r="D5222" s="3" t="s">
        <v>733</v>
      </c>
      <c r="N5222" s="2">
        <f>SUBTOTAL(9,N5221:N5221)</f>
        <v>2</v>
      </c>
      <c r="O5222" s="2">
        <f>SUBTOTAL(9,O5221:O5221)</f>
        <v>46051.96</v>
      </c>
      <c r="P5222" s="2">
        <f>+O5222/N5222</f>
        <v>23025.98</v>
      </c>
    </row>
    <row r="5223" spans="1:16" outlineLevel="2" x14ac:dyDescent="0.2">
      <c r="A5223" s="5">
        <v>46246</v>
      </c>
      <c r="B5223" s="2">
        <v>161557</v>
      </c>
      <c r="C5223" s="2">
        <v>1</v>
      </c>
      <c r="D5223" s="2" t="s">
        <v>140</v>
      </c>
      <c r="E5223" s="2" t="s">
        <v>23</v>
      </c>
      <c r="F5223" s="2" t="s">
        <v>108</v>
      </c>
      <c r="G5223" s="2" t="s">
        <v>22</v>
      </c>
      <c r="H5223" s="2" t="s">
        <v>23</v>
      </c>
      <c r="I5223" s="2" t="s">
        <v>23</v>
      </c>
      <c r="J5223" s="2">
        <v>1</v>
      </c>
      <c r="K5223" s="2" t="s">
        <v>24</v>
      </c>
      <c r="L5223" s="2">
        <v>1503</v>
      </c>
      <c r="M5223" s="2" t="s">
        <v>603</v>
      </c>
      <c r="N5223" s="2">
        <v>30</v>
      </c>
      <c r="O5223" s="2">
        <v>1501004.12</v>
      </c>
      <c r="P5223" s="2">
        <v>50033.47</v>
      </c>
    </row>
    <row r="5224" spans="1:16" outlineLevel="1" x14ac:dyDescent="0.2">
      <c r="A5224" s="5"/>
      <c r="D5224" s="3" t="s">
        <v>696</v>
      </c>
      <c r="N5224" s="2">
        <f>SUBTOTAL(9,N5223:N5223)</f>
        <v>30</v>
      </c>
      <c r="O5224" s="2">
        <f>SUBTOTAL(9,O5223:O5223)</f>
        <v>1501004.12</v>
      </c>
      <c r="P5224" s="2">
        <f>+O5224/N5224</f>
        <v>50033.470666666668</v>
      </c>
    </row>
    <row r="5225" spans="1:16" outlineLevel="2" x14ac:dyDescent="0.2">
      <c r="A5225" s="5">
        <v>46246</v>
      </c>
      <c r="B5225" s="2">
        <v>161558</v>
      </c>
      <c r="C5225" s="2">
        <v>1</v>
      </c>
      <c r="D5225" s="2" t="s">
        <v>128</v>
      </c>
      <c r="E5225" s="2" t="s">
        <v>23</v>
      </c>
      <c r="F5225" s="2" t="s">
        <v>47</v>
      </c>
      <c r="G5225" s="2" t="s">
        <v>22</v>
      </c>
      <c r="H5225" s="2" t="s">
        <v>23</v>
      </c>
      <c r="I5225" s="2" t="s">
        <v>23</v>
      </c>
      <c r="J5225" s="2">
        <v>1</v>
      </c>
      <c r="K5225" s="2" t="s">
        <v>24</v>
      </c>
      <c r="L5225" s="2">
        <v>25213</v>
      </c>
      <c r="M5225" s="2" t="s">
        <v>130</v>
      </c>
      <c r="N5225" s="2">
        <v>15</v>
      </c>
      <c r="O5225" s="2">
        <v>1363457.94</v>
      </c>
      <c r="P5225" s="2">
        <v>90897.2</v>
      </c>
    </row>
    <row r="5226" spans="1:16" outlineLevel="1" x14ac:dyDescent="0.2">
      <c r="A5226" s="5"/>
      <c r="D5226" s="3" t="s">
        <v>732</v>
      </c>
      <c r="N5226" s="2">
        <f>SUBTOTAL(9,N5225:N5225)</f>
        <v>15</v>
      </c>
      <c r="O5226" s="2">
        <f>SUBTOTAL(9,O5225:O5225)</f>
        <v>1363457.94</v>
      </c>
      <c r="P5226" s="2">
        <f>+O5226/N5226</f>
        <v>90897.195999999996</v>
      </c>
    </row>
    <row r="5227" spans="1:16" outlineLevel="2" x14ac:dyDescent="0.2">
      <c r="A5227" s="5">
        <v>46246</v>
      </c>
      <c r="B5227" s="2">
        <v>161558</v>
      </c>
      <c r="C5227" s="2">
        <v>2</v>
      </c>
      <c r="D5227" s="2" t="s">
        <v>207</v>
      </c>
      <c r="E5227" s="2" t="s">
        <v>23</v>
      </c>
      <c r="F5227" s="2" t="s">
        <v>47</v>
      </c>
      <c r="G5227" s="2" t="s">
        <v>210</v>
      </c>
      <c r="H5227" s="2" t="s">
        <v>23</v>
      </c>
      <c r="I5227" s="2" t="s">
        <v>23</v>
      </c>
      <c r="J5227" s="2">
        <v>1</v>
      </c>
      <c r="K5227" s="2" t="s">
        <v>24</v>
      </c>
      <c r="L5227" s="2">
        <v>25213</v>
      </c>
      <c r="M5227" s="2" t="s">
        <v>130</v>
      </c>
      <c r="N5227" s="2">
        <v>15</v>
      </c>
      <c r="O5227" s="2">
        <v>979194.71</v>
      </c>
      <c r="P5227" s="2">
        <v>65279.65</v>
      </c>
    </row>
    <row r="5228" spans="1:16" outlineLevel="1" x14ac:dyDescent="0.2">
      <c r="A5228" s="5"/>
      <c r="D5228" s="3" t="s">
        <v>699</v>
      </c>
      <c r="N5228" s="2">
        <f>SUBTOTAL(9,N5227:N5227)</f>
        <v>15</v>
      </c>
      <c r="O5228" s="2">
        <f>SUBTOTAL(9,O5227:O5227)</f>
        <v>979194.71</v>
      </c>
      <c r="P5228" s="2">
        <f>+O5228/N5228</f>
        <v>65279.647333333334</v>
      </c>
    </row>
    <row r="5229" spans="1:16" outlineLevel="2" x14ac:dyDescent="0.2">
      <c r="A5229" s="5">
        <v>46246</v>
      </c>
      <c r="B5229" s="2">
        <v>161558</v>
      </c>
      <c r="C5229" s="2">
        <v>3</v>
      </c>
      <c r="D5229" s="2" t="s">
        <v>128</v>
      </c>
      <c r="E5229" s="2" t="s">
        <v>23</v>
      </c>
      <c r="F5229" s="2" t="s">
        <v>47</v>
      </c>
      <c r="G5229" s="2" t="s">
        <v>22</v>
      </c>
      <c r="H5229" s="2" t="s">
        <v>23</v>
      </c>
      <c r="I5229" s="2" t="s">
        <v>23</v>
      </c>
      <c r="J5229" s="2">
        <v>41</v>
      </c>
      <c r="K5229" s="2" t="s">
        <v>129</v>
      </c>
      <c r="L5229" s="2">
        <v>25213</v>
      </c>
      <c r="M5229" s="2" t="s">
        <v>130</v>
      </c>
      <c r="N5229" s="2">
        <v>75</v>
      </c>
      <c r="O5229" s="2">
        <v>278904.06</v>
      </c>
      <c r="P5229" s="2">
        <v>3718.72</v>
      </c>
    </row>
    <row r="5230" spans="1:16" outlineLevel="1" x14ac:dyDescent="0.2">
      <c r="A5230" s="5"/>
      <c r="D5230" s="3" t="s">
        <v>732</v>
      </c>
      <c r="N5230" s="2">
        <f>SUBTOTAL(9,N5229:N5229)</f>
        <v>75</v>
      </c>
      <c r="O5230" s="2">
        <f>SUBTOTAL(9,O5229:O5229)</f>
        <v>278904.06</v>
      </c>
      <c r="P5230" s="2">
        <f>+O5230/N5230</f>
        <v>3718.7208000000001</v>
      </c>
    </row>
    <row r="5231" spans="1:16" outlineLevel="2" x14ac:dyDescent="0.2">
      <c r="A5231" s="5">
        <v>46246</v>
      </c>
      <c r="B5231" s="2">
        <v>161558</v>
      </c>
      <c r="C5231" s="2">
        <v>4</v>
      </c>
      <c r="D5231" s="2" t="s">
        <v>207</v>
      </c>
      <c r="E5231" s="2" t="s">
        <v>23</v>
      </c>
      <c r="F5231" s="2" t="s">
        <v>47</v>
      </c>
      <c r="G5231" s="2" t="s">
        <v>22</v>
      </c>
      <c r="H5231" s="2" t="s">
        <v>209</v>
      </c>
      <c r="I5231" s="2" t="s">
        <v>23</v>
      </c>
      <c r="J5231" s="2">
        <v>41</v>
      </c>
      <c r="K5231" s="2" t="s">
        <v>129</v>
      </c>
      <c r="L5231" s="2">
        <v>25213</v>
      </c>
      <c r="M5231" s="2" t="s">
        <v>130</v>
      </c>
      <c r="N5231" s="2">
        <v>100</v>
      </c>
      <c r="O5231" s="2">
        <v>300427.61</v>
      </c>
      <c r="P5231" s="2">
        <v>3004.28</v>
      </c>
    </row>
    <row r="5232" spans="1:16" outlineLevel="2" x14ac:dyDescent="0.2">
      <c r="A5232" s="5">
        <v>46246</v>
      </c>
      <c r="B5232" s="2">
        <v>161558</v>
      </c>
      <c r="C5232" s="2">
        <v>5</v>
      </c>
      <c r="D5232" s="2" t="s">
        <v>207</v>
      </c>
      <c r="E5232" s="2" t="s">
        <v>23</v>
      </c>
      <c r="F5232" s="2" t="s">
        <v>47</v>
      </c>
      <c r="G5232" s="2" t="s">
        <v>22</v>
      </c>
      <c r="H5232" s="2" t="s">
        <v>208</v>
      </c>
      <c r="I5232" s="2" t="s">
        <v>23</v>
      </c>
      <c r="J5232" s="2">
        <v>41</v>
      </c>
      <c r="K5232" s="2" t="s">
        <v>129</v>
      </c>
      <c r="L5232" s="2">
        <v>25213</v>
      </c>
      <c r="M5232" s="2" t="s">
        <v>130</v>
      </c>
      <c r="N5232" s="2">
        <v>80</v>
      </c>
      <c r="O5232" s="2">
        <v>270539.64</v>
      </c>
      <c r="P5232" s="2">
        <v>3381.75</v>
      </c>
    </row>
    <row r="5233" spans="1:16" outlineLevel="1" x14ac:dyDescent="0.2">
      <c r="A5233" s="5"/>
      <c r="D5233" s="3" t="s">
        <v>699</v>
      </c>
      <c r="N5233" s="2">
        <f>SUBTOTAL(9,N5231:N5232)</f>
        <v>180</v>
      </c>
      <c r="O5233" s="2">
        <f>SUBTOTAL(9,O5231:O5232)</f>
        <v>570967.25</v>
      </c>
      <c r="P5233" s="2">
        <f>+O5233/N5233</f>
        <v>3172.0402777777776</v>
      </c>
    </row>
    <row r="5234" spans="1:16" outlineLevel="2" x14ac:dyDescent="0.2">
      <c r="A5234" s="5">
        <v>46246</v>
      </c>
      <c r="B5234" s="2">
        <v>161563</v>
      </c>
      <c r="C5234" s="2">
        <v>1</v>
      </c>
      <c r="D5234" s="2" t="s">
        <v>19</v>
      </c>
      <c r="E5234" s="2" t="s">
        <v>20</v>
      </c>
      <c r="F5234" s="2" t="s">
        <v>21</v>
      </c>
      <c r="G5234" s="2" t="s">
        <v>22</v>
      </c>
      <c r="H5234" s="2" t="s">
        <v>23</v>
      </c>
      <c r="I5234" s="2" t="s">
        <v>23</v>
      </c>
      <c r="J5234" s="2">
        <v>1</v>
      </c>
      <c r="K5234" s="2" t="s">
        <v>24</v>
      </c>
      <c r="L5234" s="2">
        <v>25205</v>
      </c>
      <c r="M5234" s="2" t="s">
        <v>171</v>
      </c>
      <c r="N5234" s="2">
        <v>120</v>
      </c>
      <c r="O5234" s="2">
        <v>6397542.9400000004</v>
      </c>
      <c r="P5234" s="2">
        <v>53312.86</v>
      </c>
    </row>
    <row r="5235" spans="1:16" outlineLevel="2" x14ac:dyDescent="0.2">
      <c r="A5235" s="5">
        <v>46251</v>
      </c>
      <c r="B5235" s="2">
        <v>161563</v>
      </c>
      <c r="C5235" s="2">
        <v>2</v>
      </c>
      <c r="D5235" s="2" t="s">
        <v>19</v>
      </c>
      <c r="E5235" s="2" t="s">
        <v>20</v>
      </c>
      <c r="F5235" s="2" t="s">
        <v>21</v>
      </c>
      <c r="G5235" s="2" t="s">
        <v>22</v>
      </c>
      <c r="H5235" s="2" t="s">
        <v>23</v>
      </c>
      <c r="I5235" s="2" t="s">
        <v>23</v>
      </c>
      <c r="J5235" s="2">
        <v>1</v>
      </c>
      <c r="K5235" s="2" t="s">
        <v>24</v>
      </c>
      <c r="L5235" s="2">
        <v>25205</v>
      </c>
      <c r="M5235" s="2" t="s">
        <v>171</v>
      </c>
      <c r="N5235" s="2">
        <v>40</v>
      </c>
      <c r="O5235" s="2">
        <v>1874984.54</v>
      </c>
      <c r="P5235" s="2">
        <v>46874.61</v>
      </c>
    </row>
    <row r="5236" spans="1:16" outlineLevel="2" x14ac:dyDescent="0.2">
      <c r="A5236" s="5">
        <v>46246</v>
      </c>
      <c r="B5236" s="2">
        <v>161563</v>
      </c>
      <c r="C5236" s="2">
        <v>200</v>
      </c>
      <c r="D5236" s="2" t="s">
        <v>19</v>
      </c>
      <c r="E5236" s="2" t="s">
        <v>20</v>
      </c>
      <c r="F5236" s="2" t="s">
        <v>21</v>
      </c>
      <c r="G5236" s="2" t="s">
        <v>22</v>
      </c>
      <c r="H5236" s="2" t="s">
        <v>23</v>
      </c>
      <c r="I5236" s="2" t="s">
        <v>23</v>
      </c>
      <c r="J5236" s="2">
        <v>39</v>
      </c>
      <c r="K5236" s="2" t="s">
        <v>172</v>
      </c>
      <c r="L5236" s="2">
        <v>25205</v>
      </c>
      <c r="M5236" s="2" t="s">
        <v>171</v>
      </c>
      <c r="N5236" s="2">
        <v>400</v>
      </c>
      <c r="O5236" s="2">
        <v>385527.52</v>
      </c>
      <c r="P5236" s="2">
        <v>963.82</v>
      </c>
    </row>
    <row r="5237" spans="1:16" outlineLevel="1" x14ac:dyDescent="0.2">
      <c r="A5237" s="5"/>
      <c r="D5237" s="3" t="s">
        <v>704</v>
      </c>
      <c r="N5237" s="2">
        <f>SUBTOTAL(9,N5234:N5236)</f>
        <v>560</v>
      </c>
      <c r="O5237" s="2">
        <f>SUBTOTAL(9,O5234:O5236)</f>
        <v>8658055</v>
      </c>
      <c r="P5237" s="2">
        <f>+O5237/N5237</f>
        <v>15460.8125</v>
      </c>
    </row>
    <row r="5238" spans="1:16" outlineLevel="2" x14ac:dyDescent="0.2">
      <c r="A5238" s="5">
        <v>46244</v>
      </c>
      <c r="B5238" s="2">
        <v>161564</v>
      </c>
      <c r="C5238" s="2">
        <v>2</v>
      </c>
      <c r="D5238" s="2" t="s">
        <v>175</v>
      </c>
      <c r="E5238" s="2" t="s">
        <v>497</v>
      </c>
      <c r="F5238" s="2" t="s">
        <v>40</v>
      </c>
      <c r="G5238" s="2" t="s">
        <v>22</v>
      </c>
      <c r="H5238" s="2" t="s">
        <v>23</v>
      </c>
      <c r="I5238" s="2" t="s">
        <v>23</v>
      </c>
      <c r="J5238" s="2">
        <v>5</v>
      </c>
      <c r="K5238" s="2" t="s">
        <v>27</v>
      </c>
      <c r="L5238" s="2">
        <v>2521</v>
      </c>
      <c r="M5238" s="2" t="s">
        <v>82</v>
      </c>
      <c r="N5238" s="2">
        <v>20</v>
      </c>
      <c r="O5238" s="2">
        <v>593677.56000000006</v>
      </c>
      <c r="P5238" s="2">
        <v>29683.88</v>
      </c>
    </row>
    <row r="5239" spans="1:16" outlineLevel="2" x14ac:dyDescent="0.2">
      <c r="A5239" s="5">
        <v>46244</v>
      </c>
      <c r="B5239" s="2">
        <v>161564</v>
      </c>
      <c r="C5239" s="2">
        <v>3</v>
      </c>
      <c r="D5239" s="2" t="s">
        <v>175</v>
      </c>
      <c r="E5239" s="2" t="s">
        <v>337</v>
      </c>
      <c r="F5239" s="2" t="s">
        <v>40</v>
      </c>
      <c r="G5239" s="2" t="s">
        <v>22</v>
      </c>
      <c r="H5239" s="2" t="s">
        <v>23</v>
      </c>
      <c r="I5239" s="2" t="s">
        <v>23</v>
      </c>
      <c r="J5239" s="2">
        <v>5</v>
      </c>
      <c r="K5239" s="2" t="s">
        <v>27</v>
      </c>
      <c r="L5239" s="2">
        <v>2521</v>
      </c>
      <c r="M5239" s="2" t="s">
        <v>82</v>
      </c>
      <c r="N5239" s="2">
        <v>20</v>
      </c>
      <c r="O5239" s="2">
        <v>596801.64</v>
      </c>
      <c r="P5239" s="2">
        <v>29840.080000000002</v>
      </c>
    </row>
    <row r="5240" spans="1:16" outlineLevel="1" x14ac:dyDescent="0.2">
      <c r="A5240" s="5"/>
      <c r="D5240" s="3" t="s">
        <v>725</v>
      </c>
      <c r="N5240" s="2">
        <f>SUBTOTAL(9,N5238:N5239)</f>
        <v>40</v>
      </c>
      <c r="O5240" s="2">
        <f>SUBTOTAL(9,O5238:O5239)</f>
        <v>1190479.2000000002</v>
      </c>
      <c r="P5240" s="2">
        <f>+O5240/N5240</f>
        <v>29761.980000000003</v>
      </c>
    </row>
    <row r="5241" spans="1:16" outlineLevel="2" x14ac:dyDescent="0.2">
      <c r="A5241" s="5">
        <v>46241</v>
      </c>
      <c r="B5241" s="2">
        <v>161566</v>
      </c>
      <c r="C5241" s="2">
        <v>5</v>
      </c>
      <c r="D5241" s="2" t="s">
        <v>226</v>
      </c>
      <c r="E5241" s="2" t="s">
        <v>671</v>
      </c>
      <c r="F5241" s="2" t="s">
        <v>289</v>
      </c>
      <c r="G5241" s="2" t="s">
        <v>22</v>
      </c>
      <c r="H5241" s="2" t="s">
        <v>23</v>
      </c>
      <c r="I5241" s="2" t="s">
        <v>23</v>
      </c>
      <c r="J5241" s="2">
        <v>2</v>
      </c>
      <c r="K5241" s="2" t="s">
        <v>48</v>
      </c>
      <c r="L5241" s="2">
        <v>106</v>
      </c>
      <c r="M5241" s="2" t="s">
        <v>486</v>
      </c>
      <c r="N5241" s="2">
        <v>24</v>
      </c>
      <c r="O5241" s="2">
        <v>375269.92</v>
      </c>
      <c r="P5241" s="2">
        <v>15636.25</v>
      </c>
    </row>
    <row r="5242" spans="1:16" outlineLevel="1" x14ac:dyDescent="0.2">
      <c r="A5242" s="5"/>
      <c r="D5242" s="3" t="s">
        <v>736</v>
      </c>
      <c r="N5242" s="2">
        <f>SUBTOTAL(9,N5241:N5241)</f>
        <v>24</v>
      </c>
      <c r="O5242" s="2">
        <f>SUBTOTAL(9,O5241:O5241)</f>
        <v>375269.92</v>
      </c>
      <c r="P5242" s="2">
        <f>+O5242/N5242</f>
        <v>15636.246666666666</v>
      </c>
    </row>
    <row r="5243" spans="1:16" outlineLevel="2" x14ac:dyDescent="0.2">
      <c r="A5243" s="5">
        <v>46241</v>
      </c>
      <c r="B5243" s="2">
        <v>161568</v>
      </c>
      <c r="C5243" s="2">
        <v>9</v>
      </c>
      <c r="D5243" s="2" t="s">
        <v>45</v>
      </c>
      <c r="E5243" s="2" t="s">
        <v>295</v>
      </c>
      <c r="F5243" s="2" t="s">
        <v>289</v>
      </c>
      <c r="G5243" s="2" t="s">
        <v>22</v>
      </c>
      <c r="H5243" s="2" t="s">
        <v>23</v>
      </c>
      <c r="I5243" s="2" t="s">
        <v>23</v>
      </c>
      <c r="J5243" s="2">
        <v>41</v>
      </c>
      <c r="K5243" s="2" t="s">
        <v>129</v>
      </c>
      <c r="L5243" s="2">
        <v>25088</v>
      </c>
      <c r="M5243" s="2" t="s">
        <v>672</v>
      </c>
      <c r="N5243" s="2">
        <v>19</v>
      </c>
      <c r="O5243" s="2">
        <v>328901.02</v>
      </c>
      <c r="P5243" s="2">
        <v>17310.580000000002</v>
      </c>
    </row>
    <row r="5244" spans="1:16" outlineLevel="1" x14ac:dyDescent="0.2">
      <c r="A5244" s="5"/>
      <c r="D5244" s="3" t="s">
        <v>733</v>
      </c>
      <c r="N5244" s="2">
        <f>SUBTOTAL(9,N5243:N5243)</f>
        <v>19</v>
      </c>
      <c r="O5244" s="2">
        <f>SUBTOTAL(9,O5243:O5243)</f>
        <v>328901.02</v>
      </c>
      <c r="P5244" s="2">
        <f>+O5244/N5244</f>
        <v>17310.580000000002</v>
      </c>
    </row>
    <row r="5245" spans="1:16" outlineLevel="2" x14ac:dyDescent="0.2">
      <c r="A5245" s="5">
        <v>46241</v>
      </c>
      <c r="B5245" s="2">
        <v>161568</v>
      </c>
      <c r="C5245" s="2">
        <v>13</v>
      </c>
      <c r="D5245" s="2" t="s">
        <v>226</v>
      </c>
      <c r="E5245" s="2" t="s">
        <v>83</v>
      </c>
      <c r="F5245" s="2" t="s">
        <v>289</v>
      </c>
      <c r="G5245" s="2" t="s">
        <v>22</v>
      </c>
      <c r="H5245" s="2" t="s">
        <v>23</v>
      </c>
      <c r="I5245" s="2" t="s">
        <v>23</v>
      </c>
      <c r="J5245" s="2">
        <v>41</v>
      </c>
      <c r="K5245" s="2" t="s">
        <v>129</v>
      </c>
      <c r="L5245" s="2">
        <v>25088</v>
      </c>
      <c r="M5245" s="2" t="s">
        <v>672</v>
      </c>
      <c r="N5245" s="2">
        <v>31</v>
      </c>
      <c r="O5245" s="2">
        <v>542052.31000000006</v>
      </c>
      <c r="P5245" s="2">
        <v>17485.560000000001</v>
      </c>
    </row>
    <row r="5246" spans="1:16" outlineLevel="2" x14ac:dyDescent="0.2">
      <c r="A5246" s="5">
        <v>46241</v>
      </c>
      <c r="B5246" s="2">
        <v>161568</v>
      </c>
      <c r="C5246" s="2">
        <v>18</v>
      </c>
      <c r="D5246" s="2" t="s">
        <v>226</v>
      </c>
      <c r="E5246" s="2" t="s">
        <v>581</v>
      </c>
      <c r="F5246" s="2" t="s">
        <v>289</v>
      </c>
      <c r="G5246" s="2" t="s">
        <v>22</v>
      </c>
      <c r="H5246" s="2" t="s">
        <v>23</v>
      </c>
      <c r="I5246" s="2" t="s">
        <v>23</v>
      </c>
      <c r="J5246" s="2">
        <v>41</v>
      </c>
      <c r="K5246" s="2" t="s">
        <v>129</v>
      </c>
      <c r="L5246" s="2">
        <v>25088</v>
      </c>
      <c r="M5246" s="2" t="s">
        <v>672</v>
      </c>
      <c r="N5246" s="2">
        <v>48</v>
      </c>
      <c r="O5246" s="2">
        <v>1128575.8600000001</v>
      </c>
      <c r="P5246" s="2">
        <v>23512</v>
      </c>
    </row>
    <row r="5247" spans="1:16" outlineLevel="2" x14ac:dyDescent="0.2">
      <c r="A5247" s="5">
        <v>46241</v>
      </c>
      <c r="B5247" s="2">
        <v>161568</v>
      </c>
      <c r="C5247" s="2">
        <v>20</v>
      </c>
      <c r="D5247" s="2" t="s">
        <v>226</v>
      </c>
      <c r="E5247" s="2" t="s">
        <v>640</v>
      </c>
      <c r="F5247" s="2" t="s">
        <v>289</v>
      </c>
      <c r="G5247" s="2" t="s">
        <v>22</v>
      </c>
      <c r="H5247" s="2" t="s">
        <v>23</v>
      </c>
      <c r="I5247" s="2" t="s">
        <v>23</v>
      </c>
      <c r="J5247" s="2">
        <v>41</v>
      </c>
      <c r="K5247" s="2" t="s">
        <v>129</v>
      </c>
      <c r="L5247" s="2">
        <v>25088</v>
      </c>
      <c r="M5247" s="2" t="s">
        <v>672</v>
      </c>
      <c r="N5247" s="2">
        <v>32</v>
      </c>
      <c r="O5247" s="2">
        <v>714428.76</v>
      </c>
      <c r="P5247" s="2">
        <v>22325.9</v>
      </c>
    </row>
    <row r="5248" spans="1:16" outlineLevel="1" x14ac:dyDescent="0.2">
      <c r="A5248" s="5"/>
      <c r="D5248" s="3" t="s">
        <v>736</v>
      </c>
      <c r="N5248" s="2">
        <f>SUBTOTAL(9,N5245:N5247)</f>
        <v>111</v>
      </c>
      <c r="O5248" s="2">
        <f>SUBTOTAL(9,O5245:O5247)</f>
        <v>2385056.9300000002</v>
      </c>
      <c r="P5248" s="2">
        <f>+O5248/N5248</f>
        <v>21486.999369369372</v>
      </c>
    </row>
    <row r="5249" spans="1:16" outlineLevel="2" x14ac:dyDescent="0.2">
      <c r="A5249" s="5">
        <v>46246</v>
      </c>
      <c r="B5249" s="2">
        <v>161568</v>
      </c>
      <c r="C5249" s="2">
        <v>318</v>
      </c>
      <c r="D5249" s="2" t="s">
        <v>45</v>
      </c>
      <c r="E5249" s="2" t="s">
        <v>228</v>
      </c>
      <c r="F5249" s="2" t="s">
        <v>289</v>
      </c>
      <c r="G5249" s="2" t="s">
        <v>22</v>
      </c>
      <c r="H5249" s="2" t="s">
        <v>23</v>
      </c>
      <c r="I5249" s="2" t="s">
        <v>23</v>
      </c>
      <c r="J5249" s="2">
        <v>41</v>
      </c>
      <c r="K5249" s="2" t="s">
        <v>129</v>
      </c>
      <c r="L5249" s="2">
        <v>801</v>
      </c>
      <c r="M5249" s="2" t="s">
        <v>56</v>
      </c>
      <c r="N5249" s="2">
        <v>1</v>
      </c>
      <c r="O5249" s="2">
        <v>22092.54</v>
      </c>
      <c r="P5249" s="2">
        <v>22092.54</v>
      </c>
    </row>
    <row r="5250" spans="1:16" outlineLevel="2" x14ac:dyDescent="0.2">
      <c r="A5250" s="5">
        <v>46246</v>
      </c>
      <c r="B5250" s="2">
        <v>161568</v>
      </c>
      <c r="C5250" s="2">
        <v>319</v>
      </c>
      <c r="D5250" s="2" t="s">
        <v>45</v>
      </c>
      <c r="E5250" s="2" t="s">
        <v>530</v>
      </c>
      <c r="F5250" s="2" t="s">
        <v>289</v>
      </c>
      <c r="G5250" s="2" t="s">
        <v>22</v>
      </c>
      <c r="H5250" s="2" t="s">
        <v>23</v>
      </c>
      <c r="I5250" s="2" t="s">
        <v>23</v>
      </c>
      <c r="J5250" s="2">
        <v>41</v>
      </c>
      <c r="K5250" s="2" t="s">
        <v>129</v>
      </c>
      <c r="L5250" s="2">
        <v>801</v>
      </c>
      <c r="M5250" s="2" t="s">
        <v>56</v>
      </c>
      <c r="N5250" s="2">
        <v>4</v>
      </c>
      <c r="O5250" s="2">
        <v>88680.15</v>
      </c>
      <c r="P5250" s="2">
        <v>22170.04</v>
      </c>
    </row>
    <row r="5251" spans="1:16" outlineLevel="2" x14ac:dyDescent="0.2">
      <c r="A5251" s="5">
        <v>46251</v>
      </c>
      <c r="B5251" s="2">
        <v>161568</v>
      </c>
      <c r="C5251" s="2">
        <v>321</v>
      </c>
      <c r="D5251" s="2" t="s">
        <v>45</v>
      </c>
      <c r="E5251" s="2" t="s">
        <v>295</v>
      </c>
      <c r="F5251" s="2" t="s">
        <v>55</v>
      </c>
      <c r="G5251" s="2" t="s">
        <v>23</v>
      </c>
      <c r="H5251" s="2" t="s">
        <v>23</v>
      </c>
      <c r="I5251" s="2" t="s">
        <v>23</v>
      </c>
      <c r="J5251" s="2">
        <v>2</v>
      </c>
      <c r="K5251" s="2" t="s">
        <v>48</v>
      </c>
      <c r="L5251" s="2">
        <v>801</v>
      </c>
      <c r="M5251" s="2" t="s">
        <v>56</v>
      </c>
      <c r="N5251" s="2">
        <v>10</v>
      </c>
      <c r="O5251" s="2">
        <v>121980.81</v>
      </c>
      <c r="P5251" s="2">
        <v>12198.08</v>
      </c>
    </row>
    <row r="5252" spans="1:16" outlineLevel="1" x14ac:dyDescent="0.2">
      <c r="A5252" s="5"/>
      <c r="D5252" s="3" t="s">
        <v>733</v>
      </c>
      <c r="N5252" s="2">
        <f>SUBTOTAL(9,N5249:N5251)</f>
        <v>15</v>
      </c>
      <c r="O5252" s="2">
        <f>SUBTOTAL(9,O5249:O5251)</f>
        <v>232753.5</v>
      </c>
      <c r="P5252" s="2">
        <f>+O5252/N5252</f>
        <v>15516.9</v>
      </c>
    </row>
    <row r="5253" spans="1:16" outlineLevel="2" x14ac:dyDescent="0.2">
      <c r="A5253" s="5">
        <v>46244</v>
      </c>
      <c r="B5253" s="2">
        <v>161570</v>
      </c>
      <c r="C5253" s="2">
        <v>1</v>
      </c>
      <c r="D5253" s="2" t="s">
        <v>229</v>
      </c>
      <c r="E5253" s="2" t="s">
        <v>230</v>
      </c>
      <c r="F5253" s="2" t="s">
        <v>40</v>
      </c>
      <c r="G5253" s="2" t="s">
        <v>22</v>
      </c>
      <c r="H5253" s="2" t="s">
        <v>23</v>
      </c>
      <c r="I5253" s="2" t="s">
        <v>152</v>
      </c>
      <c r="J5253" s="2">
        <v>1</v>
      </c>
      <c r="K5253" s="2" t="s">
        <v>24</v>
      </c>
      <c r="L5253" s="2">
        <v>331</v>
      </c>
      <c r="M5253" s="2" t="s">
        <v>356</v>
      </c>
      <c r="N5253" s="2">
        <v>214</v>
      </c>
      <c r="O5253" s="2">
        <v>2957050.69</v>
      </c>
      <c r="P5253" s="2">
        <v>13817.99</v>
      </c>
    </row>
    <row r="5254" spans="1:16" outlineLevel="2" x14ac:dyDescent="0.2">
      <c r="A5254" s="5">
        <v>46244</v>
      </c>
      <c r="B5254" s="2">
        <v>161570</v>
      </c>
      <c r="C5254" s="2">
        <v>3</v>
      </c>
      <c r="D5254" s="2" t="s">
        <v>229</v>
      </c>
      <c r="E5254" s="2" t="s">
        <v>230</v>
      </c>
      <c r="F5254" s="2" t="s">
        <v>40</v>
      </c>
      <c r="G5254" s="2" t="s">
        <v>22</v>
      </c>
      <c r="H5254" s="2" t="s">
        <v>23</v>
      </c>
      <c r="I5254" s="2" t="s">
        <v>79</v>
      </c>
      <c r="J5254" s="2">
        <v>1</v>
      </c>
      <c r="K5254" s="2" t="s">
        <v>24</v>
      </c>
      <c r="L5254" s="2">
        <v>331</v>
      </c>
      <c r="M5254" s="2" t="s">
        <v>356</v>
      </c>
      <c r="N5254" s="2">
        <v>499</v>
      </c>
      <c r="O5254" s="2">
        <v>6560993.9699999997</v>
      </c>
      <c r="P5254" s="2">
        <v>13148.28</v>
      </c>
    </row>
    <row r="5255" spans="1:16" outlineLevel="2" x14ac:dyDescent="0.2">
      <c r="A5255" s="5">
        <v>46248</v>
      </c>
      <c r="B5255" s="2">
        <v>161570</v>
      </c>
      <c r="C5255" s="2">
        <v>4</v>
      </c>
      <c r="D5255" s="2" t="s">
        <v>229</v>
      </c>
      <c r="E5255" s="2" t="s">
        <v>230</v>
      </c>
      <c r="F5255" s="2" t="s">
        <v>40</v>
      </c>
      <c r="G5255" s="2" t="s">
        <v>22</v>
      </c>
      <c r="H5255" s="2" t="s">
        <v>23</v>
      </c>
      <c r="I5255" s="2" t="s">
        <v>217</v>
      </c>
      <c r="J5255" s="2">
        <v>1</v>
      </c>
      <c r="K5255" s="2" t="s">
        <v>24</v>
      </c>
      <c r="L5255" s="2">
        <v>331</v>
      </c>
      <c r="M5255" s="2" t="s">
        <v>356</v>
      </c>
      <c r="N5255" s="2">
        <v>236</v>
      </c>
      <c r="O5255" s="2">
        <v>2885199.44</v>
      </c>
      <c r="P5255" s="2">
        <v>12225.42</v>
      </c>
    </row>
    <row r="5256" spans="1:16" outlineLevel="1" x14ac:dyDescent="0.2">
      <c r="A5256" s="5"/>
      <c r="D5256" s="3" t="s">
        <v>737</v>
      </c>
      <c r="N5256" s="2">
        <f>SUBTOTAL(9,N5253:N5255)</f>
        <v>949</v>
      </c>
      <c r="O5256" s="2">
        <f>SUBTOTAL(9,O5253:O5255)</f>
        <v>12403244.1</v>
      </c>
      <c r="P5256" s="2">
        <f>+O5256/N5256</f>
        <v>13069.80410958904</v>
      </c>
    </row>
    <row r="5257" spans="1:16" outlineLevel="2" x14ac:dyDescent="0.2">
      <c r="A5257" s="5">
        <v>46244</v>
      </c>
      <c r="B5257" s="2">
        <v>161582</v>
      </c>
      <c r="C5257" s="2">
        <v>1</v>
      </c>
      <c r="D5257" s="2" t="s">
        <v>178</v>
      </c>
      <c r="E5257" s="2" t="s">
        <v>179</v>
      </c>
      <c r="F5257" s="2" t="s">
        <v>108</v>
      </c>
      <c r="G5257" s="2" t="s">
        <v>22</v>
      </c>
      <c r="H5257" s="2" t="s">
        <v>23</v>
      </c>
      <c r="I5257" s="2" t="s">
        <v>101</v>
      </c>
      <c r="J5257" s="2">
        <v>1</v>
      </c>
      <c r="K5257" s="2" t="s">
        <v>24</v>
      </c>
      <c r="L5257" s="2">
        <v>1037</v>
      </c>
      <c r="M5257" s="2" t="s">
        <v>181</v>
      </c>
      <c r="N5257" s="2">
        <v>61</v>
      </c>
      <c r="O5257" s="2">
        <v>3541845.79</v>
      </c>
      <c r="P5257" s="2">
        <v>58063.05</v>
      </c>
    </row>
    <row r="5258" spans="1:16" outlineLevel="2" x14ac:dyDescent="0.2">
      <c r="A5258" s="5">
        <v>46244</v>
      </c>
      <c r="B5258" s="2">
        <v>161582</v>
      </c>
      <c r="C5258" s="2">
        <v>2</v>
      </c>
      <c r="D5258" s="2" t="s">
        <v>178</v>
      </c>
      <c r="E5258" s="2" t="s">
        <v>179</v>
      </c>
      <c r="F5258" s="2" t="s">
        <v>108</v>
      </c>
      <c r="G5258" s="2" t="s">
        <v>22</v>
      </c>
      <c r="H5258" s="2" t="s">
        <v>23</v>
      </c>
      <c r="I5258" s="2" t="s">
        <v>152</v>
      </c>
      <c r="J5258" s="2">
        <v>1</v>
      </c>
      <c r="K5258" s="2" t="s">
        <v>24</v>
      </c>
      <c r="L5258" s="2">
        <v>1037</v>
      </c>
      <c r="M5258" s="2" t="s">
        <v>181</v>
      </c>
      <c r="N5258" s="2">
        <v>42</v>
      </c>
      <c r="O5258" s="2">
        <v>2426672.21</v>
      </c>
      <c r="P5258" s="2">
        <v>57777.91</v>
      </c>
    </row>
    <row r="5259" spans="1:16" outlineLevel="1" x14ac:dyDescent="0.2">
      <c r="A5259" s="5"/>
      <c r="D5259" s="3" t="s">
        <v>730</v>
      </c>
      <c r="N5259" s="2">
        <f>SUBTOTAL(9,N5257:N5258)</f>
        <v>103</v>
      </c>
      <c r="O5259" s="2">
        <f>SUBTOTAL(9,O5257:O5258)</f>
        <v>5968518</v>
      </c>
      <c r="P5259" s="2">
        <f>+O5259/N5259</f>
        <v>57946.776699029127</v>
      </c>
    </row>
    <row r="5260" spans="1:16" outlineLevel="2" x14ac:dyDescent="0.2">
      <c r="A5260" s="5">
        <v>46244</v>
      </c>
      <c r="B5260" s="2">
        <v>161583</v>
      </c>
      <c r="C5260" s="2">
        <v>1</v>
      </c>
      <c r="D5260" s="2" t="s">
        <v>197</v>
      </c>
      <c r="E5260" s="2" t="s">
        <v>584</v>
      </c>
      <c r="F5260" s="2" t="s">
        <v>40</v>
      </c>
      <c r="G5260" s="2" t="s">
        <v>22</v>
      </c>
      <c r="H5260" s="2" t="s">
        <v>23</v>
      </c>
      <c r="I5260" s="2" t="s">
        <v>23</v>
      </c>
      <c r="J5260" s="2">
        <v>1</v>
      </c>
      <c r="K5260" s="2" t="s">
        <v>24</v>
      </c>
      <c r="L5260" s="2">
        <v>2541</v>
      </c>
      <c r="M5260" s="2" t="s">
        <v>534</v>
      </c>
      <c r="N5260" s="2">
        <v>358</v>
      </c>
      <c r="O5260" s="2">
        <v>23380218.149999999</v>
      </c>
      <c r="P5260" s="2">
        <v>65307.87</v>
      </c>
    </row>
    <row r="5261" spans="1:16" outlineLevel="2" x14ac:dyDescent="0.2">
      <c r="A5261" s="5">
        <v>46244</v>
      </c>
      <c r="B5261" s="2">
        <v>161583</v>
      </c>
      <c r="C5261" s="2">
        <v>2</v>
      </c>
      <c r="D5261" s="2" t="s">
        <v>197</v>
      </c>
      <c r="E5261" s="2" t="s">
        <v>284</v>
      </c>
      <c r="F5261" s="2" t="s">
        <v>40</v>
      </c>
      <c r="G5261" s="2" t="s">
        <v>22</v>
      </c>
      <c r="H5261" s="2" t="s">
        <v>23</v>
      </c>
      <c r="I5261" s="2" t="s">
        <v>23</v>
      </c>
      <c r="J5261" s="2">
        <v>1</v>
      </c>
      <c r="K5261" s="2" t="s">
        <v>24</v>
      </c>
      <c r="L5261" s="2">
        <v>2541</v>
      </c>
      <c r="M5261" s="2" t="s">
        <v>534</v>
      </c>
      <c r="N5261" s="2">
        <v>426</v>
      </c>
      <c r="O5261" s="2">
        <v>30841536.059999999</v>
      </c>
      <c r="P5261" s="2">
        <v>72397.97</v>
      </c>
    </row>
    <row r="5262" spans="1:16" outlineLevel="1" x14ac:dyDescent="0.2">
      <c r="A5262" s="5"/>
      <c r="D5262" s="3" t="s">
        <v>734</v>
      </c>
      <c r="N5262" s="2">
        <f>SUBTOTAL(9,N5260:N5261)</f>
        <v>784</v>
      </c>
      <c r="O5262" s="2">
        <f>SUBTOTAL(9,O5260:O5261)</f>
        <v>54221754.209999993</v>
      </c>
      <c r="P5262" s="2">
        <f>+O5262/N5262</f>
        <v>69160.400778061216</v>
      </c>
    </row>
    <row r="5263" spans="1:16" outlineLevel="2" x14ac:dyDescent="0.2">
      <c r="A5263" s="5">
        <v>46253</v>
      </c>
      <c r="B5263" s="2">
        <v>161584</v>
      </c>
      <c r="C5263" s="2">
        <v>1</v>
      </c>
      <c r="D5263" s="2" t="s">
        <v>92</v>
      </c>
      <c r="E5263" s="2" t="s">
        <v>93</v>
      </c>
      <c r="F5263" s="2" t="s">
        <v>40</v>
      </c>
      <c r="G5263" s="2" t="s">
        <v>22</v>
      </c>
      <c r="H5263" s="2" t="s">
        <v>23</v>
      </c>
      <c r="I5263" s="2" t="s">
        <v>23</v>
      </c>
      <c r="J5263" s="2">
        <v>5</v>
      </c>
      <c r="K5263" s="2" t="s">
        <v>27</v>
      </c>
      <c r="L5263" s="2">
        <v>2521</v>
      </c>
      <c r="M5263" s="2" t="s">
        <v>82</v>
      </c>
      <c r="N5263" s="2">
        <v>20</v>
      </c>
      <c r="O5263" s="2">
        <v>420998.2</v>
      </c>
      <c r="P5263" s="2">
        <v>21049.91</v>
      </c>
    </row>
    <row r="5264" spans="1:16" outlineLevel="1" x14ac:dyDescent="0.2">
      <c r="A5264" s="5"/>
      <c r="D5264" s="3" t="s">
        <v>702</v>
      </c>
      <c r="N5264" s="2">
        <f>SUBTOTAL(9,N5263:N5263)</f>
        <v>20</v>
      </c>
      <c r="O5264" s="2">
        <f>SUBTOTAL(9,O5263:O5263)</f>
        <v>420998.2</v>
      </c>
      <c r="P5264" s="2">
        <f>+O5264/N5264</f>
        <v>21049.91</v>
      </c>
    </row>
    <row r="5265" spans="1:16" outlineLevel="2" x14ac:dyDescent="0.2">
      <c r="A5265" s="5">
        <v>46246</v>
      </c>
      <c r="B5265" s="2">
        <v>161584</v>
      </c>
      <c r="C5265" s="2">
        <v>2</v>
      </c>
      <c r="D5265" s="2" t="s">
        <v>618</v>
      </c>
      <c r="E5265" s="2" t="s">
        <v>657</v>
      </c>
      <c r="F5265" s="2" t="s">
        <v>40</v>
      </c>
      <c r="G5265" s="2" t="s">
        <v>22</v>
      </c>
      <c r="H5265" s="2" t="s">
        <v>23</v>
      </c>
      <c r="I5265" s="2" t="s">
        <v>23</v>
      </c>
      <c r="J5265" s="2">
        <v>5</v>
      </c>
      <c r="K5265" s="2" t="s">
        <v>27</v>
      </c>
      <c r="L5265" s="2">
        <v>2521</v>
      </c>
      <c r="M5265" s="2" t="s">
        <v>82</v>
      </c>
      <c r="N5265" s="2">
        <v>240</v>
      </c>
      <c r="O5265" s="2">
        <v>7508186.0999999996</v>
      </c>
      <c r="P5265" s="2">
        <v>31284.11</v>
      </c>
    </row>
    <row r="5266" spans="1:16" outlineLevel="1" x14ac:dyDescent="0.2">
      <c r="A5266" s="5"/>
      <c r="D5266" s="3" t="s">
        <v>804</v>
      </c>
      <c r="N5266" s="2">
        <f>SUBTOTAL(9,N5265:N5265)</f>
        <v>240</v>
      </c>
      <c r="O5266" s="2">
        <f>SUBTOTAL(9,O5265:O5265)</f>
        <v>7508186.0999999996</v>
      </c>
      <c r="P5266" s="2">
        <f>+O5266/N5266</f>
        <v>31284.108749999999</v>
      </c>
    </row>
    <row r="5267" spans="1:16" outlineLevel="2" x14ac:dyDescent="0.2">
      <c r="A5267" s="5">
        <v>46253</v>
      </c>
      <c r="B5267" s="2">
        <v>161585</v>
      </c>
      <c r="C5267" s="2">
        <v>5</v>
      </c>
      <c r="D5267" s="2" t="s">
        <v>83</v>
      </c>
      <c r="E5267" s="2" t="s">
        <v>673</v>
      </c>
      <c r="F5267" s="2" t="s">
        <v>85</v>
      </c>
      <c r="G5267" s="2" t="s">
        <v>22</v>
      </c>
      <c r="H5267" s="2" t="s">
        <v>23</v>
      </c>
      <c r="I5267" s="2" t="s">
        <v>674</v>
      </c>
      <c r="J5267" s="2">
        <v>2</v>
      </c>
      <c r="K5267" s="2" t="s">
        <v>48</v>
      </c>
      <c r="L5267" s="2">
        <v>25249</v>
      </c>
      <c r="M5267" s="2" t="s">
        <v>635</v>
      </c>
      <c r="N5267" s="2">
        <v>130</v>
      </c>
      <c r="O5267" s="2">
        <v>7308633.0700000003</v>
      </c>
      <c r="P5267" s="2">
        <v>56220.25</v>
      </c>
    </row>
    <row r="5268" spans="1:16" outlineLevel="2" x14ac:dyDescent="0.2">
      <c r="A5268" s="5">
        <v>46251</v>
      </c>
      <c r="B5268" s="2">
        <v>161585</v>
      </c>
      <c r="C5268" s="2">
        <v>6</v>
      </c>
      <c r="D5268" s="2" t="s">
        <v>83</v>
      </c>
      <c r="E5268" s="2" t="s">
        <v>675</v>
      </c>
      <c r="F5268" s="2" t="s">
        <v>85</v>
      </c>
      <c r="G5268" s="2" t="s">
        <v>22</v>
      </c>
      <c r="H5268" s="2" t="s">
        <v>23</v>
      </c>
      <c r="I5268" s="2" t="s">
        <v>674</v>
      </c>
      <c r="J5268" s="2">
        <v>2</v>
      </c>
      <c r="K5268" s="2" t="s">
        <v>48</v>
      </c>
      <c r="L5268" s="2">
        <v>25249</v>
      </c>
      <c r="M5268" s="2" t="s">
        <v>635</v>
      </c>
      <c r="N5268" s="2">
        <v>66</v>
      </c>
      <c r="O5268" s="2">
        <v>3664742.85</v>
      </c>
      <c r="P5268" s="2">
        <v>55526.41</v>
      </c>
    </row>
    <row r="5269" spans="1:16" outlineLevel="2" x14ac:dyDescent="0.2">
      <c r="A5269" s="5">
        <v>46244</v>
      </c>
      <c r="B5269" s="2">
        <v>161585</v>
      </c>
      <c r="C5269" s="2">
        <v>7</v>
      </c>
      <c r="D5269" s="2" t="s">
        <v>83</v>
      </c>
      <c r="E5269" s="2" t="s">
        <v>676</v>
      </c>
      <c r="F5269" s="2" t="s">
        <v>85</v>
      </c>
      <c r="G5269" s="2" t="s">
        <v>22</v>
      </c>
      <c r="H5269" s="2" t="s">
        <v>23</v>
      </c>
      <c r="I5269" s="2" t="s">
        <v>674</v>
      </c>
      <c r="J5269" s="2">
        <v>1</v>
      </c>
      <c r="K5269" s="2" t="s">
        <v>24</v>
      </c>
      <c r="L5269" s="2">
        <v>25249</v>
      </c>
      <c r="M5269" s="2" t="s">
        <v>635</v>
      </c>
      <c r="N5269" s="2">
        <v>260</v>
      </c>
      <c r="O5269" s="2">
        <v>14788763.9</v>
      </c>
      <c r="P5269" s="2">
        <v>56879.86</v>
      </c>
    </row>
    <row r="5270" spans="1:16" outlineLevel="1" x14ac:dyDescent="0.2">
      <c r="A5270" s="5"/>
      <c r="D5270" s="3" t="s">
        <v>701</v>
      </c>
      <c r="N5270" s="2">
        <f>SUBTOTAL(9,N5267:N5269)</f>
        <v>456</v>
      </c>
      <c r="O5270" s="2">
        <f>SUBTOTAL(9,O5267:O5269)</f>
        <v>25762139.82</v>
      </c>
      <c r="P5270" s="2">
        <f>+O5270/N5270</f>
        <v>56495.920657894734</v>
      </c>
    </row>
    <row r="5271" spans="1:16" outlineLevel="2" x14ac:dyDescent="0.2">
      <c r="A5271" s="5">
        <v>46244</v>
      </c>
      <c r="B5271" s="2">
        <v>161588</v>
      </c>
      <c r="C5271" s="2">
        <v>5</v>
      </c>
      <c r="D5271" s="2" t="s">
        <v>45</v>
      </c>
      <c r="E5271" s="2" t="s">
        <v>125</v>
      </c>
      <c r="F5271" s="2" t="s">
        <v>289</v>
      </c>
      <c r="G5271" s="2" t="s">
        <v>22</v>
      </c>
      <c r="H5271" s="2" t="s">
        <v>23</v>
      </c>
      <c r="I5271" s="2" t="s">
        <v>23</v>
      </c>
      <c r="J5271" s="2">
        <v>2</v>
      </c>
      <c r="K5271" s="2" t="s">
        <v>48</v>
      </c>
      <c r="L5271" s="2">
        <v>106</v>
      </c>
      <c r="M5271" s="2" t="s">
        <v>486</v>
      </c>
      <c r="N5271" s="2">
        <v>56</v>
      </c>
      <c r="O5271" s="2">
        <v>1587221.62</v>
      </c>
      <c r="P5271" s="2">
        <v>28343.24</v>
      </c>
    </row>
    <row r="5272" spans="1:16" outlineLevel="1" x14ac:dyDescent="0.2">
      <c r="A5272" s="5"/>
      <c r="D5272" s="3" t="s">
        <v>733</v>
      </c>
      <c r="N5272" s="2">
        <f>SUBTOTAL(9,N5271:N5271)</f>
        <v>56</v>
      </c>
      <c r="O5272" s="2">
        <f>SUBTOTAL(9,O5271:O5271)</f>
        <v>1587221.62</v>
      </c>
      <c r="P5272" s="2">
        <f>+O5272/N5272</f>
        <v>28343.243214285718</v>
      </c>
    </row>
    <row r="5273" spans="1:16" outlineLevel="2" x14ac:dyDescent="0.2">
      <c r="A5273" s="5">
        <v>46244</v>
      </c>
      <c r="B5273" s="2">
        <v>161588</v>
      </c>
      <c r="C5273" s="2">
        <v>6</v>
      </c>
      <c r="D5273" s="2" t="s">
        <v>226</v>
      </c>
      <c r="E5273" s="2" t="s">
        <v>585</v>
      </c>
      <c r="F5273" s="2" t="s">
        <v>289</v>
      </c>
      <c r="G5273" s="2" t="s">
        <v>22</v>
      </c>
      <c r="H5273" s="2" t="s">
        <v>23</v>
      </c>
      <c r="I5273" s="2" t="s">
        <v>23</v>
      </c>
      <c r="J5273" s="2">
        <v>2</v>
      </c>
      <c r="K5273" s="2" t="s">
        <v>48</v>
      </c>
      <c r="L5273" s="2">
        <v>106</v>
      </c>
      <c r="M5273" s="2" t="s">
        <v>486</v>
      </c>
      <c r="N5273" s="2">
        <v>24</v>
      </c>
      <c r="O5273" s="2">
        <v>348200.16</v>
      </c>
      <c r="P5273" s="2">
        <v>14508.34</v>
      </c>
    </row>
    <row r="5274" spans="1:16" outlineLevel="1" x14ac:dyDescent="0.2">
      <c r="A5274" s="5"/>
      <c r="D5274" s="3" t="s">
        <v>736</v>
      </c>
      <c r="N5274" s="2">
        <f>SUBTOTAL(9,N5273:N5273)</f>
        <v>24</v>
      </c>
      <c r="O5274" s="2">
        <f>SUBTOTAL(9,O5273:O5273)</f>
        <v>348200.16</v>
      </c>
      <c r="P5274" s="2">
        <f>+O5274/N5274</f>
        <v>14508.339999999998</v>
      </c>
    </row>
    <row r="5275" spans="1:16" outlineLevel="2" x14ac:dyDescent="0.2">
      <c r="A5275" s="5">
        <v>46244</v>
      </c>
      <c r="B5275" s="2">
        <v>161589</v>
      </c>
      <c r="C5275" s="2">
        <v>1</v>
      </c>
      <c r="D5275" s="2" t="s">
        <v>38</v>
      </c>
      <c r="E5275" s="2" t="s">
        <v>39</v>
      </c>
      <c r="F5275" s="2" t="s">
        <v>21</v>
      </c>
      <c r="G5275" s="2" t="s">
        <v>22</v>
      </c>
      <c r="H5275" s="2" t="s">
        <v>23</v>
      </c>
      <c r="I5275" s="2" t="s">
        <v>116</v>
      </c>
      <c r="J5275" s="2">
        <v>1</v>
      </c>
      <c r="K5275" s="2" t="s">
        <v>24</v>
      </c>
      <c r="L5275" s="2">
        <v>2814</v>
      </c>
      <c r="M5275" s="2" t="s">
        <v>677</v>
      </c>
      <c r="N5275" s="2">
        <v>180</v>
      </c>
      <c r="O5275" s="2">
        <v>9302534.7200000007</v>
      </c>
      <c r="P5275" s="2">
        <v>51680.75</v>
      </c>
    </row>
    <row r="5276" spans="1:16" outlineLevel="2" x14ac:dyDescent="0.2">
      <c r="A5276" s="5">
        <v>46246</v>
      </c>
      <c r="B5276" s="2">
        <v>161589</v>
      </c>
      <c r="C5276" s="2">
        <v>3</v>
      </c>
      <c r="D5276" s="2" t="s">
        <v>38</v>
      </c>
      <c r="E5276" s="2" t="s">
        <v>39</v>
      </c>
      <c r="F5276" s="2" t="s">
        <v>21</v>
      </c>
      <c r="G5276" s="2" t="s">
        <v>22</v>
      </c>
      <c r="H5276" s="2" t="s">
        <v>23</v>
      </c>
      <c r="I5276" s="2" t="s">
        <v>133</v>
      </c>
      <c r="J5276" s="2">
        <v>1</v>
      </c>
      <c r="K5276" s="2" t="s">
        <v>24</v>
      </c>
      <c r="L5276" s="2">
        <v>2814</v>
      </c>
      <c r="M5276" s="2" t="s">
        <v>677</v>
      </c>
      <c r="N5276" s="2">
        <v>36</v>
      </c>
      <c r="O5276" s="2">
        <v>1314323.33</v>
      </c>
      <c r="P5276" s="2">
        <v>36508.980000000003</v>
      </c>
    </row>
    <row r="5277" spans="1:16" outlineLevel="1" x14ac:dyDescent="0.2">
      <c r="A5277" s="5"/>
      <c r="D5277" s="3" t="s">
        <v>721</v>
      </c>
      <c r="N5277" s="2">
        <f>SUBTOTAL(9,N5275:N5276)</f>
        <v>216</v>
      </c>
      <c r="O5277" s="2">
        <f>SUBTOTAL(9,O5275:O5276)</f>
        <v>10616858.050000001</v>
      </c>
      <c r="P5277" s="2">
        <f>+O5277/N5277</f>
        <v>49152.120601851857</v>
      </c>
    </row>
    <row r="5278" spans="1:16" outlineLevel="2" x14ac:dyDescent="0.2">
      <c r="A5278" s="5">
        <v>46255</v>
      </c>
      <c r="B5278" s="2">
        <v>161593</v>
      </c>
      <c r="C5278" s="2">
        <v>315</v>
      </c>
      <c r="D5278" s="2" t="s">
        <v>45</v>
      </c>
      <c r="E5278" s="2" t="s">
        <v>125</v>
      </c>
      <c r="F5278" s="2" t="s">
        <v>289</v>
      </c>
      <c r="G5278" s="2" t="s">
        <v>22</v>
      </c>
      <c r="H5278" s="2" t="s">
        <v>23</v>
      </c>
      <c r="I5278" s="2" t="s">
        <v>23</v>
      </c>
      <c r="J5278" s="2">
        <v>2</v>
      </c>
      <c r="K5278" s="2" t="s">
        <v>48</v>
      </c>
      <c r="L5278" s="2">
        <v>106</v>
      </c>
      <c r="M5278" s="2" t="s">
        <v>486</v>
      </c>
      <c r="N5278" s="2">
        <v>7</v>
      </c>
      <c r="O5278" s="2">
        <v>40768.17</v>
      </c>
      <c r="P5278" s="2">
        <v>5824.02</v>
      </c>
    </row>
    <row r="5279" spans="1:16" outlineLevel="2" x14ac:dyDescent="0.2">
      <c r="A5279" s="5">
        <v>46244</v>
      </c>
      <c r="B5279" s="2">
        <v>161594</v>
      </c>
      <c r="C5279" s="2">
        <v>9</v>
      </c>
      <c r="D5279" s="2" t="s">
        <v>45</v>
      </c>
      <c r="E5279" s="2" t="s">
        <v>295</v>
      </c>
      <c r="F5279" s="2" t="s">
        <v>289</v>
      </c>
      <c r="G5279" s="2" t="s">
        <v>22</v>
      </c>
      <c r="H5279" s="2" t="s">
        <v>23</v>
      </c>
      <c r="I5279" s="2" t="s">
        <v>23</v>
      </c>
      <c r="J5279" s="2">
        <v>41</v>
      </c>
      <c r="K5279" s="2" t="s">
        <v>129</v>
      </c>
      <c r="L5279" s="2">
        <v>106</v>
      </c>
      <c r="M5279" s="2" t="s">
        <v>486</v>
      </c>
      <c r="N5279" s="2">
        <v>25</v>
      </c>
      <c r="O5279" s="2">
        <v>412297.5</v>
      </c>
      <c r="P5279" s="2">
        <v>16491.900000000001</v>
      </c>
    </row>
    <row r="5280" spans="1:16" outlineLevel="2" x14ac:dyDescent="0.2">
      <c r="A5280" s="5">
        <v>46244</v>
      </c>
      <c r="B5280" s="2">
        <v>161594</v>
      </c>
      <c r="C5280" s="2">
        <v>11</v>
      </c>
      <c r="D5280" s="2" t="s">
        <v>45</v>
      </c>
      <c r="E5280" s="2" t="s">
        <v>295</v>
      </c>
      <c r="F5280" s="2" t="s">
        <v>289</v>
      </c>
      <c r="G5280" s="2" t="s">
        <v>210</v>
      </c>
      <c r="H5280" s="2" t="s">
        <v>23</v>
      </c>
      <c r="I5280" s="2" t="s">
        <v>23</v>
      </c>
      <c r="J5280" s="2">
        <v>41</v>
      </c>
      <c r="K5280" s="2" t="s">
        <v>129</v>
      </c>
      <c r="L5280" s="2">
        <v>106</v>
      </c>
      <c r="M5280" s="2" t="s">
        <v>486</v>
      </c>
      <c r="N5280" s="2">
        <v>12</v>
      </c>
      <c r="O5280" s="2">
        <v>179234</v>
      </c>
      <c r="P5280" s="2">
        <v>14936.17</v>
      </c>
    </row>
    <row r="5281" spans="1:16" outlineLevel="2" x14ac:dyDescent="0.2">
      <c r="A5281" s="5">
        <v>46244</v>
      </c>
      <c r="B5281" s="2">
        <v>161594</v>
      </c>
      <c r="C5281" s="2">
        <v>13</v>
      </c>
      <c r="D5281" s="2" t="s">
        <v>45</v>
      </c>
      <c r="E5281" s="2" t="s">
        <v>558</v>
      </c>
      <c r="F5281" s="2" t="s">
        <v>289</v>
      </c>
      <c r="G5281" s="2" t="s">
        <v>22</v>
      </c>
      <c r="H5281" s="2" t="s">
        <v>23</v>
      </c>
      <c r="I5281" s="2" t="s">
        <v>23</v>
      </c>
      <c r="J5281" s="2">
        <v>41</v>
      </c>
      <c r="K5281" s="2" t="s">
        <v>129</v>
      </c>
      <c r="L5281" s="2">
        <v>106</v>
      </c>
      <c r="M5281" s="2" t="s">
        <v>486</v>
      </c>
      <c r="N5281" s="2">
        <v>9</v>
      </c>
      <c r="O5281" s="2">
        <v>165228.93</v>
      </c>
      <c r="P5281" s="2">
        <v>18358.77</v>
      </c>
    </row>
    <row r="5282" spans="1:16" outlineLevel="1" x14ac:dyDescent="0.2">
      <c r="A5282" s="5"/>
      <c r="D5282" s="3" t="s">
        <v>733</v>
      </c>
      <c r="N5282" s="2">
        <f>SUBTOTAL(9,N5278:N5281)</f>
        <v>53</v>
      </c>
      <c r="O5282" s="2">
        <f>SUBTOTAL(9,O5278:O5281)</f>
        <v>797528.59999999986</v>
      </c>
      <c r="P5282" s="2">
        <f>+O5282/N5282</f>
        <v>15047.709433962262</v>
      </c>
    </row>
    <row r="5283" spans="1:16" outlineLevel="2" x14ac:dyDescent="0.2">
      <c r="A5283" s="5">
        <v>46244</v>
      </c>
      <c r="B5283" s="2">
        <v>161594</v>
      </c>
      <c r="C5283" s="2">
        <v>15</v>
      </c>
      <c r="D5283" s="2" t="s">
        <v>226</v>
      </c>
      <c r="E5283" s="2" t="s">
        <v>544</v>
      </c>
      <c r="F5283" s="2" t="s">
        <v>289</v>
      </c>
      <c r="G5283" s="2" t="s">
        <v>22</v>
      </c>
      <c r="H5283" s="2" t="s">
        <v>23</v>
      </c>
      <c r="I5283" s="2" t="s">
        <v>23</v>
      </c>
      <c r="J5283" s="2">
        <v>41</v>
      </c>
      <c r="K5283" s="2" t="s">
        <v>129</v>
      </c>
      <c r="L5283" s="2">
        <v>106</v>
      </c>
      <c r="M5283" s="2" t="s">
        <v>486</v>
      </c>
      <c r="N5283" s="2">
        <v>14</v>
      </c>
      <c r="O5283" s="2">
        <v>260443.1</v>
      </c>
      <c r="P5283" s="2">
        <v>18603.080000000002</v>
      </c>
    </row>
    <row r="5284" spans="1:16" outlineLevel="2" x14ac:dyDescent="0.2">
      <c r="A5284" s="5">
        <v>46244</v>
      </c>
      <c r="B5284" s="2">
        <v>161594</v>
      </c>
      <c r="C5284" s="2">
        <v>17</v>
      </c>
      <c r="D5284" s="2" t="s">
        <v>226</v>
      </c>
      <c r="E5284" s="2" t="s">
        <v>568</v>
      </c>
      <c r="F5284" s="2" t="s">
        <v>289</v>
      </c>
      <c r="G5284" s="2" t="s">
        <v>22</v>
      </c>
      <c r="H5284" s="2" t="s">
        <v>23</v>
      </c>
      <c r="I5284" s="2" t="s">
        <v>23</v>
      </c>
      <c r="J5284" s="2">
        <v>41</v>
      </c>
      <c r="K5284" s="2" t="s">
        <v>129</v>
      </c>
      <c r="L5284" s="2">
        <v>106</v>
      </c>
      <c r="M5284" s="2" t="s">
        <v>486</v>
      </c>
      <c r="N5284" s="2">
        <v>16</v>
      </c>
      <c r="O5284" s="2">
        <v>314276.03000000003</v>
      </c>
      <c r="P5284" s="2">
        <v>19642.25</v>
      </c>
    </row>
    <row r="5285" spans="1:16" outlineLevel="2" x14ac:dyDescent="0.2">
      <c r="A5285" s="5">
        <v>46244</v>
      </c>
      <c r="B5285" s="2">
        <v>161594</v>
      </c>
      <c r="C5285" s="2">
        <v>19</v>
      </c>
      <c r="D5285" s="2" t="s">
        <v>226</v>
      </c>
      <c r="E5285" s="2" t="s">
        <v>651</v>
      </c>
      <c r="F5285" s="2" t="s">
        <v>289</v>
      </c>
      <c r="G5285" s="2" t="s">
        <v>22</v>
      </c>
      <c r="H5285" s="2" t="s">
        <v>23</v>
      </c>
      <c r="I5285" s="2" t="s">
        <v>23</v>
      </c>
      <c r="J5285" s="2">
        <v>41</v>
      </c>
      <c r="K5285" s="2" t="s">
        <v>129</v>
      </c>
      <c r="L5285" s="2">
        <v>106</v>
      </c>
      <c r="M5285" s="2" t="s">
        <v>486</v>
      </c>
      <c r="N5285" s="2">
        <v>68</v>
      </c>
      <c r="O5285" s="2">
        <v>1653809.36</v>
      </c>
      <c r="P5285" s="2">
        <v>24320.73</v>
      </c>
    </row>
    <row r="5286" spans="1:16" outlineLevel="2" x14ac:dyDescent="0.2">
      <c r="A5286" s="5">
        <v>46244</v>
      </c>
      <c r="B5286" s="2">
        <v>161594</v>
      </c>
      <c r="C5286" s="2">
        <v>21</v>
      </c>
      <c r="D5286" s="2" t="s">
        <v>226</v>
      </c>
      <c r="E5286" s="2" t="s">
        <v>586</v>
      </c>
      <c r="F5286" s="2" t="s">
        <v>289</v>
      </c>
      <c r="G5286" s="2" t="s">
        <v>22</v>
      </c>
      <c r="H5286" s="2" t="s">
        <v>23</v>
      </c>
      <c r="I5286" s="2" t="s">
        <v>23</v>
      </c>
      <c r="J5286" s="2">
        <v>41</v>
      </c>
      <c r="K5286" s="2" t="s">
        <v>129</v>
      </c>
      <c r="L5286" s="2">
        <v>106</v>
      </c>
      <c r="M5286" s="2" t="s">
        <v>486</v>
      </c>
      <c r="N5286" s="2">
        <v>9</v>
      </c>
      <c r="O5286" s="2">
        <v>191365.32</v>
      </c>
      <c r="P5286" s="2">
        <v>21262.81</v>
      </c>
    </row>
    <row r="5287" spans="1:16" outlineLevel="1" x14ac:dyDescent="0.2">
      <c r="A5287" s="5"/>
      <c r="D5287" s="3" t="s">
        <v>736</v>
      </c>
      <c r="N5287" s="2">
        <f>SUBTOTAL(9,N5283:N5286)</f>
        <v>107</v>
      </c>
      <c r="O5287" s="2">
        <f>SUBTOTAL(9,O5283:O5286)</f>
        <v>2419893.81</v>
      </c>
      <c r="P5287" s="2">
        <f>+O5287/N5287</f>
        <v>22615.83</v>
      </c>
    </row>
    <row r="5288" spans="1:16" outlineLevel="2" x14ac:dyDescent="0.2">
      <c r="A5288" s="5">
        <v>46246</v>
      </c>
      <c r="B5288" s="2">
        <v>161594</v>
      </c>
      <c r="C5288" s="2">
        <v>311</v>
      </c>
      <c r="D5288" s="2" t="s">
        <v>54</v>
      </c>
      <c r="E5288" s="2" t="s">
        <v>30</v>
      </c>
      <c r="F5288" s="2" t="s">
        <v>289</v>
      </c>
      <c r="G5288" s="2" t="s">
        <v>22</v>
      </c>
      <c r="H5288" s="2" t="s">
        <v>23</v>
      </c>
      <c r="I5288" s="2" t="s">
        <v>23</v>
      </c>
      <c r="J5288" s="2">
        <v>2</v>
      </c>
      <c r="K5288" s="2" t="s">
        <v>48</v>
      </c>
      <c r="L5288" s="2">
        <v>801</v>
      </c>
      <c r="M5288" s="2" t="s">
        <v>56</v>
      </c>
      <c r="N5288" s="2">
        <v>15</v>
      </c>
      <c r="O5288" s="2">
        <v>117630.46</v>
      </c>
      <c r="P5288" s="2">
        <v>7842.03</v>
      </c>
    </row>
    <row r="5289" spans="1:16" outlineLevel="1" x14ac:dyDescent="0.2">
      <c r="A5289" s="5"/>
      <c r="D5289" s="3" t="s">
        <v>719</v>
      </c>
      <c r="N5289" s="2">
        <f>SUBTOTAL(9,N5288:N5288)</f>
        <v>15</v>
      </c>
      <c r="O5289" s="2">
        <f>SUBTOTAL(9,O5288:O5288)</f>
        <v>117630.46</v>
      </c>
      <c r="P5289" s="2">
        <f>+O5289/N5289</f>
        <v>7842.0306666666675</v>
      </c>
    </row>
    <row r="5290" spans="1:16" outlineLevel="2" x14ac:dyDescent="0.2">
      <c r="A5290" s="5">
        <v>46246</v>
      </c>
      <c r="B5290" s="2">
        <v>161594</v>
      </c>
      <c r="C5290" s="2">
        <v>312</v>
      </c>
      <c r="D5290" s="2" t="s">
        <v>226</v>
      </c>
      <c r="E5290" s="2" t="s">
        <v>67</v>
      </c>
      <c r="F5290" s="2" t="s">
        <v>289</v>
      </c>
      <c r="G5290" s="2" t="s">
        <v>22</v>
      </c>
      <c r="H5290" s="2" t="s">
        <v>23</v>
      </c>
      <c r="I5290" s="2" t="s">
        <v>23</v>
      </c>
      <c r="J5290" s="2">
        <v>2</v>
      </c>
      <c r="K5290" s="2" t="s">
        <v>48</v>
      </c>
      <c r="L5290" s="2">
        <v>801</v>
      </c>
      <c r="M5290" s="2" t="s">
        <v>56</v>
      </c>
      <c r="N5290" s="2">
        <v>2</v>
      </c>
      <c r="O5290" s="2">
        <v>8714.3799999999992</v>
      </c>
      <c r="P5290" s="2">
        <v>4357.1899999999996</v>
      </c>
    </row>
    <row r="5291" spans="1:16" outlineLevel="1" x14ac:dyDescent="0.2">
      <c r="A5291" s="5"/>
      <c r="D5291" s="3" t="s">
        <v>736</v>
      </c>
      <c r="N5291" s="2">
        <f>SUBTOTAL(9,N5290:N5290)</f>
        <v>2</v>
      </c>
      <c r="O5291" s="2">
        <f>SUBTOTAL(9,O5290:O5290)</f>
        <v>8714.3799999999992</v>
      </c>
      <c r="P5291" s="2">
        <f>+O5291/N5291</f>
        <v>4357.1899999999996</v>
      </c>
    </row>
    <row r="5292" spans="1:16" outlineLevel="2" x14ac:dyDescent="0.2">
      <c r="A5292" s="5">
        <v>46251</v>
      </c>
      <c r="B5292" s="2">
        <v>161594</v>
      </c>
      <c r="C5292" s="2">
        <v>321</v>
      </c>
      <c r="D5292" s="2" t="s">
        <v>45</v>
      </c>
      <c r="E5292" s="2" t="s">
        <v>295</v>
      </c>
      <c r="F5292" s="2" t="s">
        <v>55</v>
      </c>
      <c r="G5292" s="2" t="s">
        <v>23</v>
      </c>
      <c r="H5292" s="2" t="s">
        <v>23</v>
      </c>
      <c r="I5292" s="2" t="s">
        <v>23</v>
      </c>
      <c r="J5292" s="2">
        <v>2</v>
      </c>
      <c r="K5292" s="2" t="s">
        <v>48</v>
      </c>
      <c r="L5292" s="2">
        <v>801</v>
      </c>
      <c r="M5292" s="2" t="s">
        <v>56</v>
      </c>
      <c r="N5292" s="2">
        <v>50</v>
      </c>
      <c r="O5292" s="2">
        <v>203231.02</v>
      </c>
      <c r="P5292" s="2">
        <v>4064.62</v>
      </c>
    </row>
    <row r="5293" spans="1:16" outlineLevel="1" x14ac:dyDescent="0.2">
      <c r="A5293" s="5"/>
      <c r="D5293" s="3" t="s">
        <v>733</v>
      </c>
      <c r="N5293" s="2">
        <f>SUBTOTAL(9,N5292:N5292)</f>
        <v>50</v>
      </c>
      <c r="O5293" s="2">
        <f>SUBTOTAL(9,O5292:O5292)</f>
        <v>203231.02</v>
      </c>
      <c r="P5293" s="2">
        <f>+O5293/N5293</f>
        <v>4064.6203999999998</v>
      </c>
    </row>
    <row r="5294" spans="1:16" outlineLevel="2" x14ac:dyDescent="0.2">
      <c r="A5294" s="5">
        <v>46246</v>
      </c>
      <c r="B5294" s="2">
        <v>161600</v>
      </c>
      <c r="C5294" s="2">
        <v>1</v>
      </c>
      <c r="D5294" s="2" t="s">
        <v>70</v>
      </c>
      <c r="E5294" s="2" t="s">
        <v>71</v>
      </c>
      <c r="F5294" s="2" t="s">
        <v>72</v>
      </c>
      <c r="G5294" s="2" t="s">
        <v>22</v>
      </c>
      <c r="H5294" s="2" t="s">
        <v>23</v>
      </c>
      <c r="I5294" s="2" t="s">
        <v>23</v>
      </c>
      <c r="J5294" s="2">
        <v>86</v>
      </c>
      <c r="K5294" s="2" t="s">
        <v>73</v>
      </c>
      <c r="L5294" s="2">
        <v>896</v>
      </c>
      <c r="M5294" s="2" t="s">
        <v>74</v>
      </c>
      <c r="N5294" s="2">
        <v>238</v>
      </c>
      <c r="O5294" s="2">
        <v>3814298.86</v>
      </c>
      <c r="P5294" s="2">
        <v>16026.47</v>
      </c>
    </row>
    <row r="5295" spans="1:16" outlineLevel="1" x14ac:dyDescent="0.2">
      <c r="A5295" s="5"/>
      <c r="D5295" s="3" t="s">
        <v>695</v>
      </c>
      <c r="N5295" s="2">
        <f>SUBTOTAL(9,N5294:N5294)</f>
        <v>238</v>
      </c>
      <c r="O5295" s="2">
        <f>SUBTOTAL(9,O5294:O5294)</f>
        <v>3814298.86</v>
      </c>
      <c r="P5295" s="2">
        <f>+O5295/N5295</f>
        <v>16026.465798319326</v>
      </c>
    </row>
    <row r="5296" spans="1:16" outlineLevel="2" x14ac:dyDescent="0.2">
      <c r="A5296" s="5">
        <v>46251</v>
      </c>
      <c r="B5296" s="2">
        <v>161601</v>
      </c>
      <c r="C5296" s="2">
        <v>2</v>
      </c>
      <c r="D5296" s="2" t="s">
        <v>404</v>
      </c>
      <c r="E5296" s="2" t="s">
        <v>23</v>
      </c>
      <c r="F5296" s="2" t="s">
        <v>405</v>
      </c>
      <c r="G5296" s="2" t="s">
        <v>22</v>
      </c>
      <c r="H5296" s="2" t="s">
        <v>23</v>
      </c>
      <c r="I5296" s="2" t="s">
        <v>23</v>
      </c>
      <c r="J5296" s="2">
        <v>86</v>
      </c>
      <c r="K5296" s="2" t="s">
        <v>73</v>
      </c>
      <c r="L5296" s="2">
        <v>1795</v>
      </c>
      <c r="M5296" s="2" t="s">
        <v>506</v>
      </c>
      <c r="N5296" s="2">
        <v>9</v>
      </c>
      <c r="O5296" s="2">
        <v>34920.910000000003</v>
      </c>
      <c r="P5296" s="2">
        <v>3880.1</v>
      </c>
    </row>
    <row r="5297" spans="1:16" outlineLevel="1" x14ac:dyDescent="0.2">
      <c r="A5297" s="5"/>
      <c r="D5297" s="3" t="s">
        <v>769</v>
      </c>
      <c r="N5297" s="2">
        <f>SUBTOTAL(9,N5296:N5296)</f>
        <v>9</v>
      </c>
      <c r="O5297" s="2">
        <f>SUBTOTAL(9,O5296:O5296)</f>
        <v>34920.910000000003</v>
      </c>
      <c r="P5297" s="2">
        <f>+O5297/N5297</f>
        <v>3880.1011111111115</v>
      </c>
    </row>
    <row r="5298" spans="1:16" outlineLevel="2" x14ac:dyDescent="0.2">
      <c r="A5298" s="5">
        <v>46246</v>
      </c>
      <c r="B5298" s="2">
        <v>161605</v>
      </c>
      <c r="C5298" s="2">
        <v>1</v>
      </c>
      <c r="D5298" s="2" t="s">
        <v>19</v>
      </c>
      <c r="E5298" s="2" t="s">
        <v>20</v>
      </c>
      <c r="F5298" s="2" t="s">
        <v>199</v>
      </c>
      <c r="G5298" s="2" t="s">
        <v>22</v>
      </c>
      <c r="H5298" s="2" t="s">
        <v>23</v>
      </c>
      <c r="I5298" s="2" t="s">
        <v>23</v>
      </c>
      <c r="J5298" s="2">
        <v>39</v>
      </c>
      <c r="K5298" s="2" t="s">
        <v>172</v>
      </c>
      <c r="L5298" s="2">
        <v>1</v>
      </c>
      <c r="M5298" s="2" t="s">
        <v>265</v>
      </c>
      <c r="N5298" s="2">
        <v>262</v>
      </c>
      <c r="O5298" s="2">
        <v>923926.07</v>
      </c>
      <c r="P5298" s="2">
        <v>3526.44</v>
      </c>
    </row>
    <row r="5299" spans="1:16" outlineLevel="1" x14ac:dyDescent="0.2">
      <c r="A5299" s="5"/>
      <c r="D5299" s="3" t="s">
        <v>704</v>
      </c>
      <c r="N5299" s="2">
        <f>SUBTOTAL(9,N5298:N5298)</f>
        <v>262</v>
      </c>
      <c r="O5299" s="2">
        <f>SUBTOTAL(9,O5298:O5298)</f>
        <v>923926.07</v>
      </c>
      <c r="P5299" s="2">
        <f>+O5299/N5299</f>
        <v>3526.4353816793891</v>
      </c>
    </row>
    <row r="5300" spans="1:16" outlineLevel="2" x14ac:dyDescent="0.2">
      <c r="A5300" s="5">
        <v>46246</v>
      </c>
      <c r="B5300" s="2">
        <v>161610</v>
      </c>
      <c r="C5300" s="2">
        <v>1</v>
      </c>
      <c r="D5300" s="2" t="s">
        <v>474</v>
      </c>
      <c r="E5300" s="2" t="s">
        <v>475</v>
      </c>
      <c r="F5300" s="2" t="s">
        <v>47</v>
      </c>
      <c r="G5300" s="2" t="s">
        <v>22</v>
      </c>
      <c r="H5300" s="2" t="s">
        <v>23</v>
      </c>
      <c r="I5300" s="2" t="s">
        <v>23</v>
      </c>
      <c r="J5300" s="2">
        <v>41</v>
      </c>
      <c r="K5300" s="2" t="s">
        <v>129</v>
      </c>
      <c r="L5300" s="2">
        <v>2338</v>
      </c>
      <c r="M5300" s="2" t="s">
        <v>417</v>
      </c>
      <c r="N5300" s="2">
        <v>310</v>
      </c>
      <c r="O5300" s="2">
        <v>324304.96999999997</v>
      </c>
      <c r="P5300" s="2">
        <v>1046.1500000000001</v>
      </c>
    </row>
    <row r="5301" spans="1:16" outlineLevel="1" x14ac:dyDescent="0.2">
      <c r="A5301" s="5"/>
      <c r="D5301" s="3" t="s">
        <v>780</v>
      </c>
      <c r="N5301" s="2">
        <f>SUBTOTAL(9,N5300:N5300)</f>
        <v>310</v>
      </c>
      <c r="O5301" s="2">
        <f>SUBTOTAL(9,O5300:O5300)</f>
        <v>324304.96999999997</v>
      </c>
      <c r="P5301" s="2">
        <f>+O5301/N5301</f>
        <v>1046.145064516129</v>
      </c>
    </row>
    <row r="5302" spans="1:16" outlineLevel="2" x14ac:dyDescent="0.2">
      <c r="A5302" s="5">
        <v>46251</v>
      </c>
      <c r="B5302" s="2">
        <v>161611</v>
      </c>
      <c r="C5302" s="2">
        <v>315</v>
      </c>
      <c r="D5302" s="2" t="s">
        <v>203</v>
      </c>
      <c r="E5302" s="2" t="s">
        <v>125</v>
      </c>
      <c r="F5302" s="2" t="s">
        <v>55</v>
      </c>
      <c r="G5302" s="2" t="s">
        <v>23</v>
      </c>
      <c r="H5302" s="2" t="s">
        <v>23</v>
      </c>
      <c r="I5302" s="2" t="s">
        <v>23</v>
      </c>
      <c r="J5302" s="2">
        <v>2</v>
      </c>
      <c r="K5302" s="2" t="s">
        <v>48</v>
      </c>
      <c r="L5302" s="2">
        <v>626</v>
      </c>
      <c r="M5302" s="2" t="s">
        <v>49</v>
      </c>
      <c r="N5302" s="2">
        <v>31</v>
      </c>
      <c r="O5302" s="2">
        <v>179254.57</v>
      </c>
      <c r="P5302" s="2">
        <v>5782.41</v>
      </c>
    </row>
    <row r="5303" spans="1:16" outlineLevel="1" x14ac:dyDescent="0.2">
      <c r="A5303" s="5"/>
      <c r="D5303" s="3" t="s">
        <v>735</v>
      </c>
      <c r="N5303" s="2">
        <f>SUBTOTAL(9,N5302:N5302)</f>
        <v>31</v>
      </c>
      <c r="O5303" s="2">
        <f>SUBTOTAL(9,O5302:O5302)</f>
        <v>179254.57</v>
      </c>
      <c r="P5303" s="2">
        <f>+O5303/N5303</f>
        <v>5782.4054838709681</v>
      </c>
    </row>
    <row r="5304" spans="1:16" outlineLevel="2" x14ac:dyDescent="0.2">
      <c r="A5304" s="5">
        <v>46248</v>
      </c>
      <c r="B5304" s="2">
        <v>161611</v>
      </c>
      <c r="C5304" s="2">
        <v>501</v>
      </c>
      <c r="D5304" s="2" t="s">
        <v>54</v>
      </c>
      <c r="E5304" s="2" t="s">
        <v>30</v>
      </c>
      <c r="F5304" s="2" t="s">
        <v>289</v>
      </c>
      <c r="G5304" s="2" t="s">
        <v>22</v>
      </c>
      <c r="H5304" s="2" t="s">
        <v>23</v>
      </c>
      <c r="I5304" s="2" t="s">
        <v>23</v>
      </c>
      <c r="J5304" s="2">
        <v>2</v>
      </c>
      <c r="K5304" s="2" t="s">
        <v>48</v>
      </c>
      <c r="L5304" s="2">
        <v>626</v>
      </c>
      <c r="M5304" s="2" t="s">
        <v>49</v>
      </c>
      <c r="N5304" s="2">
        <v>2</v>
      </c>
      <c r="O5304" s="2">
        <v>10581.26</v>
      </c>
      <c r="P5304" s="2">
        <v>5290.63</v>
      </c>
    </row>
    <row r="5305" spans="1:16" outlineLevel="1" x14ac:dyDescent="0.2">
      <c r="A5305" s="5"/>
      <c r="D5305" s="3" t="s">
        <v>719</v>
      </c>
      <c r="N5305" s="2">
        <f>SUBTOTAL(9,N5304:N5304)</f>
        <v>2</v>
      </c>
      <c r="O5305" s="2">
        <f>SUBTOTAL(9,O5304:O5304)</f>
        <v>10581.26</v>
      </c>
      <c r="P5305" s="2">
        <f>+O5305/N5305</f>
        <v>5290.63</v>
      </c>
    </row>
    <row r="5306" spans="1:16" outlineLevel="2" x14ac:dyDescent="0.2">
      <c r="A5306" s="5">
        <v>46248</v>
      </c>
      <c r="B5306" s="2">
        <v>161618</v>
      </c>
      <c r="C5306" s="2">
        <v>1</v>
      </c>
      <c r="D5306" s="2" t="s">
        <v>404</v>
      </c>
      <c r="E5306" s="2" t="s">
        <v>23</v>
      </c>
      <c r="F5306" s="2" t="s">
        <v>405</v>
      </c>
      <c r="G5306" s="2" t="s">
        <v>22</v>
      </c>
      <c r="H5306" s="2" t="s">
        <v>23</v>
      </c>
      <c r="I5306" s="2" t="s">
        <v>23</v>
      </c>
      <c r="J5306" s="2">
        <v>1</v>
      </c>
      <c r="K5306" s="2" t="s">
        <v>24</v>
      </c>
      <c r="L5306" s="2">
        <v>25190</v>
      </c>
      <c r="M5306" s="2" t="s">
        <v>644</v>
      </c>
      <c r="N5306" s="2">
        <v>31</v>
      </c>
      <c r="O5306" s="2">
        <v>683001.65</v>
      </c>
      <c r="P5306" s="2">
        <v>22032.31</v>
      </c>
    </row>
    <row r="5307" spans="1:16" outlineLevel="1" x14ac:dyDescent="0.2">
      <c r="A5307" s="5"/>
      <c r="D5307" s="3" t="s">
        <v>769</v>
      </c>
      <c r="N5307" s="2">
        <f>SUBTOTAL(9,N5306:N5306)</f>
        <v>31</v>
      </c>
      <c r="O5307" s="2">
        <f>SUBTOTAL(9,O5306:O5306)</f>
        <v>683001.65</v>
      </c>
      <c r="P5307" s="2">
        <f>+O5307/N5307</f>
        <v>22032.311290322581</v>
      </c>
    </row>
    <row r="5308" spans="1:16" outlineLevel="2" x14ac:dyDescent="0.2">
      <c r="A5308" s="5">
        <v>46251</v>
      </c>
      <c r="B5308" s="2">
        <v>161624</v>
      </c>
      <c r="C5308" s="2">
        <v>2</v>
      </c>
      <c r="D5308" s="2" t="s">
        <v>203</v>
      </c>
      <c r="E5308" s="2" t="s">
        <v>238</v>
      </c>
      <c r="F5308" s="2" t="s">
        <v>55</v>
      </c>
      <c r="G5308" s="2" t="s">
        <v>23</v>
      </c>
      <c r="H5308" s="2" t="s">
        <v>23</v>
      </c>
      <c r="I5308" s="2" t="s">
        <v>23</v>
      </c>
      <c r="J5308" s="2">
        <v>2</v>
      </c>
      <c r="K5308" s="2" t="s">
        <v>48</v>
      </c>
      <c r="L5308" s="2">
        <v>1974</v>
      </c>
      <c r="M5308" s="2" t="s">
        <v>95</v>
      </c>
      <c r="N5308" s="2">
        <v>2</v>
      </c>
      <c r="O5308" s="2">
        <v>9647.82</v>
      </c>
      <c r="P5308" s="2">
        <v>4823.91</v>
      </c>
    </row>
    <row r="5309" spans="1:16" outlineLevel="2" x14ac:dyDescent="0.2">
      <c r="A5309" s="5">
        <v>46260</v>
      </c>
      <c r="B5309" s="2">
        <v>161624</v>
      </c>
      <c r="C5309" s="2">
        <v>315</v>
      </c>
      <c r="D5309" s="2" t="s">
        <v>203</v>
      </c>
      <c r="E5309" s="2" t="s">
        <v>238</v>
      </c>
      <c r="F5309" s="2" t="s">
        <v>55</v>
      </c>
      <c r="G5309" s="2" t="s">
        <v>23</v>
      </c>
      <c r="H5309" s="2" t="s">
        <v>23</v>
      </c>
      <c r="I5309" s="2" t="s">
        <v>23</v>
      </c>
      <c r="J5309" s="2">
        <v>2</v>
      </c>
      <c r="K5309" s="2" t="s">
        <v>48</v>
      </c>
      <c r="L5309" s="2">
        <v>1974</v>
      </c>
      <c r="M5309" s="2" t="s">
        <v>95</v>
      </c>
      <c r="N5309" s="2">
        <v>1</v>
      </c>
      <c r="O5309" s="2">
        <v>6224.07</v>
      </c>
      <c r="P5309" s="2">
        <v>6224.07</v>
      </c>
    </row>
    <row r="5310" spans="1:16" outlineLevel="1" x14ac:dyDescent="0.2">
      <c r="A5310" s="5"/>
      <c r="D5310" s="3" t="s">
        <v>735</v>
      </c>
      <c r="N5310" s="2">
        <f>SUBTOTAL(9,N5308:N5309)</f>
        <v>3</v>
      </c>
      <c r="O5310" s="2">
        <f>SUBTOTAL(9,O5308:O5309)</f>
        <v>15871.89</v>
      </c>
      <c r="P5310" s="2">
        <f>+O5310/N5310</f>
        <v>5290.63</v>
      </c>
    </row>
    <row r="5311" spans="1:16" outlineLevel="2" x14ac:dyDescent="0.2">
      <c r="A5311" s="5">
        <v>46248</v>
      </c>
      <c r="B5311" s="2">
        <v>161625</v>
      </c>
      <c r="C5311" s="2">
        <v>1</v>
      </c>
      <c r="D5311" s="2" t="s">
        <v>338</v>
      </c>
      <c r="E5311" s="2" t="s">
        <v>615</v>
      </c>
      <c r="F5311" s="2" t="s">
        <v>289</v>
      </c>
      <c r="G5311" s="2" t="s">
        <v>22</v>
      </c>
      <c r="H5311" s="2" t="s">
        <v>23</v>
      </c>
      <c r="I5311" s="2" t="s">
        <v>23</v>
      </c>
      <c r="J5311" s="2">
        <v>1</v>
      </c>
      <c r="K5311" s="2" t="s">
        <v>24</v>
      </c>
      <c r="L5311" s="2">
        <v>25145</v>
      </c>
      <c r="M5311" s="2" t="s">
        <v>678</v>
      </c>
      <c r="N5311" s="2">
        <v>42</v>
      </c>
      <c r="O5311" s="2">
        <v>1296897.97</v>
      </c>
      <c r="P5311" s="2">
        <v>30878.52</v>
      </c>
    </row>
    <row r="5312" spans="1:16" outlineLevel="1" x14ac:dyDescent="0.2">
      <c r="A5312" s="5"/>
      <c r="D5312" s="3" t="s">
        <v>754</v>
      </c>
      <c r="N5312" s="2">
        <f>SUBTOTAL(9,N5311:N5311)</f>
        <v>42</v>
      </c>
      <c r="O5312" s="2">
        <f>SUBTOTAL(9,O5311:O5311)</f>
        <v>1296897.97</v>
      </c>
      <c r="P5312" s="2">
        <f>+O5312/N5312</f>
        <v>30878.523095238095</v>
      </c>
    </row>
    <row r="5313" spans="1:16" outlineLevel="2" x14ac:dyDescent="0.2">
      <c r="A5313" s="5">
        <v>46248</v>
      </c>
      <c r="B5313" s="2">
        <v>161626</v>
      </c>
      <c r="C5313" s="2">
        <v>1</v>
      </c>
      <c r="D5313" s="2" t="s">
        <v>140</v>
      </c>
      <c r="E5313" s="2" t="s">
        <v>23</v>
      </c>
      <c r="F5313" s="2" t="s">
        <v>108</v>
      </c>
      <c r="G5313" s="2" t="s">
        <v>22</v>
      </c>
      <c r="H5313" s="2" t="s">
        <v>23</v>
      </c>
      <c r="I5313" s="2" t="s">
        <v>23</v>
      </c>
      <c r="J5313" s="2">
        <v>1</v>
      </c>
      <c r="K5313" s="2" t="s">
        <v>24</v>
      </c>
      <c r="L5313" s="2">
        <v>1503</v>
      </c>
      <c r="M5313" s="2" t="s">
        <v>603</v>
      </c>
      <c r="N5313" s="2">
        <v>28</v>
      </c>
      <c r="O5313" s="2">
        <v>1438770.32</v>
      </c>
      <c r="P5313" s="2">
        <v>51384.65</v>
      </c>
    </row>
    <row r="5314" spans="1:16" outlineLevel="1" x14ac:dyDescent="0.2">
      <c r="A5314" s="5"/>
      <c r="D5314" s="3" t="s">
        <v>696</v>
      </c>
      <c r="N5314" s="2">
        <f>SUBTOTAL(9,N5313:N5313)</f>
        <v>28</v>
      </c>
      <c r="O5314" s="2">
        <f>SUBTOTAL(9,O5313:O5313)</f>
        <v>1438770.32</v>
      </c>
      <c r="P5314" s="2">
        <f>+O5314/N5314</f>
        <v>51384.654285714285</v>
      </c>
    </row>
    <row r="5315" spans="1:16" outlineLevel="2" x14ac:dyDescent="0.2">
      <c r="A5315" s="5">
        <v>46238</v>
      </c>
      <c r="B5315" s="2">
        <v>161626</v>
      </c>
      <c r="C5315" s="2">
        <v>3</v>
      </c>
      <c r="D5315" s="2" t="s">
        <v>119</v>
      </c>
      <c r="E5315" s="2" t="s">
        <v>151</v>
      </c>
      <c r="F5315" s="2" t="s">
        <v>23</v>
      </c>
      <c r="G5315" s="2" t="s">
        <v>22</v>
      </c>
      <c r="H5315" s="2" t="s">
        <v>23</v>
      </c>
      <c r="I5315" s="2" t="s">
        <v>23</v>
      </c>
      <c r="J5315" s="2">
        <v>1</v>
      </c>
      <c r="K5315" s="2" t="s">
        <v>24</v>
      </c>
      <c r="L5315" s="2">
        <v>2535</v>
      </c>
      <c r="M5315" s="2" t="s">
        <v>628</v>
      </c>
      <c r="N5315" s="2">
        <v>23</v>
      </c>
      <c r="O5315" s="2">
        <v>1065391.21</v>
      </c>
      <c r="P5315" s="2">
        <v>46321.36</v>
      </c>
    </row>
    <row r="5316" spans="1:16" outlineLevel="1" x14ac:dyDescent="0.2">
      <c r="A5316" s="5"/>
      <c r="D5316" s="3" t="s">
        <v>708</v>
      </c>
      <c r="N5316" s="2">
        <f>SUBTOTAL(9,N5315:N5315)</f>
        <v>23</v>
      </c>
      <c r="O5316" s="2">
        <f>SUBTOTAL(9,O5315:O5315)</f>
        <v>1065391.21</v>
      </c>
      <c r="P5316" s="2">
        <f>+O5316/N5316</f>
        <v>46321.35695652174</v>
      </c>
    </row>
    <row r="5317" spans="1:16" outlineLevel="2" x14ac:dyDescent="0.2">
      <c r="A5317" s="5">
        <v>46248</v>
      </c>
      <c r="B5317" s="2">
        <v>161627</v>
      </c>
      <c r="C5317" s="2">
        <v>1</v>
      </c>
      <c r="D5317" s="2" t="s">
        <v>128</v>
      </c>
      <c r="E5317" s="2" t="s">
        <v>23</v>
      </c>
      <c r="F5317" s="2" t="s">
        <v>47</v>
      </c>
      <c r="G5317" s="2" t="s">
        <v>22</v>
      </c>
      <c r="H5317" s="2" t="s">
        <v>23</v>
      </c>
      <c r="I5317" s="2" t="s">
        <v>23</v>
      </c>
      <c r="J5317" s="2">
        <v>41</v>
      </c>
      <c r="K5317" s="2" t="s">
        <v>129</v>
      </c>
      <c r="L5317" s="2">
        <v>25213</v>
      </c>
      <c r="M5317" s="2" t="s">
        <v>130</v>
      </c>
      <c r="N5317" s="2">
        <v>75</v>
      </c>
      <c r="O5317" s="2">
        <v>356752.83</v>
      </c>
      <c r="P5317" s="2">
        <v>4756.7</v>
      </c>
    </row>
    <row r="5318" spans="1:16" outlineLevel="1" x14ac:dyDescent="0.2">
      <c r="A5318" s="5"/>
      <c r="D5318" s="3" t="s">
        <v>732</v>
      </c>
      <c r="N5318" s="2">
        <f>SUBTOTAL(9,N5317:N5317)</f>
        <v>75</v>
      </c>
      <c r="O5318" s="2">
        <f>SUBTOTAL(9,O5317:O5317)</f>
        <v>356752.83</v>
      </c>
      <c r="P5318" s="2">
        <f>+O5318/N5318</f>
        <v>4756.7044000000005</v>
      </c>
    </row>
    <row r="5319" spans="1:16" outlineLevel="2" x14ac:dyDescent="0.2">
      <c r="A5319" s="5">
        <v>46248</v>
      </c>
      <c r="B5319" s="2">
        <v>161627</v>
      </c>
      <c r="C5319" s="2">
        <v>2</v>
      </c>
      <c r="D5319" s="2" t="s">
        <v>207</v>
      </c>
      <c r="E5319" s="2" t="s">
        <v>23</v>
      </c>
      <c r="F5319" s="2" t="s">
        <v>47</v>
      </c>
      <c r="G5319" s="2" t="s">
        <v>22</v>
      </c>
      <c r="H5319" s="2" t="s">
        <v>209</v>
      </c>
      <c r="I5319" s="2" t="s">
        <v>23</v>
      </c>
      <c r="J5319" s="2">
        <v>41</v>
      </c>
      <c r="K5319" s="2" t="s">
        <v>129</v>
      </c>
      <c r="L5319" s="2">
        <v>25213</v>
      </c>
      <c r="M5319" s="2" t="s">
        <v>130</v>
      </c>
      <c r="N5319" s="2">
        <v>72</v>
      </c>
      <c r="O5319" s="2">
        <v>225508.03</v>
      </c>
      <c r="P5319" s="2">
        <v>3132.06</v>
      </c>
    </row>
    <row r="5320" spans="1:16" outlineLevel="2" x14ac:dyDescent="0.2">
      <c r="A5320" s="5">
        <v>46248</v>
      </c>
      <c r="B5320" s="2">
        <v>161627</v>
      </c>
      <c r="C5320" s="2">
        <v>3</v>
      </c>
      <c r="D5320" s="2" t="s">
        <v>207</v>
      </c>
      <c r="E5320" s="2" t="s">
        <v>23</v>
      </c>
      <c r="F5320" s="2" t="s">
        <v>47</v>
      </c>
      <c r="G5320" s="2" t="s">
        <v>22</v>
      </c>
      <c r="H5320" s="2" t="s">
        <v>208</v>
      </c>
      <c r="I5320" s="2" t="s">
        <v>23</v>
      </c>
      <c r="J5320" s="2">
        <v>41</v>
      </c>
      <c r="K5320" s="2" t="s">
        <v>129</v>
      </c>
      <c r="L5320" s="2">
        <v>25213</v>
      </c>
      <c r="M5320" s="2" t="s">
        <v>130</v>
      </c>
      <c r="N5320" s="2">
        <v>75</v>
      </c>
      <c r="O5320" s="2">
        <v>257434.67</v>
      </c>
      <c r="P5320" s="2">
        <v>3432.46</v>
      </c>
    </row>
    <row r="5321" spans="1:16" outlineLevel="1" x14ac:dyDescent="0.2">
      <c r="A5321" s="5"/>
      <c r="D5321" s="3" t="s">
        <v>699</v>
      </c>
      <c r="N5321" s="2">
        <f>SUBTOTAL(9,N5319:N5320)</f>
        <v>147</v>
      </c>
      <c r="O5321" s="2">
        <f>SUBTOTAL(9,O5319:O5320)</f>
        <v>482942.7</v>
      </c>
      <c r="P5321" s="2">
        <f>+O5321/N5321</f>
        <v>3285.3244897959185</v>
      </c>
    </row>
    <row r="5322" spans="1:16" outlineLevel="2" x14ac:dyDescent="0.2">
      <c r="A5322" s="5">
        <v>46248</v>
      </c>
      <c r="B5322" s="2">
        <v>161627</v>
      </c>
      <c r="C5322" s="2">
        <v>4</v>
      </c>
      <c r="D5322" s="2" t="s">
        <v>128</v>
      </c>
      <c r="E5322" s="2" t="s">
        <v>23</v>
      </c>
      <c r="F5322" s="2" t="s">
        <v>47</v>
      </c>
      <c r="G5322" s="2" t="s">
        <v>22</v>
      </c>
      <c r="H5322" s="2" t="s">
        <v>23</v>
      </c>
      <c r="I5322" s="2" t="s">
        <v>23</v>
      </c>
      <c r="J5322" s="2">
        <v>1</v>
      </c>
      <c r="K5322" s="2" t="s">
        <v>24</v>
      </c>
      <c r="L5322" s="2">
        <v>25213</v>
      </c>
      <c r="M5322" s="2" t="s">
        <v>130</v>
      </c>
      <c r="N5322" s="2">
        <v>4</v>
      </c>
      <c r="O5322" s="2">
        <v>364668.04</v>
      </c>
      <c r="P5322" s="2">
        <v>91167.01</v>
      </c>
    </row>
    <row r="5323" spans="1:16" outlineLevel="1" x14ac:dyDescent="0.2">
      <c r="A5323" s="5"/>
      <c r="D5323" s="3" t="s">
        <v>732</v>
      </c>
      <c r="N5323" s="2">
        <f>SUBTOTAL(9,N5322:N5322)</f>
        <v>4</v>
      </c>
      <c r="O5323" s="2">
        <f>SUBTOTAL(9,O5322:O5322)</f>
        <v>364668.04</v>
      </c>
      <c r="P5323" s="2">
        <f>+O5323/N5323</f>
        <v>91167.01</v>
      </c>
    </row>
    <row r="5324" spans="1:16" outlineLevel="2" x14ac:dyDescent="0.2">
      <c r="A5324" s="5">
        <v>46248</v>
      </c>
      <c r="B5324" s="2">
        <v>161627</v>
      </c>
      <c r="C5324" s="2">
        <v>5</v>
      </c>
      <c r="D5324" s="2" t="s">
        <v>207</v>
      </c>
      <c r="E5324" s="2" t="s">
        <v>23</v>
      </c>
      <c r="F5324" s="2" t="s">
        <v>47</v>
      </c>
      <c r="G5324" s="2" t="s">
        <v>210</v>
      </c>
      <c r="H5324" s="2" t="s">
        <v>23</v>
      </c>
      <c r="I5324" s="2" t="s">
        <v>23</v>
      </c>
      <c r="J5324" s="2">
        <v>1</v>
      </c>
      <c r="K5324" s="2" t="s">
        <v>24</v>
      </c>
      <c r="L5324" s="2">
        <v>25213</v>
      </c>
      <c r="M5324" s="2" t="s">
        <v>130</v>
      </c>
      <c r="N5324" s="2">
        <v>4</v>
      </c>
      <c r="O5324" s="2">
        <v>260122.92</v>
      </c>
      <c r="P5324" s="2">
        <v>65030.73</v>
      </c>
    </row>
    <row r="5325" spans="1:16" outlineLevel="2" x14ac:dyDescent="0.2">
      <c r="A5325" s="5">
        <v>46248</v>
      </c>
      <c r="B5325" s="2">
        <v>161627</v>
      </c>
      <c r="C5325" s="2">
        <v>6</v>
      </c>
      <c r="D5325" s="2" t="s">
        <v>207</v>
      </c>
      <c r="E5325" s="2" t="s">
        <v>23</v>
      </c>
      <c r="F5325" s="2" t="s">
        <v>47</v>
      </c>
      <c r="G5325" s="2" t="s">
        <v>22</v>
      </c>
      <c r="H5325" s="2" t="s">
        <v>23</v>
      </c>
      <c r="I5325" s="2" t="s">
        <v>23</v>
      </c>
      <c r="J5325" s="2">
        <v>1</v>
      </c>
      <c r="K5325" s="2" t="s">
        <v>24</v>
      </c>
      <c r="L5325" s="2">
        <v>25213</v>
      </c>
      <c r="M5325" s="2" t="s">
        <v>130</v>
      </c>
      <c r="N5325" s="2">
        <v>8</v>
      </c>
      <c r="O5325" s="2">
        <v>577488.17000000004</v>
      </c>
      <c r="P5325" s="2">
        <v>72186.02</v>
      </c>
    </row>
    <row r="5326" spans="1:16" outlineLevel="1" x14ac:dyDescent="0.2">
      <c r="A5326" s="5"/>
      <c r="D5326" s="3" t="s">
        <v>699</v>
      </c>
      <c r="N5326" s="2">
        <f>SUBTOTAL(9,N5324:N5325)</f>
        <v>12</v>
      </c>
      <c r="O5326" s="2">
        <f>SUBTOTAL(9,O5324:O5325)</f>
        <v>837611.09000000008</v>
      </c>
      <c r="P5326" s="2">
        <f>+O5326/N5326</f>
        <v>69800.924166666679</v>
      </c>
    </row>
    <row r="5327" spans="1:16" outlineLevel="2" x14ac:dyDescent="0.2">
      <c r="A5327" s="5">
        <v>46248</v>
      </c>
      <c r="B5327" s="2">
        <v>161629</v>
      </c>
      <c r="C5327" s="2">
        <v>1</v>
      </c>
      <c r="D5327" s="2" t="s">
        <v>474</v>
      </c>
      <c r="E5327" s="2" t="s">
        <v>475</v>
      </c>
      <c r="F5327" s="2" t="s">
        <v>47</v>
      </c>
      <c r="G5327" s="2" t="s">
        <v>22</v>
      </c>
      <c r="H5327" s="2" t="s">
        <v>23</v>
      </c>
      <c r="I5327" s="2" t="s">
        <v>23</v>
      </c>
      <c r="J5327" s="2">
        <v>41</v>
      </c>
      <c r="K5327" s="2" t="s">
        <v>129</v>
      </c>
      <c r="L5327" s="2">
        <v>2338</v>
      </c>
      <c r="M5327" s="2" t="s">
        <v>417</v>
      </c>
      <c r="N5327" s="2">
        <v>364</v>
      </c>
      <c r="O5327" s="2">
        <v>381974.6</v>
      </c>
      <c r="P5327" s="2">
        <v>1049.3800000000001</v>
      </c>
    </row>
    <row r="5328" spans="1:16" outlineLevel="1" x14ac:dyDescent="0.2">
      <c r="A5328" s="5"/>
      <c r="D5328" s="3" t="s">
        <v>780</v>
      </c>
      <c r="N5328" s="2">
        <f>SUBTOTAL(9,N5327:N5327)</f>
        <v>364</v>
      </c>
      <c r="O5328" s="2">
        <f>SUBTOTAL(9,O5327:O5327)</f>
        <v>381974.6</v>
      </c>
      <c r="P5328" s="2">
        <f>+O5328/N5328</f>
        <v>1049.3807692307691</v>
      </c>
    </row>
    <row r="5329" spans="1:16" outlineLevel="2" x14ac:dyDescent="0.2">
      <c r="A5329" s="5">
        <v>46251</v>
      </c>
      <c r="B5329" s="2">
        <v>161630</v>
      </c>
      <c r="C5329" s="2">
        <v>1</v>
      </c>
      <c r="D5329" s="2" t="s">
        <v>45</v>
      </c>
      <c r="E5329" s="2" t="s">
        <v>46</v>
      </c>
      <c r="F5329" s="2" t="s">
        <v>55</v>
      </c>
      <c r="G5329" s="2" t="s">
        <v>23</v>
      </c>
      <c r="H5329" s="2" t="s">
        <v>23</v>
      </c>
      <c r="I5329" s="2" t="s">
        <v>23</v>
      </c>
      <c r="J5329" s="2">
        <v>2</v>
      </c>
      <c r="K5329" s="2" t="s">
        <v>48</v>
      </c>
      <c r="L5329" s="2">
        <v>626</v>
      </c>
      <c r="M5329" s="2" t="s">
        <v>49</v>
      </c>
      <c r="N5329" s="2">
        <v>6</v>
      </c>
      <c r="O5329" s="2">
        <v>34544.1</v>
      </c>
      <c r="P5329" s="2">
        <v>5757.35</v>
      </c>
    </row>
    <row r="5330" spans="1:16" outlineLevel="2" x14ac:dyDescent="0.2">
      <c r="A5330" s="5">
        <v>46246</v>
      </c>
      <c r="B5330" s="2">
        <v>161646</v>
      </c>
      <c r="C5330" s="2">
        <v>6</v>
      </c>
      <c r="D5330" s="2" t="s">
        <v>45</v>
      </c>
      <c r="E5330" s="2" t="s">
        <v>125</v>
      </c>
      <c r="F5330" s="2" t="s">
        <v>289</v>
      </c>
      <c r="G5330" s="2" t="s">
        <v>22</v>
      </c>
      <c r="H5330" s="2" t="s">
        <v>23</v>
      </c>
      <c r="I5330" s="2" t="s">
        <v>23</v>
      </c>
      <c r="J5330" s="2">
        <v>2</v>
      </c>
      <c r="K5330" s="2" t="s">
        <v>48</v>
      </c>
      <c r="L5330" s="2">
        <v>106</v>
      </c>
      <c r="M5330" s="2" t="s">
        <v>486</v>
      </c>
      <c r="N5330" s="2">
        <v>60</v>
      </c>
      <c r="O5330" s="2">
        <v>1892459.65</v>
      </c>
      <c r="P5330" s="2">
        <v>31540.99</v>
      </c>
    </row>
    <row r="5331" spans="1:16" outlineLevel="2" x14ac:dyDescent="0.2">
      <c r="A5331" s="5">
        <v>46253</v>
      </c>
      <c r="B5331" s="2">
        <v>161646</v>
      </c>
      <c r="C5331" s="2">
        <v>315</v>
      </c>
      <c r="D5331" s="2" t="s">
        <v>45</v>
      </c>
      <c r="E5331" s="2" t="s">
        <v>125</v>
      </c>
      <c r="F5331" s="2" t="s">
        <v>289</v>
      </c>
      <c r="G5331" s="2" t="s">
        <v>22</v>
      </c>
      <c r="H5331" s="2" t="s">
        <v>23</v>
      </c>
      <c r="I5331" s="2" t="s">
        <v>23</v>
      </c>
      <c r="J5331" s="2">
        <v>2</v>
      </c>
      <c r="K5331" s="2" t="s">
        <v>48</v>
      </c>
      <c r="L5331" s="2">
        <v>106</v>
      </c>
      <c r="M5331" s="2" t="s">
        <v>486</v>
      </c>
      <c r="N5331" s="2">
        <v>78</v>
      </c>
      <c r="O5331" s="2">
        <v>397720.34</v>
      </c>
      <c r="P5331" s="2">
        <v>5098.9799999999996</v>
      </c>
    </row>
    <row r="5332" spans="1:16" outlineLevel="1" x14ac:dyDescent="0.2">
      <c r="A5332" s="5"/>
      <c r="D5332" s="3" t="s">
        <v>733</v>
      </c>
      <c r="N5332" s="2">
        <f>SUBTOTAL(9,N5329:N5331)</f>
        <v>144</v>
      </c>
      <c r="O5332" s="2">
        <f>SUBTOTAL(9,O5329:O5331)</f>
        <v>2324724.09</v>
      </c>
      <c r="P5332" s="2">
        <f>+O5332/N5332</f>
        <v>16143.917291666665</v>
      </c>
    </row>
    <row r="5333" spans="1:16" outlineLevel="2" x14ac:dyDescent="0.2">
      <c r="A5333" s="5">
        <v>46260</v>
      </c>
      <c r="B5333" s="2">
        <v>161646</v>
      </c>
      <c r="C5333" s="2">
        <v>316</v>
      </c>
      <c r="D5333" s="2" t="s">
        <v>406</v>
      </c>
      <c r="E5333" s="2" t="s">
        <v>125</v>
      </c>
      <c r="F5333" s="2" t="s">
        <v>289</v>
      </c>
      <c r="G5333" s="2" t="s">
        <v>22</v>
      </c>
      <c r="H5333" s="2" t="s">
        <v>23</v>
      </c>
      <c r="I5333" s="2" t="s">
        <v>23</v>
      </c>
      <c r="J5333" s="2">
        <v>2</v>
      </c>
      <c r="K5333" s="2" t="s">
        <v>48</v>
      </c>
      <c r="L5333" s="2">
        <v>106</v>
      </c>
      <c r="M5333" s="2" t="s">
        <v>486</v>
      </c>
      <c r="N5333" s="2">
        <v>37</v>
      </c>
      <c r="O5333" s="2">
        <v>347590.55</v>
      </c>
      <c r="P5333" s="2">
        <v>9394.34</v>
      </c>
    </row>
    <row r="5334" spans="1:16" outlineLevel="1" x14ac:dyDescent="0.2">
      <c r="A5334" s="5"/>
      <c r="D5334" s="3" t="s">
        <v>770</v>
      </c>
      <c r="N5334" s="2">
        <f>SUBTOTAL(9,N5333:N5333)</f>
        <v>37</v>
      </c>
      <c r="O5334" s="2">
        <f>SUBTOTAL(9,O5333:O5333)</f>
        <v>347590.55</v>
      </c>
      <c r="P5334" s="2">
        <f>+O5334/N5334</f>
        <v>9394.3391891891897</v>
      </c>
    </row>
    <row r="5335" spans="1:16" outlineLevel="2" x14ac:dyDescent="0.2">
      <c r="A5335" s="5">
        <v>46246</v>
      </c>
      <c r="B5335" s="2">
        <v>161679</v>
      </c>
      <c r="C5335" s="2">
        <v>3</v>
      </c>
      <c r="D5335" s="2" t="s">
        <v>45</v>
      </c>
      <c r="E5335" s="2" t="s">
        <v>295</v>
      </c>
      <c r="F5335" s="2" t="s">
        <v>289</v>
      </c>
      <c r="G5335" s="2" t="s">
        <v>22</v>
      </c>
      <c r="H5335" s="2" t="s">
        <v>23</v>
      </c>
      <c r="I5335" s="2" t="s">
        <v>23</v>
      </c>
      <c r="J5335" s="2">
        <v>41</v>
      </c>
      <c r="K5335" s="2" t="s">
        <v>129</v>
      </c>
      <c r="L5335" s="2">
        <v>801</v>
      </c>
      <c r="M5335" s="2" t="s">
        <v>56</v>
      </c>
      <c r="N5335" s="2">
        <v>20</v>
      </c>
      <c r="O5335" s="2">
        <v>356887.7</v>
      </c>
      <c r="P5335" s="2">
        <v>17844.39</v>
      </c>
    </row>
    <row r="5336" spans="1:16" outlineLevel="2" x14ac:dyDescent="0.2">
      <c r="A5336" s="5">
        <v>46246</v>
      </c>
      <c r="B5336" s="2">
        <v>161679</v>
      </c>
      <c r="C5336" s="2">
        <v>6</v>
      </c>
      <c r="D5336" s="2" t="s">
        <v>45</v>
      </c>
      <c r="E5336" s="2" t="s">
        <v>558</v>
      </c>
      <c r="F5336" s="2" t="s">
        <v>289</v>
      </c>
      <c r="G5336" s="2" t="s">
        <v>22</v>
      </c>
      <c r="H5336" s="2" t="s">
        <v>23</v>
      </c>
      <c r="I5336" s="2" t="s">
        <v>23</v>
      </c>
      <c r="J5336" s="2">
        <v>41</v>
      </c>
      <c r="K5336" s="2" t="s">
        <v>129</v>
      </c>
      <c r="L5336" s="2">
        <v>801</v>
      </c>
      <c r="M5336" s="2" t="s">
        <v>56</v>
      </c>
      <c r="N5336" s="2">
        <v>12</v>
      </c>
      <c r="O5336" s="2">
        <v>270711.06</v>
      </c>
      <c r="P5336" s="2">
        <v>22559.26</v>
      </c>
    </row>
    <row r="5337" spans="1:16" outlineLevel="1" x14ac:dyDescent="0.2">
      <c r="A5337" s="5"/>
      <c r="D5337" s="3" t="s">
        <v>733</v>
      </c>
      <c r="N5337" s="2">
        <f>SUBTOTAL(9,N5335:N5336)</f>
        <v>32</v>
      </c>
      <c r="O5337" s="2">
        <f>SUBTOTAL(9,O5335:O5336)</f>
        <v>627598.76</v>
      </c>
      <c r="P5337" s="2">
        <f>+O5337/N5337</f>
        <v>19612.46125</v>
      </c>
    </row>
    <row r="5338" spans="1:16" outlineLevel="2" x14ac:dyDescent="0.2">
      <c r="A5338" s="5">
        <v>46246</v>
      </c>
      <c r="B5338" s="2">
        <v>161679</v>
      </c>
      <c r="C5338" s="2">
        <v>8</v>
      </c>
      <c r="D5338" s="2" t="s">
        <v>226</v>
      </c>
      <c r="E5338" s="2" t="s">
        <v>83</v>
      </c>
      <c r="F5338" s="2" t="s">
        <v>289</v>
      </c>
      <c r="G5338" s="2" t="s">
        <v>22</v>
      </c>
      <c r="H5338" s="2" t="s">
        <v>23</v>
      </c>
      <c r="I5338" s="2" t="s">
        <v>23</v>
      </c>
      <c r="J5338" s="2">
        <v>41</v>
      </c>
      <c r="K5338" s="2" t="s">
        <v>129</v>
      </c>
      <c r="L5338" s="2">
        <v>801</v>
      </c>
      <c r="M5338" s="2" t="s">
        <v>56</v>
      </c>
      <c r="N5338" s="2">
        <v>4</v>
      </c>
      <c r="O5338" s="2">
        <v>84012.96</v>
      </c>
      <c r="P5338" s="2">
        <v>21003.24</v>
      </c>
    </row>
    <row r="5339" spans="1:16" outlineLevel="2" x14ac:dyDescent="0.2">
      <c r="A5339" s="5">
        <v>46246</v>
      </c>
      <c r="B5339" s="2">
        <v>161679</v>
      </c>
      <c r="C5339" s="2">
        <v>14</v>
      </c>
      <c r="D5339" s="2" t="s">
        <v>226</v>
      </c>
      <c r="E5339" s="2" t="s">
        <v>651</v>
      </c>
      <c r="F5339" s="2" t="s">
        <v>289</v>
      </c>
      <c r="G5339" s="2" t="s">
        <v>22</v>
      </c>
      <c r="H5339" s="2" t="s">
        <v>23</v>
      </c>
      <c r="I5339" s="2" t="s">
        <v>23</v>
      </c>
      <c r="J5339" s="2">
        <v>41</v>
      </c>
      <c r="K5339" s="2" t="s">
        <v>129</v>
      </c>
      <c r="L5339" s="2">
        <v>801</v>
      </c>
      <c r="M5339" s="2" t="s">
        <v>56</v>
      </c>
      <c r="N5339" s="2">
        <v>37</v>
      </c>
      <c r="O5339" s="2">
        <v>772618.72</v>
      </c>
      <c r="P5339" s="2">
        <v>20881.59</v>
      </c>
    </row>
    <row r="5340" spans="1:16" outlineLevel="2" x14ac:dyDescent="0.2">
      <c r="A5340" s="5">
        <v>46246</v>
      </c>
      <c r="B5340" s="2">
        <v>161679</v>
      </c>
      <c r="C5340" s="2">
        <v>17</v>
      </c>
      <c r="D5340" s="2" t="s">
        <v>226</v>
      </c>
      <c r="E5340" s="2" t="s">
        <v>640</v>
      </c>
      <c r="F5340" s="2" t="s">
        <v>289</v>
      </c>
      <c r="G5340" s="2" t="s">
        <v>22</v>
      </c>
      <c r="H5340" s="2" t="s">
        <v>23</v>
      </c>
      <c r="I5340" s="2" t="s">
        <v>23</v>
      </c>
      <c r="J5340" s="2">
        <v>41</v>
      </c>
      <c r="K5340" s="2" t="s">
        <v>129</v>
      </c>
      <c r="L5340" s="2">
        <v>801</v>
      </c>
      <c r="M5340" s="2" t="s">
        <v>56</v>
      </c>
      <c r="N5340" s="2">
        <v>12</v>
      </c>
      <c r="O5340" s="2">
        <v>245508.23</v>
      </c>
      <c r="P5340" s="2">
        <v>20459.02</v>
      </c>
    </row>
    <row r="5341" spans="1:16" outlineLevel="1" x14ac:dyDescent="0.2">
      <c r="A5341" s="5"/>
      <c r="D5341" s="3" t="s">
        <v>736</v>
      </c>
      <c r="N5341" s="2">
        <f>SUBTOTAL(9,N5338:N5340)</f>
        <v>53</v>
      </c>
      <c r="O5341" s="2">
        <f>SUBTOTAL(9,O5338:O5340)</f>
        <v>1102139.9099999999</v>
      </c>
      <c r="P5341" s="2">
        <f>+O5341/N5341</f>
        <v>20795.092641509433</v>
      </c>
    </row>
    <row r="5342" spans="1:16" outlineLevel="2" x14ac:dyDescent="0.2">
      <c r="A5342" s="5">
        <v>46255</v>
      </c>
      <c r="B5342" s="2">
        <v>161679</v>
      </c>
      <c r="C5342" s="2">
        <v>315</v>
      </c>
      <c r="D5342" s="2" t="s">
        <v>45</v>
      </c>
      <c r="E5342" s="2" t="s">
        <v>228</v>
      </c>
      <c r="F5342" s="2" t="s">
        <v>289</v>
      </c>
      <c r="G5342" s="2" t="s">
        <v>22</v>
      </c>
      <c r="H5342" s="2" t="s">
        <v>23</v>
      </c>
      <c r="I5342" s="2" t="s">
        <v>23</v>
      </c>
      <c r="J5342" s="2">
        <v>2</v>
      </c>
      <c r="K5342" s="2" t="s">
        <v>48</v>
      </c>
      <c r="L5342" s="2">
        <v>801</v>
      </c>
      <c r="M5342" s="2" t="s">
        <v>56</v>
      </c>
      <c r="N5342" s="2">
        <v>2</v>
      </c>
      <c r="O5342" s="2">
        <v>32050.35</v>
      </c>
      <c r="P5342" s="2">
        <v>16025.18</v>
      </c>
    </row>
    <row r="5343" spans="1:16" outlineLevel="1" x14ac:dyDescent="0.2">
      <c r="A5343" s="5"/>
      <c r="D5343" s="3" t="s">
        <v>733</v>
      </c>
      <c r="N5343" s="2">
        <f>SUBTOTAL(9,N5342:N5342)</f>
        <v>2</v>
      </c>
      <c r="O5343" s="2">
        <f>SUBTOTAL(9,O5342:O5342)</f>
        <v>32050.35</v>
      </c>
      <c r="P5343" s="2">
        <f>+O5343/N5343</f>
        <v>16025.174999999999</v>
      </c>
    </row>
    <row r="5344" spans="1:16" outlineLevel="2" x14ac:dyDescent="0.2">
      <c r="A5344" s="5">
        <v>46260</v>
      </c>
      <c r="B5344" s="2">
        <v>161679</v>
      </c>
      <c r="C5344" s="2">
        <v>320</v>
      </c>
      <c r="D5344" s="2" t="s">
        <v>406</v>
      </c>
      <c r="E5344" s="2" t="s">
        <v>295</v>
      </c>
      <c r="F5344" s="2" t="s">
        <v>289</v>
      </c>
      <c r="G5344" s="2" t="s">
        <v>22</v>
      </c>
      <c r="H5344" s="2" t="s">
        <v>23</v>
      </c>
      <c r="I5344" s="2" t="s">
        <v>23</v>
      </c>
      <c r="J5344" s="2">
        <v>2</v>
      </c>
      <c r="K5344" s="2" t="s">
        <v>48</v>
      </c>
      <c r="L5344" s="2">
        <v>801</v>
      </c>
      <c r="M5344" s="2" t="s">
        <v>56</v>
      </c>
      <c r="N5344" s="2">
        <v>1</v>
      </c>
      <c r="O5344" s="2">
        <v>18358.77</v>
      </c>
      <c r="P5344" s="2">
        <v>18358.77</v>
      </c>
    </row>
    <row r="5345" spans="1:16" outlineLevel="1" x14ac:dyDescent="0.2">
      <c r="A5345" s="5"/>
      <c r="D5345" s="3" t="s">
        <v>770</v>
      </c>
      <c r="N5345" s="2">
        <f>SUBTOTAL(9,N5344:N5344)</f>
        <v>1</v>
      </c>
      <c r="O5345" s="2">
        <f>SUBTOTAL(9,O5344:O5344)</f>
        <v>18358.77</v>
      </c>
      <c r="P5345" s="2">
        <f>+O5345/N5345</f>
        <v>18358.77</v>
      </c>
    </row>
    <row r="5346" spans="1:16" outlineLevel="2" x14ac:dyDescent="0.2">
      <c r="A5346" s="5">
        <v>46251</v>
      </c>
      <c r="B5346" s="2">
        <v>161689</v>
      </c>
      <c r="C5346" s="2">
        <v>1</v>
      </c>
      <c r="D5346" s="2" t="s">
        <v>618</v>
      </c>
      <c r="E5346" s="2" t="s">
        <v>657</v>
      </c>
      <c r="F5346" s="2" t="s">
        <v>40</v>
      </c>
      <c r="G5346" s="2" t="s">
        <v>22</v>
      </c>
      <c r="H5346" s="2" t="s">
        <v>23</v>
      </c>
      <c r="I5346" s="2" t="s">
        <v>23</v>
      </c>
      <c r="J5346" s="2">
        <v>5</v>
      </c>
      <c r="K5346" s="2" t="s">
        <v>27</v>
      </c>
      <c r="L5346" s="2">
        <v>2521</v>
      </c>
      <c r="M5346" s="2" t="s">
        <v>82</v>
      </c>
      <c r="N5346" s="2">
        <v>226</v>
      </c>
      <c r="O5346" s="2">
        <v>7024644.3799999999</v>
      </c>
      <c r="P5346" s="2">
        <v>31082.5</v>
      </c>
    </row>
    <row r="5347" spans="1:16" outlineLevel="1" x14ac:dyDescent="0.2">
      <c r="A5347" s="5"/>
      <c r="D5347" s="3" t="s">
        <v>804</v>
      </c>
      <c r="N5347" s="2">
        <f>SUBTOTAL(9,N5346:N5346)</f>
        <v>226</v>
      </c>
      <c r="O5347" s="2">
        <f>SUBTOTAL(9,O5346:O5346)</f>
        <v>7024644.3799999999</v>
      </c>
      <c r="P5347" s="2">
        <f>+O5347/N5347</f>
        <v>31082.497256637169</v>
      </c>
    </row>
    <row r="5348" spans="1:16" outlineLevel="2" x14ac:dyDescent="0.2">
      <c r="A5348" s="5">
        <v>46251</v>
      </c>
      <c r="B5348" s="2">
        <v>161690</v>
      </c>
      <c r="C5348" s="2">
        <v>1</v>
      </c>
      <c r="D5348" s="2" t="s">
        <v>679</v>
      </c>
      <c r="E5348" s="2" t="s">
        <v>39</v>
      </c>
      <c r="F5348" s="2" t="s">
        <v>40</v>
      </c>
      <c r="G5348" s="2" t="s">
        <v>407</v>
      </c>
      <c r="H5348" s="2" t="s">
        <v>23</v>
      </c>
      <c r="I5348" s="2" t="s">
        <v>184</v>
      </c>
      <c r="J5348" s="2">
        <v>40</v>
      </c>
      <c r="K5348" s="2" t="s">
        <v>43</v>
      </c>
      <c r="L5348" s="2">
        <v>25243</v>
      </c>
      <c r="M5348" s="2" t="s">
        <v>617</v>
      </c>
      <c r="N5348" s="2">
        <v>552</v>
      </c>
      <c r="O5348" s="2">
        <v>26280468.809999999</v>
      </c>
      <c r="P5348" s="2">
        <v>47609.54</v>
      </c>
    </row>
    <row r="5349" spans="1:16" outlineLevel="2" x14ac:dyDescent="0.2">
      <c r="A5349" s="5">
        <v>46251</v>
      </c>
      <c r="B5349" s="2">
        <v>161690</v>
      </c>
      <c r="C5349" s="2">
        <v>2</v>
      </c>
      <c r="D5349" s="2" t="s">
        <v>679</v>
      </c>
      <c r="E5349" s="2" t="s">
        <v>39</v>
      </c>
      <c r="F5349" s="2" t="s">
        <v>40</v>
      </c>
      <c r="G5349" s="2" t="s">
        <v>407</v>
      </c>
      <c r="H5349" s="2" t="s">
        <v>23</v>
      </c>
      <c r="I5349" s="2" t="s">
        <v>614</v>
      </c>
      <c r="J5349" s="2">
        <v>40</v>
      </c>
      <c r="K5349" s="2" t="s">
        <v>43</v>
      </c>
      <c r="L5349" s="2">
        <v>25243</v>
      </c>
      <c r="M5349" s="2" t="s">
        <v>617</v>
      </c>
      <c r="N5349" s="2">
        <v>528</v>
      </c>
      <c r="O5349" s="2">
        <v>24031906.699999999</v>
      </c>
      <c r="P5349" s="2">
        <v>45514.97</v>
      </c>
    </row>
    <row r="5350" spans="1:16" outlineLevel="2" x14ac:dyDescent="0.2">
      <c r="A5350" s="5">
        <v>46251</v>
      </c>
      <c r="B5350" s="2">
        <v>161690</v>
      </c>
      <c r="C5350" s="2">
        <v>3</v>
      </c>
      <c r="D5350" s="2" t="s">
        <v>679</v>
      </c>
      <c r="E5350" s="2" t="s">
        <v>39</v>
      </c>
      <c r="F5350" s="2" t="s">
        <v>40</v>
      </c>
      <c r="G5350" s="2" t="s">
        <v>407</v>
      </c>
      <c r="H5350" s="2" t="s">
        <v>23</v>
      </c>
      <c r="I5350" s="2" t="s">
        <v>445</v>
      </c>
      <c r="J5350" s="2">
        <v>40</v>
      </c>
      <c r="K5350" s="2" t="s">
        <v>43</v>
      </c>
      <c r="L5350" s="2">
        <v>25243</v>
      </c>
      <c r="M5350" s="2" t="s">
        <v>617</v>
      </c>
      <c r="N5350" s="2">
        <v>263</v>
      </c>
      <c r="O5350" s="2">
        <v>11148628.77</v>
      </c>
      <c r="P5350" s="2">
        <v>42390.22</v>
      </c>
    </row>
    <row r="5351" spans="1:16" outlineLevel="1" x14ac:dyDescent="0.2">
      <c r="A5351" s="5"/>
      <c r="D5351" s="3" t="s">
        <v>810</v>
      </c>
      <c r="N5351" s="2">
        <f>SUBTOTAL(9,N5348:N5350)</f>
        <v>1343</v>
      </c>
      <c r="O5351" s="2">
        <f>SUBTOTAL(9,O5348:O5350)</f>
        <v>61461004.280000001</v>
      </c>
      <c r="P5351" s="2">
        <f>+O5351/N5351</f>
        <v>45763.964467609832</v>
      </c>
    </row>
    <row r="5352" spans="1:16" outlineLevel="2" x14ac:dyDescent="0.2">
      <c r="A5352" s="5">
        <v>46251</v>
      </c>
      <c r="B5352" s="2">
        <v>161722</v>
      </c>
      <c r="C5352" s="2">
        <v>1</v>
      </c>
      <c r="D5352" s="2" t="s">
        <v>81</v>
      </c>
      <c r="E5352" s="2" t="s">
        <v>23</v>
      </c>
      <c r="F5352" s="2" t="s">
        <v>40</v>
      </c>
      <c r="G5352" s="2" t="s">
        <v>22</v>
      </c>
      <c r="H5352" s="2" t="s">
        <v>23</v>
      </c>
      <c r="I5352" s="2" t="s">
        <v>23</v>
      </c>
      <c r="J5352" s="2">
        <v>1</v>
      </c>
      <c r="K5352" s="2" t="s">
        <v>24</v>
      </c>
      <c r="L5352" s="2">
        <v>2521</v>
      </c>
      <c r="M5352" s="2" t="s">
        <v>82</v>
      </c>
      <c r="N5352" s="2">
        <v>160</v>
      </c>
      <c r="O5352" s="2">
        <v>7010182.9100000001</v>
      </c>
      <c r="P5352" s="2">
        <v>43813.64</v>
      </c>
    </row>
    <row r="5353" spans="1:16" outlineLevel="1" x14ac:dyDescent="0.2">
      <c r="A5353" s="5"/>
      <c r="D5353" s="3" t="s">
        <v>693</v>
      </c>
      <c r="N5353" s="2">
        <f>SUBTOTAL(9,N5352:N5352)</f>
        <v>160</v>
      </c>
      <c r="O5353" s="2">
        <f>SUBTOTAL(9,O5352:O5352)</f>
        <v>7010182.9100000001</v>
      </c>
      <c r="P5353" s="2">
        <f>+O5353/N5353</f>
        <v>43813.643187499998</v>
      </c>
    </row>
    <row r="5354" spans="1:16" outlineLevel="2" x14ac:dyDescent="0.2">
      <c r="A5354" s="5">
        <v>46251</v>
      </c>
      <c r="B5354" s="2">
        <v>161722</v>
      </c>
      <c r="C5354" s="2">
        <v>2</v>
      </c>
      <c r="D5354" s="2" t="s">
        <v>131</v>
      </c>
      <c r="E5354" s="2" t="s">
        <v>132</v>
      </c>
      <c r="F5354" s="2" t="s">
        <v>40</v>
      </c>
      <c r="G5354" s="2" t="s">
        <v>22</v>
      </c>
      <c r="H5354" s="2" t="s">
        <v>23</v>
      </c>
      <c r="I5354" s="2" t="s">
        <v>23</v>
      </c>
      <c r="J5354" s="2">
        <v>1</v>
      </c>
      <c r="K5354" s="2" t="s">
        <v>24</v>
      </c>
      <c r="L5354" s="2">
        <v>2521</v>
      </c>
      <c r="M5354" s="2" t="s">
        <v>82</v>
      </c>
      <c r="N5354" s="2">
        <v>216</v>
      </c>
      <c r="O5354" s="2">
        <v>8213611.7599999998</v>
      </c>
      <c r="P5354" s="2">
        <v>38025.980000000003</v>
      </c>
    </row>
    <row r="5355" spans="1:16" outlineLevel="1" x14ac:dyDescent="0.2">
      <c r="A5355" s="5"/>
      <c r="D5355" s="3" t="s">
        <v>713</v>
      </c>
      <c r="N5355" s="2">
        <f>SUBTOTAL(9,N5354:N5354)</f>
        <v>216</v>
      </c>
      <c r="O5355" s="2">
        <f>SUBTOTAL(9,O5354:O5354)</f>
        <v>8213611.7599999998</v>
      </c>
      <c r="P5355" s="2">
        <f>+O5355/N5355</f>
        <v>38025.980370370373</v>
      </c>
    </row>
    <row r="5356" spans="1:16" outlineLevel="2" x14ac:dyDescent="0.2">
      <c r="A5356" s="5">
        <v>46251</v>
      </c>
      <c r="B5356" s="2">
        <v>161723</v>
      </c>
      <c r="C5356" s="2">
        <v>2</v>
      </c>
      <c r="D5356" s="2" t="s">
        <v>679</v>
      </c>
      <c r="E5356" s="2" t="s">
        <v>39</v>
      </c>
      <c r="F5356" s="2" t="s">
        <v>40</v>
      </c>
      <c r="G5356" s="2" t="s">
        <v>41</v>
      </c>
      <c r="H5356" s="2" t="s">
        <v>23</v>
      </c>
      <c r="I5356" s="2" t="s">
        <v>184</v>
      </c>
      <c r="J5356" s="2">
        <v>40</v>
      </c>
      <c r="K5356" s="2" t="s">
        <v>43</v>
      </c>
      <c r="L5356" s="2">
        <v>25243</v>
      </c>
      <c r="M5356" s="2" t="s">
        <v>617</v>
      </c>
      <c r="N5356" s="2">
        <v>88</v>
      </c>
      <c r="O5356" s="2">
        <v>3258425.28</v>
      </c>
      <c r="P5356" s="2">
        <v>37027.56</v>
      </c>
    </row>
    <row r="5357" spans="1:16" outlineLevel="1" x14ac:dyDescent="0.2">
      <c r="A5357" s="5"/>
      <c r="D5357" s="3" t="s">
        <v>810</v>
      </c>
      <c r="N5357" s="2">
        <f>SUBTOTAL(9,N5356:N5356)</f>
        <v>88</v>
      </c>
      <c r="O5357" s="2">
        <f>SUBTOTAL(9,O5356:O5356)</f>
        <v>3258425.28</v>
      </c>
      <c r="P5357" s="2">
        <f>+O5357/N5357</f>
        <v>37027.56</v>
      </c>
    </row>
    <row r="5358" spans="1:16" outlineLevel="2" x14ac:dyDescent="0.2">
      <c r="A5358" s="5">
        <v>46251</v>
      </c>
      <c r="B5358" s="2">
        <v>161724</v>
      </c>
      <c r="C5358" s="2">
        <v>1</v>
      </c>
      <c r="D5358" s="2" t="s">
        <v>175</v>
      </c>
      <c r="E5358" s="2" t="s">
        <v>469</v>
      </c>
      <c r="F5358" s="2" t="s">
        <v>40</v>
      </c>
      <c r="G5358" s="2" t="s">
        <v>22</v>
      </c>
      <c r="H5358" s="2" t="s">
        <v>23</v>
      </c>
      <c r="I5358" s="2" t="s">
        <v>23</v>
      </c>
      <c r="J5358" s="2">
        <v>5</v>
      </c>
      <c r="K5358" s="2" t="s">
        <v>27</v>
      </c>
      <c r="L5358" s="2">
        <v>2521</v>
      </c>
      <c r="M5358" s="2" t="s">
        <v>82</v>
      </c>
      <c r="N5358" s="2">
        <v>116</v>
      </c>
      <c r="O5358" s="2">
        <v>3314588.69</v>
      </c>
      <c r="P5358" s="2">
        <v>28574.04</v>
      </c>
    </row>
    <row r="5359" spans="1:16" outlineLevel="1" x14ac:dyDescent="0.2">
      <c r="A5359" s="5"/>
      <c r="D5359" s="3" t="s">
        <v>725</v>
      </c>
      <c r="N5359" s="2">
        <f>SUBTOTAL(9,N5358:N5358)</f>
        <v>116</v>
      </c>
      <c r="O5359" s="2">
        <f>SUBTOTAL(9,O5358:O5358)</f>
        <v>3314588.69</v>
      </c>
      <c r="P5359" s="2">
        <f>+O5359/N5359</f>
        <v>28574.040431034482</v>
      </c>
    </row>
    <row r="5360" spans="1:16" outlineLevel="2" x14ac:dyDescent="0.2">
      <c r="A5360" s="5">
        <v>46248</v>
      </c>
      <c r="B5360" s="2">
        <v>161728</v>
      </c>
      <c r="C5360" s="2">
        <v>8</v>
      </c>
      <c r="D5360" s="2" t="s">
        <v>45</v>
      </c>
      <c r="E5360" s="2" t="s">
        <v>228</v>
      </c>
      <c r="F5360" s="2" t="s">
        <v>289</v>
      </c>
      <c r="G5360" s="2" t="s">
        <v>22</v>
      </c>
      <c r="H5360" s="2" t="s">
        <v>23</v>
      </c>
      <c r="I5360" s="2" t="s">
        <v>680</v>
      </c>
      <c r="J5360" s="2">
        <v>41</v>
      </c>
      <c r="K5360" s="2" t="s">
        <v>129</v>
      </c>
      <c r="L5360" s="2">
        <v>801</v>
      </c>
      <c r="M5360" s="2" t="s">
        <v>56</v>
      </c>
      <c r="N5360" s="2">
        <v>15</v>
      </c>
      <c r="O5360" s="2">
        <v>271647.96000000002</v>
      </c>
      <c r="P5360" s="2">
        <v>18109.86</v>
      </c>
    </row>
    <row r="5361" spans="1:16" outlineLevel="1" x14ac:dyDescent="0.2">
      <c r="A5361" s="5"/>
      <c r="D5361" s="3" t="s">
        <v>733</v>
      </c>
      <c r="N5361" s="2">
        <f>SUBTOTAL(9,N5360:N5360)</f>
        <v>15</v>
      </c>
      <c r="O5361" s="2">
        <f>SUBTOTAL(9,O5360:O5360)</f>
        <v>271647.96000000002</v>
      </c>
      <c r="P5361" s="2">
        <f>+O5361/N5361</f>
        <v>18109.864000000001</v>
      </c>
    </row>
    <row r="5362" spans="1:16" outlineLevel="2" x14ac:dyDescent="0.2">
      <c r="A5362" s="5">
        <v>46248</v>
      </c>
      <c r="B5362" s="2">
        <v>161728</v>
      </c>
      <c r="C5362" s="2">
        <v>9</v>
      </c>
      <c r="D5362" s="2" t="s">
        <v>226</v>
      </c>
      <c r="E5362" s="2" t="s">
        <v>83</v>
      </c>
      <c r="F5362" s="2" t="s">
        <v>289</v>
      </c>
      <c r="G5362" s="2" t="s">
        <v>22</v>
      </c>
      <c r="H5362" s="2" t="s">
        <v>23</v>
      </c>
      <c r="I5362" s="2" t="s">
        <v>23</v>
      </c>
      <c r="J5362" s="2">
        <v>41</v>
      </c>
      <c r="K5362" s="2" t="s">
        <v>129</v>
      </c>
      <c r="L5362" s="2">
        <v>801</v>
      </c>
      <c r="M5362" s="2" t="s">
        <v>56</v>
      </c>
      <c r="N5362" s="2">
        <v>26</v>
      </c>
      <c r="O5362" s="2">
        <v>436876.74</v>
      </c>
      <c r="P5362" s="2">
        <v>16802.95</v>
      </c>
    </row>
    <row r="5363" spans="1:16" outlineLevel="2" x14ac:dyDescent="0.2">
      <c r="A5363" s="5">
        <v>46248</v>
      </c>
      <c r="B5363" s="2">
        <v>161728</v>
      </c>
      <c r="C5363" s="2">
        <v>10</v>
      </c>
      <c r="D5363" s="2" t="s">
        <v>226</v>
      </c>
      <c r="E5363" s="2" t="s">
        <v>544</v>
      </c>
      <c r="F5363" s="2" t="s">
        <v>289</v>
      </c>
      <c r="G5363" s="2" t="s">
        <v>22</v>
      </c>
      <c r="H5363" s="2" t="s">
        <v>23</v>
      </c>
      <c r="I5363" s="2" t="s">
        <v>23</v>
      </c>
      <c r="J5363" s="2">
        <v>41</v>
      </c>
      <c r="K5363" s="2" t="s">
        <v>129</v>
      </c>
      <c r="L5363" s="2">
        <v>801</v>
      </c>
      <c r="M5363" s="2" t="s">
        <v>56</v>
      </c>
      <c r="N5363" s="2">
        <v>11</v>
      </c>
      <c r="O5363" s="2">
        <v>207547.15</v>
      </c>
      <c r="P5363" s="2">
        <v>18867.919999999998</v>
      </c>
    </row>
    <row r="5364" spans="1:16" outlineLevel="2" x14ac:dyDescent="0.2">
      <c r="A5364" s="5">
        <v>46248</v>
      </c>
      <c r="B5364" s="2">
        <v>161728</v>
      </c>
      <c r="C5364" s="2">
        <v>14</v>
      </c>
      <c r="D5364" s="2" t="s">
        <v>226</v>
      </c>
      <c r="E5364" s="2" t="s">
        <v>681</v>
      </c>
      <c r="F5364" s="2" t="s">
        <v>289</v>
      </c>
      <c r="G5364" s="2" t="s">
        <v>22</v>
      </c>
      <c r="H5364" s="2" t="s">
        <v>23</v>
      </c>
      <c r="I5364" s="2" t="s">
        <v>23</v>
      </c>
      <c r="J5364" s="2">
        <v>41</v>
      </c>
      <c r="K5364" s="2" t="s">
        <v>129</v>
      </c>
      <c r="L5364" s="2">
        <v>801</v>
      </c>
      <c r="M5364" s="2" t="s">
        <v>56</v>
      </c>
      <c r="N5364" s="2">
        <v>33</v>
      </c>
      <c r="O5364" s="2">
        <v>634149.48</v>
      </c>
      <c r="P5364" s="2">
        <v>19216.650000000001</v>
      </c>
    </row>
    <row r="5365" spans="1:16" outlineLevel="2" x14ac:dyDescent="0.2">
      <c r="A5365" s="5">
        <v>46248</v>
      </c>
      <c r="B5365" s="2">
        <v>161728</v>
      </c>
      <c r="C5365" s="2">
        <v>16</v>
      </c>
      <c r="D5365" s="2" t="s">
        <v>226</v>
      </c>
      <c r="E5365" s="2" t="s">
        <v>640</v>
      </c>
      <c r="F5365" s="2" t="s">
        <v>289</v>
      </c>
      <c r="G5365" s="2" t="s">
        <v>22</v>
      </c>
      <c r="H5365" s="2" t="s">
        <v>23</v>
      </c>
      <c r="I5365" s="2" t="s">
        <v>23</v>
      </c>
      <c r="J5365" s="2">
        <v>41</v>
      </c>
      <c r="K5365" s="2" t="s">
        <v>129</v>
      </c>
      <c r="L5365" s="2">
        <v>801</v>
      </c>
      <c r="M5365" s="2" t="s">
        <v>56</v>
      </c>
      <c r="N5365" s="2">
        <v>12</v>
      </c>
      <c r="O5365" s="2">
        <v>130695.16</v>
      </c>
      <c r="P5365" s="2">
        <v>10891.26</v>
      </c>
    </row>
    <row r="5366" spans="1:16" outlineLevel="1" x14ac:dyDescent="0.2">
      <c r="A5366" s="5"/>
      <c r="D5366" s="3" t="s">
        <v>736</v>
      </c>
      <c r="N5366" s="2">
        <f>SUBTOTAL(9,N5362:N5365)</f>
        <v>82</v>
      </c>
      <c r="O5366" s="2">
        <f>SUBTOTAL(9,O5362:O5365)</f>
        <v>1409268.53</v>
      </c>
      <c r="P5366" s="2">
        <f>+O5366/N5366</f>
        <v>17186.201585365852</v>
      </c>
    </row>
    <row r="5367" spans="1:16" outlineLevel="2" x14ac:dyDescent="0.2">
      <c r="A5367" s="5">
        <v>46248</v>
      </c>
      <c r="B5367" s="2">
        <v>161728</v>
      </c>
      <c r="C5367" s="2">
        <v>300</v>
      </c>
      <c r="D5367" s="2" t="s">
        <v>54</v>
      </c>
      <c r="E5367" s="2" t="s">
        <v>151</v>
      </c>
      <c r="F5367" s="2" t="s">
        <v>289</v>
      </c>
      <c r="G5367" s="2" t="s">
        <v>22</v>
      </c>
      <c r="H5367" s="2" t="s">
        <v>23</v>
      </c>
      <c r="I5367" s="2" t="s">
        <v>23</v>
      </c>
      <c r="J5367" s="2">
        <v>2</v>
      </c>
      <c r="K5367" s="2" t="s">
        <v>48</v>
      </c>
      <c r="L5367" s="2">
        <v>801</v>
      </c>
      <c r="M5367" s="2" t="s">
        <v>56</v>
      </c>
      <c r="N5367" s="2">
        <v>1</v>
      </c>
      <c r="O5367" s="2">
        <v>7157.51</v>
      </c>
      <c r="P5367" s="2">
        <v>7157.51</v>
      </c>
    </row>
    <row r="5368" spans="1:16" outlineLevel="2" x14ac:dyDescent="0.2">
      <c r="A5368" s="5">
        <v>46251</v>
      </c>
      <c r="B5368" s="2">
        <v>161728</v>
      </c>
      <c r="C5368" s="2">
        <v>301</v>
      </c>
      <c r="D5368" s="2" t="s">
        <v>54</v>
      </c>
      <c r="E5368" s="2" t="s">
        <v>30</v>
      </c>
      <c r="F5368" s="2" t="s">
        <v>289</v>
      </c>
      <c r="G5368" s="2" t="s">
        <v>22</v>
      </c>
      <c r="H5368" s="2" t="s">
        <v>23</v>
      </c>
      <c r="I5368" s="2" t="s">
        <v>23</v>
      </c>
      <c r="J5368" s="2">
        <v>2</v>
      </c>
      <c r="K5368" s="2" t="s">
        <v>48</v>
      </c>
      <c r="L5368" s="2">
        <v>801</v>
      </c>
      <c r="M5368" s="2" t="s">
        <v>56</v>
      </c>
      <c r="N5368" s="2">
        <v>23</v>
      </c>
      <c r="O5368" s="2">
        <v>162752.41</v>
      </c>
      <c r="P5368" s="2">
        <v>7076.19</v>
      </c>
    </row>
    <row r="5369" spans="1:16" outlineLevel="1" x14ac:dyDescent="0.2">
      <c r="A5369" s="5"/>
      <c r="D5369" s="3" t="s">
        <v>719</v>
      </c>
      <c r="N5369" s="2">
        <f>SUBTOTAL(9,N5367:N5368)</f>
        <v>24</v>
      </c>
      <c r="O5369" s="2">
        <f>SUBTOTAL(9,O5367:O5368)</f>
        <v>169909.92</v>
      </c>
      <c r="P5369" s="2">
        <f>+O5369/N5369</f>
        <v>7079.5800000000008</v>
      </c>
    </row>
    <row r="5370" spans="1:16" outlineLevel="2" x14ac:dyDescent="0.2">
      <c r="A5370" s="5">
        <v>46251</v>
      </c>
      <c r="B5370" s="2">
        <v>161732</v>
      </c>
      <c r="C5370" s="2">
        <v>3</v>
      </c>
      <c r="D5370" s="2" t="s">
        <v>404</v>
      </c>
      <c r="E5370" s="2" t="s">
        <v>23</v>
      </c>
      <c r="F5370" s="2" t="s">
        <v>405</v>
      </c>
      <c r="G5370" s="2" t="s">
        <v>22</v>
      </c>
      <c r="H5370" s="2" t="s">
        <v>23</v>
      </c>
      <c r="I5370" s="2" t="s">
        <v>23</v>
      </c>
      <c r="J5370" s="2">
        <v>1</v>
      </c>
      <c r="K5370" s="2" t="s">
        <v>24</v>
      </c>
      <c r="L5370" s="2">
        <v>1795</v>
      </c>
      <c r="M5370" s="2" t="s">
        <v>506</v>
      </c>
      <c r="N5370" s="2">
        <v>7</v>
      </c>
      <c r="O5370" s="2">
        <v>63170.73</v>
      </c>
      <c r="P5370" s="2">
        <v>9024.39</v>
      </c>
    </row>
    <row r="5371" spans="1:16" outlineLevel="1" x14ac:dyDescent="0.2">
      <c r="A5371" s="5"/>
      <c r="D5371" s="3" t="s">
        <v>769</v>
      </c>
      <c r="N5371" s="2">
        <f>SUBTOTAL(9,N5370:N5370)</f>
        <v>7</v>
      </c>
      <c r="O5371" s="2">
        <f>SUBTOTAL(9,O5370:O5370)</f>
        <v>63170.73</v>
      </c>
      <c r="P5371" s="2">
        <f>+O5371/N5371</f>
        <v>9024.3900000000012</v>
      </c>
    </row>
    <row r="5372" spans="1:16" outlineLevel="2" x14ac:dyDescent="0.2">
      <c r="A5372" s="5">
        <v>46255</v>
      </c>
      <c r="B5372" s="2">
        <v>161733</v>
      </c>
      <c r="C5372" s="2">
        <v>302</v>
      </c>
      <c r="D5372" s="2" t="s">
        <v>45</v>
      </c>
      <c r="E5372" s="2" t="s">
        <v>46</v>
      </c>
      <c r="F5372" s="2" t="s">
        <v>55</v>
      </c>
      <c r="G5372" s="2" t="s">
        <v>23</v>
      </c>
      <c r="H5372" s="2" t="s">
        <v>23</v>
      </c>
      <c r="I5372" s="2" t="s">
        <v>23</v>
      </c>
      <c r="J5372" s="2">
        <v>2</v>
      </c>
      <c r="K5372" s="2" t="s">
        <v>48</v>
      </c>
      <c r="L5372" s="2">
        <v>794</v>
      </c>
      <c r="M5372" s="2" t="s">
        <v>656</v>
      </c>
      <c r="N5372" s="2">
        <v>28</v>
      </c>
      <c r="O5372" s="2">
        <v>626678.64</v>
      </c>
      <c r="P5372" s="2">
        <v>22381.38</v>
      </c>
    </row>
    <row r="5373" spans="1:16" outlineLevel="1" x14ac:dyDescent="0.2">
      <c r="A5373" s="5"/>
      <c r="D5373" s="3" t="s">
        <v>733</v>
      </c>
      <c r="N5373" s="2">
        <f>SUBTOTAL(9,N5372:N5372)</f>
        <v>28</v>
      </c>
      <c r="O5373" s="2">
        <f>SUBTOTAL(9,O5372:O5372)</f>
        <v>626678.64</v>
      </c>
      <c r="P5373" s="2">
        <f>+O5373/N5373</f>
        <v>22381.38</v>
      </c>
    </row>
    <row r="5374" spans="1:16" outlineLevel="2" x14ac:dyDescent="0.2">
      <c r="A5374" s="5">
        <v>46252</v>
      </c>
      <c r="B5374" s="2">
        <v>161735</v>
      </c>
      <c r="C5374" s="2">
        <v>1</v>
      </c>
      <c r="D5374" s="2" t="s">
        <v>404</v>
      </c>
      <c r="E5374" s="2" t="s">
        <v>23</v>
      </c>
      <c r="F5374" s="2" t="s">
        <v>405</v>
      </c>
      <c r="G5374" s="2" t="s">
        <v>22</v>
      </c>
      <c r="H5374" s="2" t="s">
        <v>23</v>
      </c>
      <c r="I5374" s="2" t="s">
        <v>23</v>
      </c>
      <c r="J5374" s="2">
        <v>86</v>
      </c>
      <c r="K5374" s="2" t="s">
        <v>73</v>
      </c>
      <c r="L5374" s="2">
        <v>25061</v>
      </c>
      <c r="M5374" s="2" t="s">
        <v>682</v>
      </c>
      <c r="N5374" s="2">
        <v>1</v>
      </c>
      <c r="O5374" s="2">
        <v>12758.14</v>
      </c>
      <c r="P5374" s="2">
        <v>12758.14</v>
      </c>
    </row>
    <row r="5375" spans="1:16" outlineLevel="1" x14ac:dyDescent="0.2">
      <c r="A5375" s="5"/>
      <c r="D5375" s="3" t="s">
        <v>769</v>
      </c>
      <c r="N5375" s="2">
        <f>SUBTOTAL(9,N5374:N5374)</f>
        <v>1</v>
      </c>
      <c r="O5375" s="2">
        <f>SUBTOTAL(9,O5374:O5374)</f>
        <v>12758.14</v>
      </c>
      <c r="P5375" s="2">
        <f>+O5375/N5375</f>
        <v>12758.14</v>
      </c>
    </row>
    <row r="5376" spans="1:16" outlineLevel="2" x14ac:dyDescent="0.2">
      <c r="A5376" s="5">
        <v>46251</v>
      </c>
      <c r="B5376" s="2">
        <v>161738</v>
      </c>
      <c r="C5376" s="2">
        <v>1</v>
      </c>
      <c r="D5376" s="2" t="s">
        <v>19</v>
      </c>
      <c r="E5376" s="2" t="s">
        <v>20</v>
      </c>
      <c r="F5376" s="2" t="s">
        <v>199</v>
      </c>
      <c r="G5376" s="2" t="s">
        <v>22</v>
      </c>
      <c r="H5376" s="2" t="s">
        <v>23</v>
      </c>
      <c r="I5376" s="2" t="s">
        <v>23</v>
      </c>
      <c r="J5376" s="2">
        <v>39</v>
      </c>
      <c r="K5376" s="2" t="s">
        <v>172</v>
      </c>
      <c r="L5376" s="2">
        <v>1</v>
      </c>
      <c r="M5376" s="2" t="s">
        <v>265</v>
      </c>
      <c r="N5376" s="2">
        <v>199</v>
      </c>
      <c r="O5376" s="2">
        <v>738266.93</v>
      </c>
      <c r="P5376" s="2">
        <v>3709.88</v>
      </c>
    </row>
    <row r="5377" spans="1:16" outlineLevel="1" x14ac:dyDescent="0.2">
      <c r="A5377" s="5"/>
      <c r="D5377" s="3" t="s">
        <v>704</v>
      </c>
      <c r="N5377" s="2">
        <f>SUBTOTAL(9,N5376:N5376)</f>
        <v>199</v>
      </c>
      <c r="O5377" s="2">
        <f>SUBTOTAL(9,O5376:O5376)</f>
        <v>738266.93</v>
      </c>
      <c r="P5377" s="2">
        <f>+O5377/N5377</f>
        <v>3709.884070351759</v>
      </c>
    </row>
    <row r="5378" spans="1:16" outlineLevel="2" x14ac:dyDescent="0.2">
      <c r="A5378" s="5">
        <v>46251</v>
      </c>
      <c r="B5378" s="2">
        <v>161739</v>
      </c>
      <c r="C5378" s="2">
        <v>1</v>
      </c>
      <c r="D5378" s="2" t="s">
        <v>60</v>
      </c>
      <c r="E5378" s="2" t="s">
        <v>669</v>
      </c>
      <c r="F5378" s="2" t="s">
        <v>31</v>
      </c>
      <c r="G5378" s="2" t="s">
        <v>22</v>
      </c>
      <c r="H5378" s="2" t="s">
        <v>670</v>
      </c>
      <c r="I5378" s="2" t="s">
        <v>23</v>
      </c>
      <c r="J5378" s="2">
        <v>1</v>
      </c>
      <c r="K5378" s="2" t="s">
        <v>24</v>
      </c>
      <c r="L5378" s="2">
        <v>226</v>
      </c>
      <c r="M5378" s="2" t="s">
        <v>59</v>
      </c>
      <c r="N5378" s="2">
        <v>15</v>
      </c>
      <c r="O5378" s="2">
        <v>334487.95</v>
      </c>
      <c r="P5378" s="2">
        <v>22299.200000000001</v>
      </c>
    </row>
    <row r="5379" spans="1:16" outlineLevel="2" x14ac:dyDescent="0.2">
      <c r="A5379" s="5">
        <v>46251</v>
      </c>
      <c r="B5379" s="2">
        <v>161739</v>
      </c>
      <c r="C5379" s="2">
        <v>2</v>
      </c>
      <c r="D5379" s="2" t="s">
        <v>60</v>
      </c>
      <c r="E5379" s="2" t="s">
        <v>669</v>
      </c>
      <c r="F5379" s="2" t="s">
        <v>31</v>
      </c>
      <c r="G5379" s="2" t="s">
        <v>22</v>
      </c>
      <c r="H5379" s="2" t="s">
        <v>23</v>
      </c>
      <c r="I5379" s="2" t="s">
        <v>23</v>
      </c>
      <c r="J5379" s="2">
        <v>78</v>
      </c>
      <c r="K5379" s="2" t="s">
        <v>212</v>
      </c>
      <c r="L5379" s="2">
        <v>226</v>
      </c>
      <c r="M5379" s="2" t="s">
        <v>59</v>
      </c>
      <c r="N5379" s="2">
        <v>91</v>
      </c>
      <c r="O5379" s="2">
        <v>1830573.67</v>
      </c>
      <c r="P5379" s="2">
        <v>20116.189999999999</v>
      </c>
    </row>
    <row r="5380" spans="1:16" outlineLevel="1" x14ac:dyDescent="0.2">
      <c r="A5380" s="5"/>
      <c r="D5380" s="3" t="s">
        <v>728</v>
      </c>
      <c r="N5380" s="2">
        <f>SUBTOTAL(9,N5378:N5379)</f>
        <v>106</v>
      </c>
      <c r="O5380" s="2">
        <f>SUBTOTAL(9,O5378:O5379)</f>
        <v>2165061.62</v>
      </c>
      <c r="P5380" s="2">
        <f>+O5380/N5380</f>
        <v>20425.10962264151</v>
      </c>
    </row>
    <row r="5381" spans="1:16" outlineLevel="2" x14ac:dyDescent="0.2">
      <c r="A5381" s="5">
        <v>46251</v>
      </c>
      <c r="B5381" s="2">
        <v>161740</v>
      </c>
      <c r="C5381" s="2">
        <v>1</v>
      </c>
      <c r="D5381" s="2" t="s">
        <v>207</v>
      </c>
      <c r="E5381" s="2" t="s">
        <v>23</v>
      </c>
      <c r="F5381" s="2" t="s">
        <v>47</v>
      </c>
      <c r="G5381" s="2" t="s">
        <v>22</v>
      </c>
      <c r="H5381" s="2" t="s">
        <v>208</v>
      </c>
      <c r="I5381" s="2" t="s">
        <v>23</v>
      </c>
      <c r="J5381" s="2">
        <v>41</v>
      </c>
      <c r="K5381" s="2" t="s">
        <v>129</v>
      </c>
      <c r="L5381" s="2">
        <v>25213</v>
      </c>
      <c r="M5381" s="2" t="s">
        <v>130</v>
      </c>
      <c r="N5381" s="2">
        <v>50</v>
      </c>
      <c r="O5381" s="2">
        <v>180522</v>
      </c>
      <c r="P5381" s="2">
        <v>3610.44</v>
      </c>
    </row>
    <row r="5382" spans="1:16" outlineLevel="2" x14ac:dyDescent="0.2">
      <c r="A5382" s="5">
        <v>46251</v>
      </c>
      <c r="B5382" s="2">
        <v>161740</v>
      </c>
      <c r="C5382" s="2">
        <v>2</v>
      </c>
      <c r="D5382" s="2" t="s">
        <v>207</v>
      </c>
      <c r="E5382" s="2" t="s">
        <v>23</v>
      </c>
      <c r="F5382" s="2" t="s">
        <v>47</v>
      </c>
      <c r="G5382" s="2" t="s">
        <v>22</v>
      </c>
      <c r="H5382" s="2" t="s">
        <v>209</v>
      </c>
      <c r="I5382" s="2" t="s">
        <v>23</v>
      </c>
      <c r="J5382" s="2">
        <v>41</v>
      </c>
      <c r="K5382" s="2" t="s">
        <v>129</v>
      </c>
      <c r="L5382" s="2">
        <v>25213</v>
      </c>
      <c r="M5382" s="2" t="s">
        <v>130</v>
      </c>
      <c r="N5382" s="2">
        <v>50</v>
      </c>
      <c r="O5382" s="2">
        <v>171187.5</v>
      </c>
      <c r="P5382" s="2">
        <v>3423.75</v>
      </c>
    </row>
    <row r="5383" spans="1:16" outlineLevel="2" x14ac:dyDescent="0.2">
      <c r="A5383" s="5">
        <v>46251</v>
      </c>
      <c r="B5383" s="2">
        <v>161740</v>
      </c>
      <c r="C5383" s="2">
        <v>3</v>
      </c>
      <c r="D5383" s="2" t="s">
        <v>207</v>
      </c>
      <c r="E5383" s="2" t="s">
        <v>23</v>
      </c>
      <c r="F5383" s="2" t="s">
        <v>47</v>
      </c>
      <c r="G5383" s="2" t="s">
        <v>210</v>
      </c>
      <c r="H5383" s="2" t="s">
        <v>23</v>
      </c>
      <c r="I5383" s="2" t="s">
        <v>23</v>
      </c>
      <c r="J5383" s="2">
        <v>1</v>
      </c>
      <c r="K5383" s="2" t="s">
        <v>24</v>
      </c>
      <c r="L5383" s="2">
        <v>25213</v>
      </c>
      <c r="M5383" s="2" t="s">
        <v>130</v>
      </c>
      <c r="N5383" s="2">
        <v>10</v>
      </c>
      <c r="O5383" s="2">
        <v>646573.54</v>
      </c>
      <c r="P5383" s="2">
        <v>64657.35</v>
      </c>
    </row>
    <row r="5384" spans="1:16" outlineLevel="2" x14ac:dyDescent="0.2">
      <c r="A5384" s="5">
        <v>46251</v>
      </c>
      <c r="B5384" s="2">
        <v>161740</v>
      </c>
      <c r="C5384" s="2">
        <v>4</v>
      </c>
      <c r="D5384" s="2" t="s">
        <v>207</v>
      </c>
      <c r="E5384" s="2" t="s">
        <v>23</v>
      </c>
      <c r="F5384" s="2" t="s">
        <v>47</v>
      </c>
      <c r="G5384" s="2" t="s">
        <v>22</v>
      </c>
      <c r="H5384" s="2" t="s">
        <v>23</v>
      </c>
      <c r="I5384" s="2" t="s">
        <v>23</v>
      </c>
      <c r="J5384" s="2">
        <v>1</v>
      </c>
      <c r="K5384" s="2" t="s">
        <v>24</v>
      </c>
      <c r="L5384" s="2">
        <v>25213</v>
      </c>
      <c r="M5384" s="2" t="s">
        <v>130</v>
      </c>
      <c r="N5384" s="2">
        <v>6</v>
      </c>
      <c r="O5384" s="2">
        <v>498463.27</v>
      </c>
      <c r="P5384" s="2">
        <v>83077.210000000006</v>
      </c>
    </row>
    <row r="5385" spans="1:16" outlineLevel="1" x14ac:dyDescent="0.2">
      <c r="A5385" s="5"/>
      <c r="D5385" s="3" t="s">
        <v>699</v>
      </c>
      <c r="N5385" s="2">
        <f>SUBTOTAL(9,N5381:N5384)</f>
        <v>116</v>
      </c>
      <c r="O5385" s="2">
        <f>SUBTOTAL(9,O5381:O5384)</f>
        <v>1496746.31</v>
      </c>
      <c r="P5385" s="2">
        <f>+O5385/N5385</f>
        <v>12902.985431034484</v>
      </c>
    </row>
    <row r="5386" spans="1:16" outlineLevel="2" x14ac:dyDescent="0.2">
      <c r="A5386" s="5">
        <v>46251</v>
      </c>
      <c r="B5386" s="2">
        <v>161740</v>
      </c>
      <c r="C5386" s="2">
        <v>5</v>
      </c>
      <c r="D5386" s="2" t="s">
        <v>128</v>
      </c>
      <c r="E5386" s="2" t="s">
        <v>23</v>
      </c>
      <c r="F5386" s="2" t="s">
        <v>47</v>
      </c>
      <c r="G5386" s="2" t="s">
        <v>22</v>
      </c>
      <c r="H5386" s="2" t="s">
        <v>23</v>
      </c>
      <c r="I5386" s="2" t="s">
        <v>23</v>
      </c>
      <c r="J5386" s="2">
        <v>1</v>
      </c>
      <c r="K5386" s="2" t="s">
        <v>24</v>
      </c>
      <c r="L5386" s="2">
        <v>25213</v>
      </c>
      <c r="M5386" s="2" t="s">
        <v>130</v>
      </c>
      <c r="N5386" s="2">
        <v>5</v>
      </c>
      <c r="O5386" s="2">
        <v>488505.4</v>
      </c>
      <c r="P5386" s="2">
        <v>97701.08</v>
      </c>
    </row>
    <row r="5387" spans="1:16" outlineLevel="2" x14ac:dyDescent="0.2">
      <c r="A5387" s="5">
        <v>46251</v>
      </c>
      <c r="B5387" s="2">
        <v>161740</v>
      </c>
      <c r="C5387" s="2">
        <v>6</v>
      </c>
      <c r="D5387" s="2" t="s">
        <v>128</v>
      </c>
      <c r="E5387" s="2" t="s">
        <v>23</v>
      </c>
      <c r="F5387" s="2" t="s">
        <v>47</v>
      </c>
      <c r="G5387" s="2" t="s">
        <v>22</v>
      </c>
      <c r="H5387" s="2" t="s">
        <v>23</v>
      </c>
      <c r="I5387" s="2" t="s">
        <v>23</v>
      </c>
      <c r="J5387" s="2">
        <v>41</v>
      </c>
      <c r="K5387" s="2" t="s">
        <v>129</v>
      </c>
      <c r="L5387" s="2">
        <v>25213</v>
      </c>
      <c r="M5387" s="2" t="s">
        <v>130</v>
      </c>
      <c r="N5387" s="2">
        <v>50</v>
      </c>
      <c r="O5387" s="2">
        <v>199794</v>
      </c>
      <c r="P5387" s="2">
        <v>3995.88</v>
      </c>
    </row>
    <row r="5388" spans="1:16" outlineLevel="1" x14ac:dyDescent="0.2">
      <c r="A5388" s="5"/>
      <c r="D5388" s="3" t="s">
        <v>732</v>
      </c>
      <c r="N5388" s="2">
        <f>SUBTOTAL(9,N5386:N5387)</f>
        <v>55</v>
      </c>
      <c r="O5388" s="2">
        <f>SUBTOTAL(9,O5386:O5387)</f>
        <v>688299.4</v>
      </c>
      <c r="P5388" s="2">
        <f>+O5388/N5388</f>
        <v>12514.534545454546</v>
      </c>
    </row>
    <row r="5389" spans="1:16" outlineLevel="2" x14ac:dyDescent="0.2">
      <c r="A5389" s="5">
        <v>46248</v>
      </c>
      <c r="B5389" s="2">
        <v>161741</v>
      </c>
      <c r="C5389" s="2">
        <v>1</v>
      </c>
      <c r="D5389" s="2" t="s">
        <v>140</v>
      </c>
      <c r="E5389" s="2" t="s">
        <v>55</v>
      </c>
      <c r="F5389" s="2" t="s">
        <v>23</v>
      </c>
      <c r="G5389" s="2" t="s">
        <v>23</v>
      </c>
      <c r="H5389" s="2" t="s">
        <v>23</v>
      </c>
      <c r="I5389" s="2" t="s">
        <v>23</v>
      </c>
      <c r="J5389" s="2">
        <v>1</v>
      </c>
      <c r="K5389" s="2" t="s">
        <v>24</v>
      </c>
      <c r="L5389" s="2">
        <v>1833</v>
      </c>
      <c r="M5389" s="2" t="s">
        <v>142</v>
      </c>
      <c r="N5389" s="2">
        <v>1</v>
      </c>
      <c r="O5389" s="2">
        <v>4357.1899999999996</v>
      </c>
      <c r="P5389" s="2">
        <v>4357.1899999999996</v>
      </c>
    </row>
    <row r="5390" spans="1:16" outlineLevel="2" x14ac:dyDescent="0.2">
      <c r="A5390" s="5">
        <v>46251</v>
      </c>
      <c r="B5390" s="2">
        <v>161742</v>
      </c>
      <c r="C5390" s="2">
        <v>1</v>
      </c>
      <c r="D5390" s="2" t="s">
        <v>140</v>
      </c>
      <c r="E5390" s="2" t="s">
        <v>23</v>
      </c>
      <c r="F5390" s="2" t="s">
        <v>108</v>
      </c>
      <c r="G5390" s="2" t="s">
        <v>22</v>
      </c>
      <c r="H5390" s="2" t="s">
        <v>23</v>
      </c>
      <c r="I5390" s="2" t="s">
        <v>23</v>
      </c>
      <c r="J5390" s="2">
        <v>1</v>
      </c>
      <c r="K5390" s="2" t="s">
        <v>24</v>
      </c>
      <c r="L5390" s="2">
        <v>1503</v>
      </c>
      <c r="M5390" s="2" t="s">
        <v>603</v>
      </c>
      <c r="N5390" s="2">
        <v>24</v>
      </c>
      <c r="O5390" s="2">
        <v>1212564.6399999999</v>
      </c>
      <c r="P5390" s="2">
        <v>50523.53</v>
      </c>
    </row>
    <row r="5391" spans="1:16" outlineLevel="1" x14ac:dyDescent="0.2">
      <c r="A5391" s="5"/>
      <c r="D5391" s="3" t="s">
        <v>696</v>
      </c>
      <c r="N5391" s="2">
        <f>SUBTOTAL(9,N5389:N5390)</f>
        <v>25</v>
      </c>
      <c r="O5391" s="2">
        <f>SUBTOTAL(9,O5389:O5390)</f>
        <v>1216921.8299999998</v>
      </c>
      <c r="P5391" s="2">
        <f>+O5391/N5391</f>
        <v>48676.873199999995</v>
      </c>
    </row>
    <row r="5392" spans="1:16" outlineLevel="2" x14ac:dyDescent="0.2">
      <c r="A5392" s="5">
        <v>46251</v>
      </c>
      <c r="B5392" s="2">
        <v>161744</v>
      </c>
      <c r="C5392" s="2">
        <v>1</v>
      </c>
      <c r="D5392" s="2" t="s">
        <v>474</v>
      </c>
      <c r="E5392" s="2" t="s">
        <v>475</v>
      </c>
      <c r="F5392" s="2" t="s">
        <v>47</v>
      </c>
      <c r="G5392" s="2" t="s">
        <v>22</v>
      </c>
      <c r="H5392" s="2" t="s">
        <v>23</v>
      </c>
      <c r="I5392" s="2" t="s">
        <v>23</v>
      </c>
      <c r="J5392" s="2">
        <v>41</v>
      </c>
      <c r="K5392" s="2" t="s">
        <v>129</v>
      </c>
      <c r="L5392" s="2">
        <v>2338</v>
      </c>
      <c r="M5392" s="2" t="s">
        <v>417</v>
      </c>
      <c r="N5392" s="2">
        <v>607</v>
      </c>
      <c r="O5392" s="2">
        <v>599703.28</v>
      </c>
      <c r="P5392" s="2">
        <v>987.98</v>
      </c>
    </row>
    <row r="5393" spans="1:16" outlineLevel="1" x14ac:dyDescent="0.2">
      <c r="A5393" s="5"/>
      <c r="D5393" s="3" t="s">
        <v>780</v>
      </c>
      <c r="N5393" s="2">
        <f>SUBTOTAL(9,N5392:N5392)</f>
        <v>607</v>
      </c>
      <c r="O5393" s="2">
        <f>SUBTOTAL(9,O5392:O5392)</f>
        <v>599703.28</v>
      </c>
      <c r="P5393" s="2">
        <f>+O5393/N5393</f>
        <v>987.97904448105442</v>
      </c>
    </row>
    <row r="5394" spans="1:16" outlineLevel="2" x14ac:dyDescent="0.2">
      <c r="A5394" s="5">
        <v>46254</v>
      </c>
      <c r="B5394" s="2">
        <v>161745</v>
      </c>
      <c r="C5394" s="2">
        <v>502</v>
      </c>
      <c r="D5394" s="2" t="s">
        <v>45</v>
      </c>
      <c r="E5394" s="2" t="s">
        <v>125</v>
      </c>
      <c r="F5394" s="2" t="s">
        <v>23</v>
      </c>
      <c r="G5394" s="2" t="s">
        <v>22</v>
      </c>
      <c r="H5394" s="2" t="s">
        <v>23</v>
      </c>
      <c r="I5394" s="2" t="s">
        <v>23</v>
      </c>
      <c r="J5394" s="2">
        <v>2</v>
      </c>
      <c r="K5394" s="2" t="s">
        <v>48</v>
      </c>
      <c r="L5394" s="2">
        <v>626</v>
      </c>
      <c r="M5394" s="2" t="s">
        <v>49</v>
      </c>
      <c r="N5394" s="2">
        <v>12</v>
      </c>
      <c r="O5394" s="2">
        <v>74681.960000000006</v>
      </c>
      <c r="P5394" s="2">
        <v>6223.5</v>
      </c>
    </row>
    <row r="5395" spans="1:16" outlineLevel="1" x14ac:dyDescent="0.2">
      <c r="A5395" s="5"/>
      <c r="D5395" s="3" t="s">
        <v>733</v>
      </c>
      <c r="N5395" s="2">
        <f>SUBTOTAL(9,N5394:N5394)</f>
        <v>12</v>
      </c>
      <c r="O5395" s="2">
        <f>SUBTOTAL(9,O5394:O5394)</f>
        <v>74681.960000000006</v>
      </c>
      <c r="P5395" s="2">
        <f>+O5395/N5395</f>
        <v>6223.4966666666669</v>
      </c>
    </row>
    <row r="5396" spans="1:16" outlineLevel="2" x14ac:dyDescent="0.2">
      <c r="A5396" s="5">
        <v>46253</v>
      </c>
      <c r="B5396" s="2">
        <v>161756</v>
      </c>
      <c r="C5396" s="2">
        <v>1</v>
      </c>
      <c r="D5396" s="2" t="s">
        <v>19</v>
      </c>
      <c r="E5396" s="2" t="s">
        <v>20</v>
      </c>
      <c r="F5396" s="2" t="s">
        <v>199</v>
      </c>
      <c r="G5396" s="2" t="s">
        <v>22</v>
      </c>
      <c r="H5396" s="2" t="s">
        <v>23</v>
      </c>
      <c r="I5396" s="2" t="s">
        <v>23</v>
      </c>
      <c r="J5396" s="2">
        <v>39</v>
      </c>
      <c r="K5396" s="2" t="s">
        <v>172</v>
      </c>
      <c r="L5396" s="2">
        <v>1</v>
      </c>
      <c r="M5396" s="2" t="s">
        <v>265</v>
      </c>
      <c r="N5396" s="2">
        <v>100</v>
      </c>
      <c r="O5396" s="2">
        <v>381106.76</v>
      </c>
      <c r="P5396" s="2">
        <v>3811.07</v>
      </c>
    </row>
    <row r="5397" spans="1:16" outlineLevel="1" x14ac:dyDescent="0.2">
      <c r="A5397" s="5"/>
      <c r="D5397" s="3" t="s">
        <v>704</v>
      </c>
      <c r="N5397" s="2">
        <f>SUBTOTAL(9,N5396:N5396)</f>
        <v>100</v>
      </c>
      <c r="O5397" s="2">
        <f>SUBTOTAL(9,O5396:O5396)</f>
        <v>381106.76</v>
      </c>
      <c r="P5397" s="2">
        <f>+O5397/N5397</f>
        <v>3811.0676000000003</v>
      </c>
    </row>
    <row r="5398" spans="1:16" outlineLevel="2" x14ac:dyDescent="0.2">
      <c r="A5398" s="5">
        <v>46253</v>
      </c>
      <c r="B5398" s="2">
        <v>161757</v>
      </c>
      <c r="C5398" s="2">
        <v>1</v>
      </c>
      <c r="D5398" s="2" t="s">
        <v>474</v>
      </c>
      <c r="E5398" s="2" t="s">
        <v>475</v>
      </c>
      <c r="F5398" s="2" t="s">
        <v>47</v>
      </c>
      <c r="G5398" s="2" t="s">
        <v>22</v>
      </c>
      <c r="H5398" s="2" t="s">
        <v>23</v>
      </c>
      <c r="I5398" s="2" t="s">
        <v>23</v>
      </c>
      <c r="J5398" s="2">
        <v>41</v>
      </c>
      <c r="K5398" s="2" t="s">
        <v>129</v>
      </c>
      <c r="L5398" s="2">
        <v>2338</v>
      </c>
      <c r="M5398" s="2" t="s">
        <v>417</v>
      </c>
      <c r="N5398" s="2">
        <v>225</v>
      </c>
      <c r="O5398" s="2">
        <v>228109.6</v>
      </c>
      <c r="P5398" s="2">
        <v>1013.82</v>
      </c>
    </row>
    <row r="5399" spans="1:16" outlineLevel="1" x14ac:dyDescent="0.2">
      <c r="A5399" s="5"/>
      <c r="D5399" s="3" t="s">
        <v>780</v>
      </c>
      <c r="N5399" s="2">
        <f>SUBTOTAL(9,N5398:N5398)</f>
        <v>225</v>
      </c>
      <c r="O5399" s="2">
        <f>SUBTOTAL(9,O5398:O5398)</f>
        <v>228109.6</v>
      </c>
      <c r="P5399" s="2">
        <f>+O5399/N5399</f>
        <v>1013.8204444444444</v>
      </c>
    </row>
    <row r="5400" spans="1:16" outlineLevel="2" x14ac:dyDescent="0.2">
      <c r="A5400" s="5">
        <v>46253</v>
      </c>
      <c r="B5400" s="2">
        <v>161758</v>
      </c>
      <c r="C5400" s="2">
        <v>1</v>
      </c>
      <c r="D5400" s="2" t="s">
        <v>128</v>
      </c>
      <c r="E5400" s="2" t="s">
        <v>23</v>
      </c>
      <c r="F5400" s="2" t="s">
        <v>47</v>
      </c>
      <c r="G5400" s="2" t="s">
        <v>22</v>
      </c>
      <c r="H5400" s="2" t="s">
        <v>23</v>
      </c>
      <c r="I5400" s="2" t="s">
        <v>23</v>
      </c>
      <c r="J5400" s="2">
        <v>1</v>
      </c>
      <c r="K5400" s="2" t="s">
        <v>24</v>
      </c>
      <c r="L5400" s="2">
        <v>25213</v>
      </c>
      <c r="M5400" s="2" t="s">
        <v>130</v>
      </c>
      <c r="N5400" s="2">
        <v>7</v>
      </c>
      <c r="O5400" s="2">
        <v>671772.86</v>
      </c>
      <c r="P5400" s="2">
        <v>95967.55</v>
      </c>
    </row>
    <row r="5401" spans="1:16" outlineLevel="1" x14ac:dyDescent="0.2">
      <c r="A5401" s="5"/>
      <c r="D5401" s="3" t="s">
        <v>732</v>
      </c>
      <c r="N5401" s="2">
        <f>SUBTOTAL(9,N5400:N5400)</f>
        <v>7</v>
      </c>
      <c r="O5401" s="2">
        <f>SUBTOTAL(9,O5400:O5400)</f>
        <v>671772.86</v>
      </c>
      <c r="P5401" s="2">
        <f>+O5401/N5401</f>
        <v>95967.551428571431</v>
      </c>
    </row>
    <row r="5402" spans="1:16" outlineLevel="2" x14ac:dyDescent="0.2">
      <c r="A5402" s="5">
        <v>46253</v>
      </c>
      <c r="B5402" s="2">
        <v>161758</v>
      </c>
      <c r="C5402" s="2">
        <v>2</v>
      </c>
      <c r="D5402" s="2" t="s">
        <v>207</v>
      </c>
      <c r="E5402" s="2" t="s">
        <v>23</v>
      </c>
      <c r="F5402" s="2" t="s">
        <v>47</v>
      </c>
      <c r="G5402" s="2" t="s">
        <v>210</v>
      </c>
      <c r="H5402" s="2" t="s">
        <v>23</v>
      </c>
      <c r="I5402" s="2" t="s">
        <v>23</v>
      </c>
      <c r="J5402" s="2">
        <v>1</v>
      </c>
      <c r="K5402" s="2" t="s">
        <v>24</v>
      </c>
      <c r="L5402" s="2">
        <v>25213</v>
      </c>
      <c r="M5402" s="2" t="s">
        <v>130</v>
      </c>
      <c r="N5402" s="2">
        <v>4</v>
      </c>
      <c r="O5402" s="2">
        <v>260122.92</v>
      </c>
      <c r="P5402" s="2">
        <v>65030.73</v>
      </c>
    </row>
    <row r="5403" spans="1:16" outlineLevel="2" x14ac:dyDescent="0.2">
      <c r="A5403" s="5">
        <v>46253</v>
      </c>
      <c r="B5403" s="2">
        <v>161758</v>
      </c>
      <c r="C5403" s="2">
        <v>3</v>
      </c>
      <c r="D5403" s="2" t="s">
        <v>207</v>
      </c>
      <c r="E5403" s="2" t="s">
        <v>23</v>
      </c>
      <c r="F5403" s="2" t="s">
        <v>47</v>
      </c>
      <c r="G5403" s="2" t="s">
        <v>22</v>
      </c>
      <c r="H5403" s="2" t="s">
        <v>23</v>
      </c>
      <c r="I5403" s="2" t="s">
        <v>23</v>
      </c>
      <c r="J5403" s="2">
        <v>1</v>
      </c>
      <c r="K5403" s="2" t="s">
        <v>24</v>
      </c>
      <c r="L5403" s="2">
        <v>25213</v>
      </c>
      <c r="M5403" s="2" t="s">
        <v>130</v>
      </c>
      <c r="N5403" s="2">
        <v>7</v>
      </c>
      <c r="O5403" s="2">
        <v>610165.93999999994</v>
      </c>
      <c r="P5403" s="2">
        <v>87166.56</v>
      </c>
    </row>
    <row r="5404" spans="1:16" outlineLevel="1" x14ac:dyDescent="0.2">
      <c r="A5404" s="5"/>
      <c r="D5404" s="3" t="s">
        <v>699</v>
      </c>
      <c r="N5404" s="2">
        <f>SUBTOTAL(9,N5402:N5403)</f>
        <v>11</v>
      </c>
      <c r="O5404" s="2">
        <f>SUBTOTAL(9,O5402:O5403)</f>
        <v>870288.86</v>
      </c>
      <c r="P5404" s="2">
        <f>+O5404/N5404</f>
        <v>79117.169090909083</v>
      </c>
    </row>
    <row r="5405" spans="1:16" outlineLevel="2" x14ac:dyDescent="0.2">
      <c r="A5405" s="5">
        <v>46253</v>
      </c>
      <c r="B5405" s="2">
        <v>161758</v>
      </c>
      <c r="C5405" s="2">
        <v>4</v>
      </c>
      <c r="D5405" s="2" t="s">
        <v>128</v>
      </c>
      <c r="E5405" s="2" t="s">
        <v>23</v>
      </c>
      <c r="F5405" s="2" t="s">
        <v>47</v>
      </c>
      <c r="G5405" s="2" t="s">
        <v>22</v>
      </c>
      <c r="H5405" s="2" t="s">
        <v>23</v>
      </c>
      <c r="I5405" s="2" t="s">
        <v>23</v>
      </c>
      <c r="J5405" s="2">
        <v>41</v>
      </c>
      <c r="K5405" s="2" t="s">
        <v>129</v>
      </c>
      <c r="L5405" s="2">
        <v>25213</v>
      </c>
      <c r="M5405" s="2" t="s">
        <v>130</v>
      </c>
      <c r="N5405" s="2">
        <v>49</v>
      </c>
      <c r="O5405" s="2">
        <v>191989.88</v>
      </c>
      <c r="P5405" s="2">
        <v>3918.16</v>
      </c>
    </row>
    <row r="5406" spans="1:16" outlineLevel="1" x14ac:dyDescent="0.2">
      <c r="A5406" s="5"/>
      <c r="D5406" s="3" t="s">
        <v>732</v>
      </c>
      <c r="N5406" s="2">
        <f>SUBTOTAL(9,N5405:N5405)</f>
        <v>49</v>
      </c>
      <c r="O5406" s="2">
        <f>SUBTOTAL(9,O5405:O5405)</f>
        <v>191989.88</v>
      </c>
      <c r="P5406" s="2">
        <f>+O5406/N5406</f>
        <v>3918.1608163265305</v>
      </c>
    </row>
    <row r="5407" spans="1:16" outlineLevel="2" x14ac:dyDescent="0.2">
      <c r="A5407" s="5">
        <v>46253</v>
      </c>
      <c r="B5407" s="2">
        <v>161758</v>
      </c>
      <c r="C5407" s="2">
        <v>5</v>
      </c>
      <c r="D5407" s="2" t="s">
        <v>207</v>
      </c>
      <c r="E5407" s="2" t="s">
        <v>23</v>
      </c>
      <c r="F5407" s="2" t="s">
        <v>47</v>
      </c>
      <c r="G5407" s="2" t="s">
        <v>22</v>
      </c>
      <c r="H5407" s="2" t="s">
        <v>209</v>
      </c>
      <c r="I5407" s="2" t="s">
        <v>23</v>
      </c>
      <c r="J5407" s="2">
        <v>41</v>
      </c>
      <c r="K5407" s="2" t="s">
        <v>129</v>
      </c>
      <c r="L5407" s="2">
        <v>25213</v>
      </c>
      <c r="M5407" s="2" t="s">
        <v>130</v>
      </c>
      <c r="N5407" s="2">
        <v>50</v>
      </c>
      <c r="O5407" s="2">
        <v>162786.71</v>
      </c>
      <c r="P5407" s="2">
        <v>3255.73</v>
      </c>
    </row>
    <row r="5408" spans="1:16" outlineLevel="2" x14ac:dyDescent="0.2">
      <c r="A5408" s="5">
        <v>46253</v>
      </c>
      <c r="B5408" s="2">
        <v>161758</v>
      </c>
      <c r="C5408" s="2">
        <v>6</v>
      </c>
      <c r="D5408" s="2" t="s">
        <v>207</v>
      </c>
      <c r="E5408" s="2" t="s">
        <v>23</v>
      </c>
      <c r="F5408" s="2" t="s">
        <v>47</v>
      </c>
      <c r="G5408" s="2" t="s">
        <v>22</v>
      </c>
      <c r="H5408" s="2" t="s">
        <v>208</v>
      </c>
      <c r="I5408" s="2" t="s">
        <v>23</v>
      </c>
      <c r="J5408" s="2">
        <v>41</v>
      </c>
      <c r="K5408" s="2" t="s">
        <v>129</v>
      </c>
      <c r="L5408" s="2">
        <v>25213</v>
      </c>
      <c r="M5408" s="2" t="s">
        <v>130</v>
      </c>
      <c r="N5408" s="2">
        <v>75</v>
      </c>
      <c r="O5408" s="2">
        <v>264715.77</v>
      </c>
      <c r="P5408" s="2">
        <v>3529.54</v>
      </c>
    </row>
    <row r="5409" spans="1:16" outlineLevel="1" x14ac:dyDescent="0.2">
      <c r="A5409" s="5"/>
      <c r="D5409" s="3" t="s">
        <v>699</v>
      </c>
      <c r="N5409" s="2">
        <f>SUBTOTAL(9,N5407:N5408)</f>
        <v>125</v>
      </c>
      <c r="O5409" s="2">
        <f>SUBTOTAL(9,O5407:O5408)</f>
        <v>427502.48</v>
      </c>
      <c r="P5409" s="2">
        <f>+O5409/N5409</f>
        <v>3420.0198399999999</v>
      </c>
    </row>
    <row r="5410" spans="1:16" outlineLevel="2" x14ac:dyDescent="0.2">
      <c r="A5410" s="5">
        <v>46258</v>
      </c>
      <c r="B5410" s="2">
        <v>161765</v>
      </c>
      <c r="C5410" s="2">
        <v>1</v>
      </c>
      <c r="D5410" s="2" t="s">
        <v>197</v>
      </c>
      <c r="E5410" s="2" t="s">
        <v>683</v>
      </c>
      <c r="F5410" s="2" t="s">
        <v>23</v>
      </c>
      <c r="G5410" s="2" t="s">
        <v>22</v>
      </c>
      <c r="H5410" s="2" t="s">
        <v>23</v>
      </c>
      <c r="I5410" s="2" t="s">
        <v>23</v>
      </c>
      <c r="J5410" s="2">
        <v>1</v>
      </c>
      <c r="K5410" s="2" t="s">
        <v>24</v>
      </c>
      <c r="L5410" s="2">
        <v>25221</v>
      </c>
      <c r="M5410" s="2" t="s">
        <v>383</v>
      </c>
      <c r="N5410" s="2">
        <v>45</v>
      </c>
      <c r="O5410" s="2">
        <v>2674354.0499999998</v>
      </c>
      <c r="P5410" s="2">
        <v>59430.09</v>
      </c>
    </row>
    <row r="5411" spans="1:16" outlineLevel="2" x14ac:dyDescent="0.2">
      <c r="A5411" s="5">
        <v>46253</v>
      </c>
      <c r="B5411" s="2">
        <v>161765</v>
      </c>
      <c r="C5411" s="2">
        <v>2</v>
      </c>
      <c r="D5411" s="2" t="s">
        <v>197</v>
      </c>
      <c r="E5411" s="2" t="s">
        <v>584</v>
      </c>
      <c r="F5411" s="2" t="s">
        <v>40</v>
      </c>
      <c r="G5411" s="2" t="s">
        <v>22</v>
      </c>
      <c r="H5411" s="2" t="s">
        <v>23</v>
      </c>
      <c r="I5411" s="2" t="s">
        <v>23</v>
      </c>
      <c r="J5411" s="2">
        <v>1</v>
      </c>
      <c r="K5411" s="2" t="s">
        <v>24</v>
      </c>
      <c r="L5411" s="2">
        <v>2541</v>
      </c>
      <c r="M5411" s="2" t="s">
        <v>534</v>
      </c>
      <c r="N5411" s="2">
        <v>90</v>
      </c>
      <c r="O5411" s="2">
        <v>5853998.8200000003</v>
      </c>
      <c r="P5411" s="2">
        <v>65044.43</v>
      </c>
    </row>
    <row r="5412" spans="1:16" outlineLevel="2" x14ac:dyDescent="0.2">
      <c r="A5412" s="5">
        <v>46258</v>
      </c>
      <c r="B5412" s="2">
        <v>161765</v>
      </c>
      <c r="C5412" s="2">
        <v>3</v>
      </c>
      <c r="D5412" s="2" t="s">
        <v>197</v>
      </c>
      <c r="E5412" s="2" t="s">
        <v>582</v>
      </c>
      <c r="F5412" s="2" t="s">
        <v>23</v>
      </c>
      <c r="G5412" s="2" t="s">
        <v>22</v>
      </c>
      <c r="H5412" s="2" t="s">
        <v>23</v>
      </c>
      <c r="I5412" s="2" t="s">
        <v>23</v>
      </c>
      <c r="J5412" s="2">
        <v>1</v>
      </c>
      <c r="K5412" s="2" t="s">
        <v>24</v>
      </c>
      <c r="L5412" s="2">
        <v>25221</v>
      </c>
      <c r="M5412" s="2" t="s">
        <v>383</v>
      </c>
      <c r="N5412" s="2">
        <v>45</v>
      </c>
      <c r="O5412" s="2">
        <v>2674354.0499999998</v>
      </c>
      <c r="P5412" s="2">
        <v>59430.09</v>
      </c>
    </row>
    <row r="5413" spans="1:16" outlineLevel="2" x14ac:dyDescent="0.2">
      <c r="A5413" s="5">
        <v>46258</v>
      </c>
      <c r="B5413" s="2">
        <v>161765</v>
      </c>
      <c r="C5413" s="2">
        <v>5</v>
      </c>
      <c r="D5413" s="2" t="s">
        <v>197</v>
      </c>
      <c r="E5413" s="2" t="s">
        <v>538</v>
      </c>
      <c r="F5413" s="2" t="s">
        <v>40</v>
      </c>
      <c r="G5413" s="2" t="s">
        <v>22</v>
      </c>
      <c r="H5413" s="2" t="s">
        <v>23</v>
      </c>
      <c r="I5413" s="2" t="s">
        <v>23</v>
      </c>
      <c r="J5413" s="2">
        <v>1</v>
      </c>
      <c r="K5413" s="2" t="s">
        <v>24</v>
      </c>
      <c r="L5413" s="2">
        <v>2541</v>
      </c>
      <c r="M5413" s="2" t="s">
        <v>534</v>
      </c>
      <c r="N5413" s="2">
        <v>10</v>
      </c>
      <c r="O5413" s="2">
        <v>468286.6</v>
      </c>
      <c r="P5413" s="2">
        <v>46828.66</v>
      </c>
    </row>
    <row r="5414" spans="1:16" outlineLevel="1" x14ac:dyDescent="0.2">
      <c r="A5414" s="5"/>
      <c r="D5414" s="3" t="s">
        <v>734</v>
      </c>
      <c r="N5414" s="2">
        <f>SUBTOTAL(9,N5410:N5413)</f>
        <v>190</v>
      </c>
      <c r="O5414" s="2">
        <f>SUBTOTAL(9,O5410:O5413)</f>
        <v>11670993.520000001</v>
      </c>
      <c r="P5414" s="2">
        <f>+O5414/N5414</f>
        <v>61426.281684210531</v>
      </c>
    </row>
    <row r="5415" spans="1:16" outlineLevel="2" x14ac:dyDescent="0.2">
      <c r="A5415" s="5">
        <v>46255</v>
      </c>
      <c r="B5415" s="2">
        <v>161766</v>
      </c>
      <c r="C5415" s="2">
        <v>2</v>
      </c>
      <c r="D5415" s="2" t="s">
        <v>119</v>
      </c>
      <c r="E5415" s="2" t="s">
        <v>120</v>
      </c>
      <c r="F5415" s="2" t="s">
        <v>63</v>
      </c>
      <c r="G5415" s="2" t="s">
        <v>22</v>
      </c>
      <c r="H5415" s="2" t="s">
        <v>23</v>
      </c>
      <c r="I5415" s="2" t="s">
        <v>684</v>
      </c>
      <c r="J5415" s="2">
        <v>40</v>
      </c>
      <c r="K5415" s="2" t="s">
        <v>43</v>
      </c>
      <c r="L5415" s="2">
        <v>1779</v>
      </c>
      <c r="M5415" s="2" t="s">
        <v>502</v>
      </c>
      <c r="N5415" s="2">
        <v>45</v>
      </c>
      <c r="O5415" s="2">
        <v>2601848.7400000002</v>
      </c>
      <c r="P5415" s="2">
        <v>57818.86</v>
      </c>
    </row>
    <row r="5416" spans="1:16" outlineLevel="2" x14ac:dyDescent="0.2">
      <c r="A5416" s="5">
        <v>46255</v>
      </c>
      <c r="B5416" s="2">
        <v>161766</v>
      </c>
      <c r="C5416" s="2">
        <v>6</v>
      </c>
      <c r="D5416" s="2" t="s">
        <v>119</v>
      </c>
      <c r="E5416" s="2" t="s">
        <v>120</v>
      </c>
      <c r="F5416" s="2" t="s">
        <v>63</v>
      </c>
      <c r="G5416" s="2" t="s">
        <v>22</v>
      </c>
      <c r="H5416" s="2" t="s">
        <v>393</v>
      </c>
      <c r="I5416" s="2" t="s">
        <v>572</v>
      </c>
      <c r="J5416" s="2">
        <v>40</v>
      </c>
      <c r="K5416" s="2" t="s">
        <v>43</v>
      </c>
      <c r="L5416" s="2">
        <v>1779</v>
      </c>
      <c r="M5416" s="2" t="s">
        <v>502</v>
      </c>
      <c r="N5416" s="2">
        <v>56</v>
      </c>
      <c r="O5416" s="2">
        <v>3031554.35</v>
      </c>
      <c r="P5416" s="2">
        <v>54134.9</v>
      </c>
    </row>
    <row r="5417" spans="1:16" outlineLevel="1" x14ac:dyDescent="0.2">
      <c r="A5417" s="5"/>
      <c r="D5417" s="3" t="s">
        <v>708</v>
      </c>
      <c r="N5417" s="2">
        <f>SUBTOTAL(9,N5415:N5416)</f>
        <v>101</v>
      </c>
      <c r="O5417" s="2">
        <f>SUBTOTAL(9,O5415:O5416)</f>
        <v>5633403.0899999999</v>
      </c>
      <c r="P5417" s="2">
        <f>+O5417/N5417</f>
        <v>55776.26821782178</v>
      </c>
    </row>
    <row r="5418" spans="1:16" outlineLevel="2" x14ac:dyDescent="0.2">
      <c r="A5418" s="5">
        <v>46255</v>
      </c>
      <c r="B5418" s="2">
        <v>161767</v>
      </c>
      <c r="C5418" s="2">
        <v>1</v>
      </c>
      <c r="D5418" s="2" t="s">
        <v>38</v>
      </c>
      <c r="E5418" s="2" t="s">
        <v>39</v>
      </c>
      <c r="F5418" s="2" t="s">
        <v>40</v>
      </c>
      <c r="G5418" s="2" t="s">
        <v>41</v>
      </c>
      <c r="H5418" s="2" t="s">
        <v>23</v>
      </c>
      <c r="I5418" s="2" t="s">
        <v>217</v>
      </c>
      <c r="J5418" s="2">
        <v>40</v>
      </c>
      <c r="K5418" s="2" t="s">
        <v>43</v>
      </c>
      <c r="L5418" s="2">
        <v>25243</v>
      </c>
      <c r="M5418" s="2" t="s">
        <v>617</v>
      </c>
      <c r="N5418" s="2">
        <v>18</v>
      </c>
      <c r="O5418" s="2">
        <v>727169.55</v>
      </c>
      <c r="P5418" s="2">
        <v>40398.31</v>
      </c>
    </row>
    <row r="5419" spans="1:16" outlineLevel="2" x14ac:dyDescent="0.2">
      <c r="A5419" s="5">
        <v>46255</v>
      </c>
      <c r="B5419" s="2">
        <v>161767</v>
      </c>
      <c r="C5419" s="2">
        <v>2</v>
      </c>
      <c r="D5419" s="2" t="s">
        <v>38</v>
      </c>
      <c r="E5419" s="2" t="s">
        <v>39</v>
      </c>
      <c r="F5419" s="2" t="s">
        <v>40</v>
      </c>
      <c r="G5419" s="2" t="s">
        <v>41</v>
      </c>
      <c r="H5419" s="2" t="s">
        <v>23</v>
      </c>
      <c r="I5419" s="2" t="s">
        <v>220</v>
      </c>
      <c r="J5419" s="2">
        <v>40</v>
      </c>
      <c r="K5419" s="2" t="s">
        <v>43</v>
      </c>
      <c r="L5419" s="2">
        <v>25243</v>
      </c>
      <c r="M5419" s="2" t="s">
        <v>617</v>
      </c>
      <c r="N5419" s="2">
        <v>143</v>
      </c>
      <c r="O5419" s="2">
        <v>6051597.7999999998</v>
      </c>
      <c r="P5419" s="2">
        <v>42318.87</v>
      </c>
    </row>
    <row r="5420" spans="1:16" outlineLevel="2" x14ac:dyDescent="0.2">
      <c r="A5420" s="5">
        <v>46253</v>
      </c>
      <c r="B5420" s="2">
        <v>161768</v>
      </c>
      <c r="C5420" s="2">
        <v>1</v>
      </c>
      <c r="D5420" s="2" t="s">
        <v>38</v>
      </c>
      <c r="E5420" s="2" t="s">
        <v>39</v>
      </c>
      <c r="F5420" s="2" t="s">
        <v>40</v>
      </c>
      <c r="G5420" s="2" t="s">
        <v>407</v>
      </c>
      <c r="H5420" s="2" t="s">
        <v>23</v>
      </c>
      <c r="I5420" s="2" t="s">
        <v>184</v>
      </c>
      <c r="J5420" s="2">
        <v>40</v>
      </c>
      <c r="K5420" s="2" t="s">
        <v>43</v>
      </c>
      <c r="L5420" s="2">
        <v>25243</v>
      </c>
      <c r="M5420" s="2" t="s">
        <v>617</v>
      </c>
      <c r="N5420" s="2">
        <v>174</v>
      </c>
      <c r="O5420" s="2">
        <v>8176755.1100000003</v>
      </c>
      <c r="P5420" s="2">
        <v>46992.85</v>
      </c>
    </row>
    <row r="5421" spans="1:16" outlineLevel="2" x14ac:dyDescent="0.2">
      <c r="A5421" s="5">
        <v>46253</v>
      </c>
      <c r="B5421" s="2">
        <v>161768</v>
      </c>
      <c r="C5421" s="2">
        <v>2</v>
      </c>
      <c r="D5421" s="2" t="s">
        <v>38</v>
      </c>
      <c r="E5421" s="2" t="s">
        <v>39</v>
      </c>
      <c r="F5421" s="2" t="s">
        <v>40</v>
      </c>
      <c r="G5421" s="2" t="s">
        <v>407</v>
      </c>
      <c r="H5421" s="2" t="s">
        <v>23</v>
      </c>
      <c r="I5421" s="2" t="s">
        <v>614</v>
      </c>
      <c r="J5421" s="2">
        <v>40</v>
      </c>
      <c r="K5421" s="2" t="s">
        <v>43</v>
      </c>
      <c r="L5421" s="2">
        <v>25243</v>
      </c>
      <c r="M5421" s="2" t="s">
        <v>617</v>
      </c>
      <c r="N5421" s="2">
        <v>196</v>
      </c>
      <c r="O5421" s="2">
        <v>8668729.0600000005</v>
      </c>
      <c r="P5421" s="2">
        <v>44228.21</v>
      </c>
    </row>
    <row r="5422" spans="1:16" outlineLevel="2" x14ac:dyDescent="0.2">
      <c r="A5422" s="5">
        <v>46253</v>
      </c>
      <c r="B5422" s="2">
        <v>161768</v>
      </c>
      <c r="C5422" s="2">
        <v>3</v>
      </c>
      <c r="D5422" s="2" t="s">
        <v>38</v>
      </c>
      <c r="E5422" s="2" t="s">
        <v>39</v>
      </c>
      <c r="F5422" s="2" t="s">
        <v>40</v>
      </c>
      <c r="G5422" s="2" t="s">
        <v>654</v>
      </c>
      <c r="H5422" s="2" t="s">
        <v>23</v>
      </c>
      <c r="I5422" s="2" t="s">
        <v>445</v>
      </c>
      <c r="J5422" s="2">
        <v>40</v>
      </c>
      <c r="K5422" s="2" t="s">
        <v>43</v>
      </c>
      <c r="L5422" s="2">
        <v>25243</v>
      </c>
      <c r="M5422" s="2" t="s">
        <v>617</v>
      </c>
      <c r="N5422" s="2">
        <v>27</v>
      </c>
      <c r="O5422" s="2">
        <v>1052006.25</v>
      </c>
      <c r="P5422" s="2">
        <v>38963.19</v>
      </c>
    </row>
    <row r="5423" spans="1:16" outlineLevel="1" x14ac:dyDescent="0.2">
      <c r="A5423" s="5"/>
      <c r="D5423" s="3" t="s">
        <v>721</v>
      </c>
      <c r="N5423" s="2">
        <f>SUBTOTAL(9,N5418:N5422)</f>
        <v>558</v>
      </c>
      <c r="O5423" s="2">
        <f>SUBTOTAL(9,O5418:O5422)</f>
        <v>24676257.770000003</v>
      </c>
      <c r="P5423" s="2">
        <f>+O5423/N5423</f>
        <v>44222.684175627248</v>
      </c>
    </row>
    <row r="5424" spans="1:16" outlineLevel="2" x14ac:dyDescent="0.2">
      <c r="A5424" s="5">
        <v>46251</v>
      </c>
      <c r="B5424" s="2">
        <v>161776</v>
      </c>
      <c r="C5424" s="2">
        <v>9</v>
      </c>
      <c r="D5424" s="2" t="s">
        <v>45</v>
      </c>
      <c r="E5424" s="2" t="s">
        <v>227</v>
      </c>
      <c r="F5424" s="2" t="s">
        <v>289</v>
      </c>
      <c r="G5424" s="2" t="s">
        <v>22</v>
      </c>
      <c r="H5424" s="2" t="s">
        <v>23</v>
      </c>
      <c r="I5424" s="2" t="s">
        <v>23</v>
      </c>
      <c r="J5424" s="2">
        <v>2</v>
      </c>
      <c r="K5424" s="2" t="s">
        <v>48</v>
      </c>
      <c r="L5424" s="2">
        <v>801</v>
      </c>
      <c r="M5424" s="2" t="s">
        <v>56</v>
      </c>
      <c r="N5424" s="2">
        <v>25</v>
      </c>
      <c r="O5424" s="2">
        <v>832345</v>
      </c>
      <c r="P5424" s="2">
        <v>33293.800000000003</v>
      </c>
    </row>
    <row r="5425" spans="1:16" outlineLevel="2" x14ac:dyDescent="0.2">
      <c r="A5425" s="5">
        <v>46251</v>
      </c>
      <c r="B5425" s="2">
        <v>161776</v>
      </c>
      <c r="C5425" s="2">
        <v>10</v>
      </c>
      <c r="D5425" s="2" t="s">
        <v>45</v>
      </c>
      <c r="E5425" s="2" t="s">
        <v>227</v>
      </c>
      <c r="F5425" s="2" t="s">
        <v>289</v>
      </c>
      <c r="G5425" s="2" t="s">
        <v>22</v>
      </c>
      <c r="H5425" s="2" t="s">
        <v>23</v>
      </c>
      <c r="I5425" s="2" t="s">
        <v>23</v>
      </c>
      <c r="J5425" s="2">
        <v>41</v>
      </c>
      <c r="K5425" s="2" t="s">
        <v>129</v>
      </c>
      <c r="L5425" s="2">
        <v>801</v>
      </c>
      <c r="M5425" s="2" t="s">
        <v>56</v>
      </c>
      <c r="N5425" s="2">
        <v>78</v>
      </c>
      <c r="O5425" s="2">
        <v>1366337.8</v>
      </c>
      <c r="P5425" s="2">
        <v>17517.150000000001</v>
      </c>
    </row>
    <row r="5426" spans="1:16" outlineLevel="2" x14ac:dyDescent="0.2">
      <c r="A5426" s="5">
        <v>46251</v>
      </c>
      <c r="B5426" s="2">
        <v>161776</v>
      </c>
      <c r="C5426" s="2">
        <v>12</v>
      </c>
      <c r="D5426" s="2" t="s">
        <v>45</v>
      </c>
      <c r="E5426" s="2" t="s">
        <v>227</v>
      </c>
      <c r="F5426" s="2" t="s">
        <v>289</v>
      </c>
      <c r="G5426" s="2" t="s">
        <v>210</v>
      </c>
      <c r="H5426" s="2" t="s">
        <v>23</v>
      </c>
      <c r="I5426" s="2" t="s">
        <v>23</v>
      </c>
      <c r="J5426" s="2">
        <v>41</v>
      </c>
      <c r="K5426" s="2" t="s">
        <v>129</v>
      </c>
      <c r="L5426" s="2">
        <v>801</v>
      </c>
      <c r="M5426" s="2" t="s">
        <v>56</v>
      </c>
      <c r="N5426" s="2">
        <v>21</v>
      </c>
      <c r="O5426" s="2">
        <v>384600.86</v>
      </c>
      <c r="P5426" s="2">
        <v>18314.330000000002</v>
      </c>
    </row>
    <row r="5427" spans="1:16" outlineLevel="2" x14ac:dyDescent="0.2">
      <c r="A5427" s="5">
        <v>46251</v>
      </c>
      <c r="B5427" s="2">
        <v>161776</v>
      </c>
      <c r="C5427" s="2">
        <v>14</v>
      </c>
      <c r="D5427" s="2" t="s">
        <v>45</v>
      </c>
      <c r="E5427" s="2" t="s">
        <v>598</v>
      </c>
      <c r="F5427" s="2" t="s">
        <v>289</v>
      </c>
      <c r="G5427" s="2" t="s">
        <v>22</v>
      </c>
      <c r="H5427" s="2" t="s">
        <v>23</v>
      </c>
      <c r="I5427" s="2" t="s">
        <v>23</v>
      </c>
      <c r="J5427" s="2">
        <v>41</v>
      </c>
      <c r="K5427" s="2" t="s">
        <v>129</v>
      </c>
      <c r="L5427" s="2">
        <v>801</v>
      </c>
      <c r="M5427" s="2" t="s">
        <v>56</v>
      </c>
      <c r="N5427" s="2">
        <v>4</v>
      </c>
      <c r="O5427" s="2">
        <v>73435.12</v>
      </c>
      <c r="P5427" s="2">
        <v>18358.78</v>
      </c>
    </row>
    <row r="5428" spans="1:16" outlineLevel="2" x14ac:dyDescent="0.2">
      <c r="A5428" s="5">
        <v>46251</v>
      </c>
      <c r="B5428" s="2">
        <v>161776</v>
      </c>
      <c r="C5428" s="2">
        <v>15</v>
      </c>
      <c r="D5428" s="2" t="s">
        <v>45</v>
      </c>
      <c r="E5428" s="2" t="s">
        <v>46</v>
      </c>
      <c r="F5428" s="2" t="s">
        <v>289</v>
      </c>
      <c r="G5428" s="2" t="s">
        <v>22</v>
      </c>
      <c r="H5428" s="2" t="s">
        <v>23</v>
      </c>
      <c r="I5428" s="2" t="s">
        <v>23</v>
      </c>
      <c r="J5428" s="2">
        <v>2</v>
      </c>
      <c r="K5428" s="2" t="s">
        <v>48</v>
      </c>
      <c r="L5428" s="2">
        <v>801</v>
      </c>
      <c r="M5428" s="2" t="s">
        <v>56</v>
      </c>
      <c r="N5428" s="2">
        <v>2</v>
      </c>
      <c r="O5428" s="2">
        <v>14315.02</v>
      </c>
      <c r="P5428" s="2">
        <v>7157.51</v>
      </c>
    </row>
    <row r="5429" spans="1:16" outlineLevel="1" x14ac:dyDescent="0.2">
      <c r="A5429" s="5"/>
      <c r="D5429" s="3" t="s">
        <v>733</v>
      </c>
      <c r="N5429" s="2">
        <f>SUBTOTAL(9,N5424:N5428)</f>
        <v>130</v>
      </c>
      <c r="O5429" s="2">
        <f>SUBTOTAL(9,O5424:O5428)</f>
        <v>2671033.7999999998</v>
      </c>
      <c r="P5429" s="2">
        <f>+O5429/N5429</f>
        <v>20546.413846153846</v>
      </c>
    </row>
    <row r="5430" spans="1:16" outlineLevel="2" x14ac:dyDescent="0.2">
      <c r="A5430" s="5">
        <v>46251</v>
      </c>
      <c r="B5430" s="2">
        <v>161776</v>
      </c>
      <c r="C5430" s="2">
        <v>16</v>
      </c>
      <c r="D5430" s="2" t="s">
        <v>226</v>
      </c>
      <c r="E5430" s="2" t="s">
        <v>685</v>
      </c>
      <c r="F5430" s="2" t="s">
        <v>289</v>
      </c>
      <c r="G5430" s="2" t="s">
        <v>22</v>
      </c>
      <c r="H5430" s="2" t="s">
        <v>23</v>
      </c>
      <c r="I5430" s="2" t="s">
        <v>23</v>
      </c>
      <c r="J5430" s="2">
        <v>41</v>
      </c>
      <c r="K5430" s="2" t="s">
        <v>129</v>
      </c>
      <c r="L5430" s="2">
        <v>801</v>
      </c>
      <c r="M5430" s="2" t="s">
        <v>56</v>
      </c>
      <c r="N5430" s="2">
        <v>38</v>
      </c>
      <c r="O5430" s="2">
        <v>720035.91</v>
      </c>
      <c r="P5430" s="2">
        <v>18948.310000000001</v>
      </c>
    </row>
    <row r="5431" spans="1:16" outlineLevel="2" x14ac:dyDescent="0.2">
      <c r="A5431" s="5">
        <v>46251</v>
      </c>
      <c r="B5431" s="2">
        <v>161776</v>
      </c>
      <c r="C5431" s="2">
        <v>17</v>
      </c>
      <c r="D5431" s="2" t="s">
        <v>226</v>
      </c>
      <c r="E5431" s="2" t="s">
        <v>544</v>
      </c>
      <c r="F5431" s="2" t="s">
        <v>289</v>
      </c>
      <c r="G5431" s="2" t="s">
        <v>22</v>
      </c>
      <c r="H5431" s="2" t="s">
        <v>23</v>
      </c>
      <c r="I5431" s="2" t="s">
        <v>23</v>
      </c>
      <c r="J5431" s="2">
        <v>41</v>
      </c>
      <c r="K5431" s="2" t="s">
        <v>129</v>
      </c>
      <c r="L5431" s="2">
        <v>801</v>
      </c>
      <c r="M5431" s="2" t="s">
        <v>56</v>
      </c>
      <c r="N5431" s="2">
        <v>22</v>
      </c>
      <c r="O5431" s="2">
        <v>286279.78000000003</v>
      </c>
      <c r="P5431" s="2">
        <v>13012.72</v>
      </c>
    </row>
    <row r="5432" spans="1:16" outlineLevel="2" x14ac:dyDescent="0.2">
      <c r="A5432" s="5">
        <v>46251</v>
      </c>
      <c r="B5432" s="2">
        <v>161776</v>
      </c>
      <c r="C5432" s="2">
        <v>20</v>
      </c>
      <c r="D5432" s="2" t="s">
        <v>226</v>
      </c>
      <c r="E5432" s="2" t="s">
        <v>651</v>
      </c>
      <c r="F5432" s="2" t="s">
        <v>289</v>
      </c>
      <c r="G5432" s="2" t="s">
        <v>22</v>
      </c>
      <c r="H5432" s="2" t="s">
        <v>23</v>
      </c>
      <c r="I5432" s="2" t="s">
        <v>23</v>
      </c>
      <c r="J5432" s="2">
        <v>41</v>
      </c>
      <c r="K5432" s="2" t="s">
        <v>129</v>
      </c>
      <c r="L5432" s="2">
        <v>801</v>
      </c>
      <c r="M5432" s="2" t="s">
        <v>56</v>
      </c>
      <c r="N5432" s="2">
        <v>77</v>
      </c>
      <c r="O5432" s="2">
        <v>1948166.28</v>
      </c>
      <c r="P5432" s="2">
        <v>25300.86</v>
      </c>
    </row>
    <row r="5433" spans="1:16" outlineLevel="2" x14ac:dyDescent="0.2">
      <c r="A5433" s="5">
        <v>46251</v>
      </c>
      <c r="B5433" s="2">
        <v>161776</v>
      </c>
      <c r="C5433" s="2">
        <v>22</v>
      </c>
      <c r="D5433" s="2" t="s">
        <v>226</v>
      </c>
      <c r="E5433" s="2" t="s">
        <v>640</v>
      </c>
      <c r="F5433" s="2" t="s">
        <v>289</v>
      </c>
      <c r="G5433" s="2" t="s">
        <v>22</v>
      </c>
      <c r="H5433" s="2" t="s">
        <v>23</v>
      </c>
      <c r="I5433" s="2" t="s">
        <v>23</v>
      </c>
      <c r="J5433" s="2">
        <v>41</v>
      </c>
      <c r="K5433" s="2" t="s">
        <v>129</v>
      </c>
      <c r="L5433" s="2">
        <v>801</v>
      </c>
      <c r="M5433" s="2" t="s">
        <v>56</v>
      </c>
      <c r="N5433" s="2">
        <v>19</v>
      </c>
      <c r="O5433" s="2">
        <v>430336.03</v>
      </c>
      <c r="P5433" s="2">
        <v>22649.26</v>
      </c>
    </row>
    <row r="5434" spans="1:16" outlineLevel="1" x14ac:dyDescent="0.2">
      <c r="A5434" s="5"/>
      <c r="D5434" s="3" t="s">
        <v>736</v>
      </c>
      <c r="N5434" s="2">
        <f>SUBTOTAL(9,N5430:N5433)</f>
        <v>156</v>
      </c>
      <c r="O5434" s="2">
        <f>SUBTOTAL(9,O5430:O5433)</f>
        <v>3384818</v>
      </c>
      <c r="P5434" s="2">
        <f>+O5434/N5434</f>
        <v>21697.551282051281</v>
      </c>
    </row>
    <row r="5435" spans="1:16" outlineLevel="2" x14ac:dyDescent="0.2">
      <c r="A5435" s="5">
        <v>46253</v>
      </c>
      <c r="B5435" s="2">
        <v>161776</v>
      </c>
      <c r="C5435" s="2">
        <v>308</v>
      </c>
      <c r="D5435" s="2" t="s">
        <v>54</v>
      </c>
      <c r="E5435" s="2" t="s">
        <v>30</v>
      </c>
      <c r="F5435" s="2" t="s">
        <v>289</v>
      </c>
      <c r="G5435" s="2" t="s">
        <v>22</v>
      </c>
      <c r="H5435" s="2" t="s">
        <v>23</v>
      </c>
      <c r="I5435" s="2" t="s">
        <v>23</v>
      </c>
      <c r="J5435" s="2">
        <v>2</v>
      </c>
      <c r="K5435" s="2" t="s">
        <v>48</v>
      </c>
      <c r="L5435" s="2">
        <v>801</v>
      </c>
      <c r="M5435" s="2" t="s">
        <v>56</v>
      </c>
      <c r="N5435" s="2">
        <v>8</v>
      </c>
      <c r="O5435" s="2">
        <v>57260.08</v>
      </c>
      <c r="P5435" s="2">
        <v>7157.51</v>
      </c>
    </row>
    <row r="5436" spans="1:16" outlineLevel="1" x14ac:dyDescent="0.2">
      <c r="A5436" s="5"/>
      <c r="D5436" s="3" t="s">
        <v>719</v>
      </c>
      <c r="N5436" s="2">
        <f>SUBTOTAL(9,N5435:N5435)</f>
        <v>8</v>
      </c>
      <c r="O5436" s="2">
        <f>SUBTOTAL(9,O5435:O5435)</f>
        <v>57260.08</v>
      </c>
      <c r="P5436" s="2">
        <f>+O5436/N5436</f>
        <v>7157.51</v>
      </c>
    </row>
    <row r="5437" spans="1:16" outlineLevel="2" x14ac:dyDescent="0.2">
      <c r="A5437" s="5">
        <v>46260</v>
      </c>
      <c r="B5437" s="2">
        <v>161776</v>
      </c>
      <c r="C5437" s="2">
        <v>320</v>
      </c>
      <c r="D5437" s="2" t="s">
        <v>406</v>
      </c>
      <c r="E5437" s="2" t="s">
        <v>227</v>
      </c>
      <c r="F5437" s="2" t="s">
        <v>289</v>
      </c>
      <c r="G5437" s="2" t="s">
        <v>22</v>
      </c>
      <c r="H5437" s="2" t="s">
        <v>23</v>
      </c>
      <c r="I5437" s="2" t="s">
        <v>23</v>
      </c>
      <c r="J5437" s="2">
        <v>2</v>
      </c>
      <c r="K5437" s="2" t="s">
        <v>48</v>
      </c>
      <c r="L5437" s="2">
        <v>801</v>
      </c>
      <c r="M5437" s="2" t="s">
        <v>56</v>
      </c>
      <c r="N5437" s="2">
        <v>1</v>
      </c>
      <c r="O5437" s="2">
        <v>16801.900000000001</v>
      </c>
      <c r="P5437" s="2">
        <v>16801.900000000001</v>
      </c>
    </row>
    <row r="5438" spans="1:16" outlineLevel="1" x14ac:dyDescent="0.2">
      <c r="A5438" s="5"/>
      <c r="D5438" s="3" t="s">
        <v>770</v>
      </c>
      <c r="N5438" s="2">
        <f>SUBTOTAL(9,N5437:N5437)</f>
        <v>1</v>
      </c>
      <c r="O5438" s="2">
        <f>SUBTOTAL(9,O5437:O5437)</f>
        <v>16801.900000000001</v>
      </c>
      <c r="P5438" s="2">
        <f>+O5438/N5438</f>
        <v>16801.900000000001</v>
      </c>
    </row>
    <row r="5439" spans="1:16" outlineLevel="2" x14ac:dyDescent="0.2">
      <c r="A5439" s="5">
        <v>46260</v>
      </c>
      <c r="B5439" s="2">
        <v>161776</v>
      </c>
      <c r="C5439" s="2">
        <v>321</v>
      </c>
      <c r="D5439" s="2" t="s">
        <v>54</v>
      </c>
      <c r="E5439" s="2" t="s">
        <v>30</v>
      </c>
      <c r="F5439" s="2" t="s">
        <v>289</v>
      </c>
      <c r="G5439" s="2" t="s">
        <v>22</v>
      </c>
      <c r="H5439" s="2" t="s">
        <v>23</v>
      </c>
      <c r="I5439" s="2" t="s">
        <v>23</v>
      </c>
      <c r="J5439" s="2">
        <v>2</v>
      </c>
      <c r="K5439" s="2" t="s">
        <v>48</v>
      </c>
      <c r="L5439" s="2">
        <v>801</v>
      </c>
      <c r="M5439" s="2" t="s">
        <v>56</v>
      </c>
      <c r="N5439" s="2">
        <v>1</v>
      </c>
      <c r="O5439" s="2">
        <v>13691.58</v>
      </c>
      <c r="P5439" s="2">
        <v>13691.58</v>
      </c>
    </row>
    <row r="5440" spans="1:16" outlineLevel="1" x14ac:dyDescent="0.2">
      <c r="A5440" s="5"/>
      <c r="D5440" s="3" t="s">
        <v>719</v>
      </c>
      <c r="N5440" s="2">
        <f>SUBTOTAL(9,N5439:N5439)</f>
        <v>1</v>
      </c>
      <c r="O5440" s="2">
        <f>SUBTOTAL(9,O5439:O5439)</f>
        <v>13691.58</v>
      </c>
      <c r="P5440" s="2">
        <f>+O5440/N5440</f>
        <v>13691.58</v>
      </c>
    </row>
    <row r="5441" spans="1:16" outlineLevel="2" x14ac:dyDescent="0.2">
      <c r="A5441" s="5">
        <v>46251</v>
      </c>
      <c r="B5441" s="2">
        <v>161777</v>
      </c>
      <c r="C5441" s="2">
        <v>5</v>
      </c>
      <c r="D5441" s="2" t="s">
        <v>45</v>
      </c>
      <c r="E5441" s="2" t="s">
        <v>125</v>
      </c>
      <c r="F5441" s="2" t="s">
        <v>289</v>
      </c>
      <c r="G5441" s="2" t="s">
        <v>22</v>
      </c>
      <c r="H5441" s="2" t="s">
        <v>23</v>
      </c>
      <c r="I5441" s="2" t="s">
        <v>23</v>
      </c>
      <c r="J5441" s="2">
        <v>2</v>
      </c>
      <c r="K5441" s="2" t="s">
        <v>48</v>
      </c>
      <c r="L5441" s="2">
        <v>106</v>
      </c>
      <c r="M5441" s="2" t="s">
        <v>486</v>
      </c>
      <c r="N5441" s="2">
        <v>45</v>
      </c>
      <c r="O5441" s="2">
        <v>1322700.24</v>
      </c>
      <c r="P5441" s="2">
        <v>29393.34</v>
      </c>
    </row>
    <row r="5442" spans="1:16" outlineLevel="1" x14ac:dyDescent="0.2">
      <c r="A5442" s="5"/>
      <c r="D5442" s="3" t="s">
        <v>733</v>
      </c>
      <c r="N5442" s="2">
        <f>SUBTOTAL(9,N5441:N5441)</f>
        <v>45</v>
      </c>
      <c r="O5442" s="2">
        <f>SUBTOTAL(9,O5441:O5441)</f>
        <v>1322700.24</v>
      </c>
      <c r="P5442" s="2">
        <f>+O5442/N5442</f>
        <v>29393.338666666667</v>
      </c>
    </row>
    <row r="5443" spans="1:16" outlineLevel="2" x14ac:dyDescent="0.2">
      <c r="A5443" s="5">
        <v>46251</v>
      </c>
      <c r="B5443" s="2">
        <v>161777</v>
      </c>
      <c r="C5443" s="2">
        <v>7</v>
      </c>
      <c r="D5443" s="2" t="s">
        <v>226</v>
      </c>
      <c r="E5443" s="2" t="s">
        <v>671</v>
      </c>
      <c r="F5443" s="2" t="s">
        <v>289</v>
      </c>
      <c r="G5443" s="2" t="s">
        <v>22</v>
      </c>
      <c r="H5443" s="2" t="s">
        <v>23</v>
      </c>
      <c r="I5443" s="2" t="s">
        <v>23</v>
      </c>
      <c r="J5443" s="2">
        <v>2</v>
      </c>
      <c r="K5443" s="2" t="s">
        <v>48</v>
      </c>
      <c r="L5443" s="2">
        <v>106</v>
      </c>
      <c r="M5443" s="2" t="s">
        <v>486</v>
      </c>
      <c r="N5443" s="2">
        <v>24</v>
      </c>
      <c r="O5443" s="2">
        <v>579693.12</v>
      </c>
      <c r="P5443" s="2">
        <v>24153.88</v>
      </c>
    </row>
    <row r="5444" spans="1:16" outlineLevel="1" x14ac:dyDescent="0.2">
      <c r="A5444" s="5"/>
      <c r="D5444" s="3" t="s">
        <v>736</v>
      </c>
      <c r="N5444" s="2">
        <f>SUBTOTAL(9,N5443:N5443)</f>
        <v>24</v>
      </c>
      <c r="O5444" s="2">
        <f>SUBTOTAL(9,O5443:O5443)</f>
        <v>579693.12</v>
      </c>
      <c r="P5444" s="2">
        <f>+O5444/N5444</f>
        <v>24153.88</v>
      </c>
    </row>
    <row r="5445" spans="1:16" outlineLevel="2" x14ac:dyDescent="0.2">
      <c r="A5445" s="5">
        <v>46253</v>
      </c>
      <c r="B5445" s="2">
        <v>161778</v>
      </c>
      <c r="C5445" s="2">
        <v>315</v>
      </c>
      <c r="D5445" s="2" t="s">
        <v>45</v>
      </c>
      <c r="E5445" s="2" t="s">
        <v>125</v>
      </c>
      <c r="F5445" s="2" t="s">
        <v>289</v>
      </c>
      <c r="G5445" s="2" t="s">
        <v>22</v>
      </c>
      <c r="H5445" s="2" t="s">
        <v>23</v>
      </c>
      <c r="I5445" s="2" t="s">
        <v>23</v>
      </c>
      <c r="J5445" s="2">
        <v>2</v>
      </c>
      <c r="K5445" s="2" t="s">
        <v>48</v>
      </c>
      <c r="L5445" s="2">
        <v>106</v>
      </c>
      <c r="M5445" s="2" t="s">
        <v>486</v>
      </c>
      <c r="N5445" s="2">
        <v>30</v>
      </c>
      <c r="O5445" s="2">
        <v>130715.7</v>
      </c>
      <c r="P5445" s="2">
        <v>4357.1899999999996</v>
      </c>
    </row>
    <row r="5446" spans="1:16" outlineLevel="1" x14ac:dyDescent="0.2">
      <c r="A5446" s="5"/>
      <c r="D5446" s="3" t="s">
        <v>733</v>
      </c>
      <c r="N5446" s="2">
        <f>SUBTOTAL(9,N5445:N5445)</f>
        <v>30</v>
      </c>
      <c r="O5446" s="2">
        <f>SUBTOTAL(9,O5445:O5445)</f>
        <v>130715.7</v>
      </c>
      <c r="P5446" s="2">
        <f>+O5446/N5446</f>
        <v>4357.1899999999996</v>
      </c>
    </row>
    <row r="5447" spans="1:16" outlineLevel="2" x14ac:dyDescent="0.2">
      <c r="A5447" s="5">
        <v>46260</v>
      </c>
      <c r="B5447" s="2">
        <v>161779</v>
      </c>
      <c r="C5447" s="2">
        <v>1</v>
      </c>
      <c r="D5447" s="2" t="s">
        <v>70</v>
      </c>
      <c r="E5447" s="2" t="s">
        <v>23</v>
      </c>
      <c r="F5447" s="2" t="s">
        <v>72</v>
      </c>
      <c r="G5447" s="2" t="s">
        <v>22</v>
      </c>
      <c r="H5447" s="2" t="s">
        <v>23</v>
      </c>
      <c r="I5447" s="2" t="s">
        <v>23</v>
      </c>
      <c r="J5447" s="2">
        <v>86</v>
      </c>
      <c r="K5447" s="2" t="s">
        <v>73</v>
      </c>
      <c r="L5447" s="2">
        <v>896</v>
      </c>
      <c r="M5447" s="2" t="s">
        <v>74</v>
      </c>
      <c r="N5447" s="2">
        <v>18</v>
      </c>
      <c r="O5447" s="2">
        <v>354727.38</v>
      </c>
      <c r="P5447" s="2">
        <v>19707.080000000002</v>
      </c>
    </row>
    <row r="5448" spans="1:16" outlineLevel="1" x14ac:dyDescent="0.2">
      <c r="A5448" s="5"/>
      <c r="D5448" s="3" t="s">
        <v>695</v>
      </c>
      <c r="N5448" s="2">
        <f>SUBTOTAL(9,N5447:N5447)</f>
        <v>18</v>
      </c>
      <c r="O5448" s="2">
        <f>SUBTOTAL(9,O5447:O5447)</f>
        <v>354727.38</v>
      </c>
      <c r="P5448" s="2">
        <f>+O5448/N5448</f>
        <v>19707.076666666668</v>
      </c>
    </row>
    <row r="5449" spans="1:16" outlineLevel="2" x14ac:dyDescent="0.2">
      <c r="A5449" s="5">
        <v>46253</v>
      </c>
      <c r="B5449" s="2">
        <v>161787</v>
      </c>
      <c r="C5449" s="2">
        <v>2</v>
      </c>
      <c r="D5449" s="2" t="s">
        <v>404</v>
      </c>
      <c r="E5449" s="2" t="s">
        <v>23</v>
      </c>
      <c r="F5449" s="2" t="s">
        <v>405</v>
      </c>
      <c r="G5449" s="2" t="s">
        <v>22</v>
      </c>
      <c r="H5449" s="2" t="s">
        <v>23</v>
      </c>
      <c r="I5449" s="2" t="s">
        <v>23</v>
      </c>
      <c r="J5449" s="2">
        <v>86</v>
      </c>
      <c r="K5449" s="2" t="s">
        <v>73</v>
      </c>
      <c r="L5449" s="2">
        <v>1795</v>
      </c>
      <c r="M5449" s="2" t="s">
        <v>506</v>
      </c>
      <c r="N5449" s="2">
        <v>28</v>
      </c>
      <c r="O5449" s="2">
        <v>327357.92</v>
      </c>
      <c r="P5449" s="2">
        <v>11691.35</v>
      </c>
    </row>
    <row r="5450" spans="1:16" outlineLevel="1" x14ac:dyDescent="0.2">
      <c r="A5450" s="5"/>
      <c r="D5450" s="3" t="s">
        <v>769</v>
      </c>
      <c r="N5450" s="2">
        <f>SUBTOTAL(9,N5449:N5449)</f>
        <v>28</v>
      </c>
      <c r="O5450" s="2">
        <f>SUBTOTAL(9,O5449:O5449)</f>
        <v>327357.92</v>
      </c>
      <c r="P5450" s="2">
        <f>+O5450/N5450</f>
        <v>11691.354285714286</v>
      </c>
    </row>
    <row r="5451" spans="1:16" outlineLevel="2" x14ac:dyDescent="0.2">
      <c r="A5451" s="5">
        <v>46260</v>
      </c>
      <c r="B5451" s="2">
        <v>161794</v>
      </c>
      <c r="C5451" s="2">
        <v>320</v>
      </c>
      <c r="D5451" s="2" t="s">
        <v>406</v>
      </c>
      <c r="E5451" s="2" t="s">
        <v>46</v>
      </c>
      <c r="F5451" s="2" t="s">
        <v>289</v>
      </c>
      <c r="G5451" s="2" t="s">
        <v>22</v>
      </c>
      <c r="H5451" s="2" t="s">
        <v>23</v>
      </c>
      <c r="I5451" s="2" t="s">
        <v>23</v>
      </c>
      <c r="J5451" s="2">
        <v>2</v>
      </c>
      <c r="K5451" s="2" t="s">
        <v>48</v>
      </c>
      <c r="L5451" s="2">
        <v>1557</v>
      </c>
      <c r="M5451" s="2" t="s">
        <v>98</v>
      </c>
      <c r="N5451" s="2">
        <v>4</v>
      </c>
      <c r="O5451" s="2">
        <v>79655.740000000005</v>
      </c>
      <c r="P5451" s="2">
        <v>19913.939999999999</v>
      </c>
    </row>
    <row r="5452" spans="1:16" outlineLevel="1" x14ac:dyDescent="0.2">
      <c r="A5452" s="5"/>
      <c r="D5452" s="3" t="s">
        <v>770</v>
      </c>
      <c r="N5452" s="2">
        <f>SUBTOTAL(9,N5451:N5451)</f>
        <v>4</v>
      </c>
      <c r="O5452" s="2">
        <f>SUBTOTAL(9,O5451:O5451)</f>
        <v>79655.740000000005</v>
      </c>
      <c r="P5452" s="2">
        <f>+O5452/N5452</f>
        <v>19913.935000000001</v>
      </c>
    </row>
    <row r="5453" spans="1:16" outlineLevel="2" x14ac:dyDescent="0.2">
      <c r="A5453" s="5">
        <v>46258</v>
      </c>
      <c r="B5453" s="2">
        <v>161799</v>
      </c>
      <c r="C5453" s="2">
        <v>2</v>
      </c>
      <c r="D5453" s="2" t="s">
        <v>45</v>
      </c>
      <c r="E5453" s="2" t="s">
        <v>46</v>
      </c>
      <c r="F5453" s="2" t="s">
        <v>47</v>
      </c>
      <c r="G5453" s="2" t="s">
        <v>22</v>
      </c>
      <c r="H5453" s="2" t="s">
        <v>23</v>
      </c>
      <c r="I5453" s="2" t="s">
        <v>23</v>
      </c>
      <c r="J5453" s="2">
        <v>2</v>
      </c>
      <c r="K5453" s="2" t="s">
        <v>48</v>
      </c>
      <c r="L5453" s="2">
        <v>626</v>
      </c>
      <c r="M5453" s="2" t="s">
        <v>49</v>
      </c>
      <c r="N5453" s="2">
        <v>32</v>
      </c>
      <c r="O5453" s="2">
        <v>1066951.6200000001</v>
      </c>
      <c r="P5453" s="2">
        <v>33342.239999999998</v>
      </c>
    </row>
    <row r="5454" spans="1:16" outlineLevel="1" x14ac:dyDescent="0.2">
      <c r="A5454" s="5"/>
      <c r="D5454" s="3" t="s">
        <v>733</v>
      </c>
      <c r="N5454" s="2">
        <f>SUBTOTAL(9,N5453:N5453)</f>
        <v>32</v>
      </c>
      <c r="O5454" s="2">
        <f>SUBTOTAL(9,O5453:O5453)</f>
        <v>1066951.6200000001</v>
      </c>
      <c r="P5454" s="2">
        <f>+O5454/N5454</f>
        <v>33342.238125000003</v>
      </c>
    </row>
    <row r="5455" spans="1:16" outlineLevel="2" x14ac:dyDescent="0.2">
      <c r="A5455" s="5">
        <v>46255</v>
      </c>
      <c r="B5455" s="2">
        <v>161803</v>
      </c>
      <c r="C5455" s="2">
        <v>1</v>
      </c>
      <c r="D5455" s="2" t="s">
        <v>474</v>
      </c>
      <c r="E5455" s="2" t="s">
        <v>475</v>
      </c>
      <c r="F5455" s="2" t="s">
        <v>47</v>
      </c>
      <c r="G5455" s="2" t="s">
        <v>22</v>
      </c>
      <c r="H5455" s="2" t="s">
        <v>23</v>
      </c>
      <c r="I5455" s="2" t="s">
        <v>23</v>
      </c>
      <c r="J5455" s="2">
        <v>41</v>
      </c>
      <c r="K5455" s="2" t="s">
        <v>129</v>
      </c>
      <c r="L5455" s="2">
        <v>2338</v>
      </c>
      <c r="M5455" s="2" t="s">
        <v>417</v>
      </c>
      <c r="N5455" s="2">
        <v>576</v>
      </c>
      <c r="O5455" s="2">
        <v>591992.09</v>
      </c>
      <c r="P5455" s="2">
        <v>1027.76</v>
      </c>
    </row>
    <row r="5456" spans="1:16" outlineLevel="1" x14ac:dyDescent="0.2">
      <c r="A5456" s="5"/>
      <c r="D5456" s="3" t="s">
        <v>780</v>
      </c>
      <c r="N5456" s="2">
        <f>SUBTOTAL(9,N5455:N5455)</f>
        <v>576</v>
      </c>
      <c r="O5456" s="2">
        <f>SUBTOTAL(9,O5455:O5455)</f>
        <v>591992.09</v>
      </c>
      <c r="P5456" s="2">
        <f>+O5456/N5456</f>
        <v>1027.7640451388888</v>
      </c>
    </row>
    <row r="5457" spans="1:16" outlineLevel="2" x14ac:dyDescent="0.2">
      <c r="A5457" s="5">
        <v>46255</v>
      </c>
      <c r="B5457" s="2">
        <v>161804</v>
      </c>
      <c r="C5457" s="2">
        <v>1</v>
      </c>
      <c r="D5457" s="2" t="s">
        <v>140</v>
      </c>
      <c r="E5457" s="2" t="s">
        <v>23</v>
      </c>
      <c r="F5457" s="2" t="s">
        <v>108</v>
      </c>
      <c r="G5457" s="2" t="s">
        <v>22</v>
      </c>
      <c r="H5457" s="2" t="s">
        <v>23</v>
      </c>
      <c r="I5457" s="2" t="s">
        <v>23</v>
      </c>
      <c r="J5457" s="2">
        <v>1</v>
      </c>
      <c r="K5457" s="2" t="s">
        <v>24</v>
      </c>
      <c r="L5457" s="2">
        <v>1503</v>
      </c>
      <c r="M5457" s="2" t="s">
        <v>603</v>
      </c>
      <c r="N5457" s="2">
        <v>42</v>
      </c>
      <c r="O5457" s="2">
        <v>2123621.64</v>
      </c>
      <c r="P5457" s="2">
        <v>50562.42</v>
      </c>
    </row>
    <row r="5458" spans="1:16" outlineLevel="1" x14ac:dyDescent="0.2">
      <c r="A5458" s="5"/>
      <c r="D5458" s="3" t="s">
        <v>696</v>
      </c>
      <c r="N5458" s="2">
        <f>SUBTOTAL(9,N5457:N5457)</f>
        <v>42</v>
      </c>
      <c r="O5458" s="2">
        <f>SUBTOTAL(9,O5457:O5457)</f>
        <v>2123621.64</v>
      </c>
      <c r="P5458" s="2">
        <f>+O5458/N5458</f>
        <v>50562.420000000006</v>
      </c>
    </row>
    <row r="5459" spans="1:16" outlineLevel="2" x14ac:dyDescent="0.2">
      <c r="A5459" s="5">
        <v>46255</v>
      </c>
      <c r="B5459" s="2">
        <v>161806</v>
      </c>
      <c r="C5459" s="2">
        <v>2</v>
      </c>
      <c r="D5459" s="2" t="s">
        <v>60</v>
      </c>
      <c r="E5459" s="2" t="s">
        <v>669</v>
      </c>
      <c r="F5459" s="2" t="s">
        <v>31</v>
      </c>
      <c r="G5459" s="2" t="s">
        <v>22</v>
      </c>
      <c r="H5459" s="2" t="s">
        <v>23</v>
      </c>
      <c r="I5459" s="2" t="s">
        <v>23</v>
      </c>
      <c r="J5459" s="2">
        <v>78</v>
      </c>
      <c r="K5459" s="2" t="s">
        <v>212</v>
      </c>
      <c r="L5459" s="2">
        <v>226</v>
      </c>
      <c r="M5459" s="2" t="s">
        <v>59</v>
      </c>
      <c r="N5459" s="2">
        <v>76</v>
      </c>
      <c r="O5459" s="2">
        <v>1537150.16</v>
      </c>
      <c r="P5459" s="2">
        <v>20225.66</v>
      </c>
    </row>
    <row r="5460" spans="1:16" outlineLevel="1" x14ac:dyDescent="0.2">
      <c r="A5460" s="5"/>
      <c r="D5460" s="3" t="s">
        <v>728</v>
      </c>
      <c r="N5460" s="2">
        <f>SUBTOTAL(9,N5459:N5459)</f>
        <v>76</v>
      </c>
      <c r="O5460" s="2">
        <f>SUBTOTAL(9,O5459:O5459)</f>
        <v>1537150.16</v>
      </c>
      <c r="P5460" s="2">
        <f>+O5460/N5460</f>
        <v>20225.66</v>
      </c>
    </row>
    <row r="5461" spans="1:16" outlineLevel="2" x14ac:dyDescent="0.2">
      <c r="A5461" s="5">
        <v>46255</v>
      </c>
      <c r="B5461" s="2">
        <v>161807</v>
      </c>
      <c r="C5461" s="2">
        <v>1</v>
      </c>
      <c r="D5461" s="2" t="s">
        <v>128</v>
      </c>
      <c r="E5461" s="2" t="s">
        <v>23</v>
      </c>
      <c r="F5461" s="2" t="s">
        <v>47</v>
      </c>
      <c r="G5461" s="2" t="s">
        <v>22</v>
      </c>
      <c r="H5461" s="2" t="s">
        <v>23</v>
      </c>
      <c r="I5461" s="2" t="s">
        <v>23</v>
      </c>
      <c r="J5461" s="2">
        <v>1</v>
      </c>
      <c r="K5461" s="2" t="s">
        <v>24</v>
      </c>
      <c r="L5461" s="2">
        <v>25213</v>
      </c>
      <c r="M5461" s="2" t="s">
        <v>130</v>
      </c>
      <c r="N5461" s="2">
        <v>7</v>
      </c>
      <c r="O5461" s="2">
        <v>675506.61</v>
      </c>
      <c r="P5461" s="2">
        <v>96500.94</v>
      </c>
    </row>
    <row r="5462" spans="1:16" outlineLevel="1" x14ac:dyDescent="0.2">
      <c r="A5462" s="5"/>
      <c r="D5462" s="3" t="s">
        <v>732</v>
      </c>
      <c r="N5462" s="2">
        <f>SUBTOTAL(9,N5461:N5461)</f>
        <v>7</v>
      </c>
      <c r="O5462" s="2">
        <f>SUBTOTAL(9,O5461:O5461)</f>
        <v>675506.61</v>
      </c>
      <c r="P5462" s="2">
        <f>+O5462/N5462</f>
        <v>96500.944285714286</v>
      </c>
    </row>
    <row r="5463" spans="1:16" outlineLevel="2" x14ac:dyDescent="0.2">
      <c r="A5463" s="5">
        <v>46255</v>
      </c>
      <c r="B5463" s="2">
        <v>161807</v>
      </c>
      <c r="C5463" s="2">
        <v>2</v>
      </c>
      <c r="D5463" s="2" t="s">
        <v>207</v>
      </c>
      <c r="E5463" s="2" t="s">
        <v>23</v>
      </c>
      <c r="F5463" s="2" t="s">
        <v>47</v>
      </c>
      <c r="G5463" s="2" t="s">
        <v>210</v>
      </c>
      <c r="H5463" s="2" t="s">
        <v>23</v>
      </c>
      <c r="I5463" s="2" t="s">
        <v>23</v>
      </c>
      <c r="J5463" s="2">
        <v>1</v>
      </c>
      <c r="K5463" s="2" t="s">
        <v>24</v>
      </c>
      <c r="L5463" s="2">
        <v>25213</v>
      </c>
      <c r="M5463" s="2" t="s">
        <v>130</v>
      </c>
      <c r="N5463" s="2">
        <v>5</v>
      </c>
      <c r="O5463" s="2">
        <v>271014.18</v>
      </c>
      <c r="P5463" s="2">
        <v>54202.84</v>
      </c>
    </row>
    <row r="5464" spans="1:16" outlineLevel="2" x14ac:dyDescent="0.2">
      <c r="A5464" s="5">
        <v>46255</v>
      </c>
      <c r="B5464" s="2">
        <v>161807</v>
      </c>
      <c r="C5464" s="2">
        <v>3</v>
      </c>
      <c r="D5464" s="2" t="s">
        <v>207</v>
      </c>
      <c r="E5464" s="2" t="s">
        <v>23</v>
      </c>
      <c r="F5464" s="2" t="s">
        <v>47</v>
      </c>
      <c r="G5464" s="2" t="s">
        <v>22</v>
      </c>
      <c r="H5464" s="2" t="s">
        <v>23</v>
      </c>
      <c r="I5464" s="2" t="s">
        <v>23</v>
      </c>
      <c r="J5464" s="2">
        <v>1</v>
      </c>
      <c r="K5464" s="2" t="s">
        <v>24</v>
      </c>
      <c r="L5464" s="2">
        <v>25213</v>
      </c>
      <c r="M5464" s="2" t="s">
        <v>130</v>
      </c>
      <c r="N5464" s="2">
        <v>5</v>
      </c>
      <c r="O5464" s="2">
        <v>436232.86</v>
      </c>
      <c r="P5464" s="2">
        <v>87246.57</v>
      </c>
    </row>
    <row r="5465" spans="1:16" outlineLevel="1" x14ac:dyDescent="0.2">
      <c r="A5465" s="5"/>
      <c r="D5465" s="3" t="s">
        <v>699</v>
      </c>
      <c r="N5465" s="2">
        <f>SUBTOTAL(9,N5463:N5464)</f>
        <v>10</v>
      </c>
      <c r="O5465" s="2">
        <f>SUBTOTAL(9,O5463:O5464)</f>
        <v>707247.04</v>
      </c>
      <c r="P5465" s="2">
        <f>+O5465/N5465</f>
        <v>70724.703999999998</v>
      </c>
    </row>
    <row r="5466" spans="1:16" outlineLevel="2" x14ac:dyDescent="0.2">
      <c r="A5466" s="5">
        <v>46255</v>
      </c>
      <c r="B5466" s="2">
        <v>161807</v>
      </c>
      <c r="C5466" s="2">
        <v>4</v>
      </c>
      <c r="D5466" s="2" t="s">
        <v>128</v>
      </c>
      <c r="E5466" s="2" t="s">
        <v>23</v>
      </c>
      <c r="F5466" s="2" t="s">
        <v>47</v>
      </c>
      <c r="G5466" s="2" t="s">
        <v>22</v>
      </c>
      <c r="H5466" s="2" t="s">
        <v>23</v>
      </c>
      <c r="I5466" s="2" t="s">
        <v>23</v>
      </c>
      <c r="J5466" s="2">
        <v>41</v>
      </c>
      <c r="K5466" s="2" t="s">
        <v>129</v>
      </c>
      <c r="L5466" s="2">
        <v>25213</v>
      </c>
      <c r="M5466" s="2" t="s">
        <v>130</v>
      </c>
      <c r="N5466" s="2">
        <v>50</v>
      </c>
      <c r="O5466" s="2">
        <v>196074</v>
      </c>
      <c r="P5466" s="2">
        <v>3921.48</v>
      </c>
    </row>
    <row r="5467" spans="1:16" outlineLevel="1" x14ac:dyDescent="0.2">
      <c r="A5467" s="5"/>
      <c r="D5467" s="3" t="s">
        <v>732</v>
      </c>
      <c r="N5467" s="2">
        <f>SUBTOTAL(9,N5466:N5466)</f>
        <v>50</v>
      </c>
      <c r="O5467" s="2">
        <f>SUBTOTAL(9,O5466:O5466)</f>
        <v>196074</v>
      </c>
      <c r="P5467" s="2">
        <f>+O5467/N5467</f>
        <v>3921.48</v>
      </c>
    </row>
    <row r="5468" spans="1:16" outlineLevel="2" x14ac:dyDescent="0.2">
      <c r="A5468" s="5">
        <v>46255</v>
      </c>
      <c r="B5468" s="2">
        <v>161807</v>
      </c>
      <c r="C5468" s="2">
        <v>5</v>
      </c>
      <c r="D5468" s="2" t="s">
        <v>207</v>
      </c>
      <c r="E5468" s="2" t="s">
        <v>23</v>
      </c>
      <c r="F5468" s="2" t="s">
        <v>47</v>
      </c>
      <c r="G5468" s="2" t="s">
        <v>22</v>
      </c>
      <c r="H5468" s="2" t="s">
        <v>208</v>
      </c>
      <c r="I5468" s="2" t="s">
        <v>23</v>
      </c>
      <c r="J5468" s="2">
        <v>41</v>
      </c>
      <c r="K5468" s="2" t="s">
        <v>129</v>
      </c>
      <c r="L5468" s="2">
        <v>25213</v>
      </c>
      <c r="M5468" s="2" t="s">
        <v>130</v>
      </c>
      <c r="N5468" s="2">
        <v>100</v>
      </c>
      <c r="O5468" s="2">
        <v>375046</v>
      </c>
      <c r="P5468" s="2">
        <v>3750.46</v>
      </c>
    </row>
    <row r="5469" spans="1:16" outlineLevel="1" x14ac:dyDescent="0.2">
      <c r="A5469" s="5"/>
      <c r="D5469" s="3" t="s">
        <v>699</v>
      </c>
      <c r="N5469" s="2">
        <f>SUBTOTAL(9,N5468:N5468)</f>
        <v>100</v>
      </c>
      <c r="O5469" s="2">
        <f>SUBTOTAL(9,O5468:O5468)</f>
        <v>375046</v>
      </c>
      <c r="P5469" s="2">
        <f>+O5469/N5469</f>
        <v>3750.46</v>
      </c>
    </row>
    <row r="5470" spans="1:16" outlineLevel="2" x14ac:dyDescent="0.2">
      <c r="A5470" s="5">
        <v>46258</v>
      </c>
      <c r="B5470" s="2">
        <v>161810</v>
      </c>
      <c r="C5470" s="2">
        <v>1</v>
      </c>
      <c r="D5470" s="2" t="s">
        <v>45</v>
      </c>
      <c r="E5470" s="2" t="s">
        <v>46</v>
      </c>
      <c r="F5470" s="2" t="s">
        <v>289</v>
      </c>
      <c r="G5470" s="2" t="s">
        <v>22</v>
      </c>
      <c r="H5470" s="2" t="s">
        <v>23</v>
      </c>
      <c r="I5470" s="2" t="s">
        <v>23</v>
      </c>
      <c r="J5470" s="2">
        <v>2</v>
      </c>
      <c r="K5470" s="2" t="s">
        <v>48</v>
      </c>
      <c r="L5470" s="2">
        <v>626</v>
      </c>
      <c r="M5470" s="2" t="s">
        <v>49</v>
      </c>
      <c r="N5470" s="2">
        <v>64</v>
      </c>
      <c r="O5470" s="2">
        <v>2163463.38</v>
      </c>
      <c r="P5470" s="2">
        <v>33804.120000000003</v>
      </c>
    </row>
    <row r="5471" spans="1:16" outlineLevel="2" x14ac:dyDescent="0.2">
      <c r="A5471" s="5">
        <v>46253</v>
      </c>
      <c r="B5471" s="2">
        <v>161823</v>
      </c>
      <c r="C5471" s="2">
        <v>9</v>
      </c>
      <c r="D5471" s="2" t="s">
        <v>45</v>
      </c>
      <c r="E5471" s="2" t="s">
        <v>558</v>
      </c>
      <c r="F5471" s="2" t="s">
        <v>289</v>
      </c>
      <c r="G5471" s="2" t="s">
        <v>22</v>
      </c>
      <c r="H5471" s="2" t="s">
        <v>23</v>
      </c>
      <c r="I5471" s="2" t="s">
        <v>23</v>
      </c>
      <c r="J5471" s="2">
        <v>41</v>
      </c>
      <c r="K5471" s="2" t="s">
        <v>129</v>
      </c>
      <c r="L5471" s="2">
        <v>801</v>
      </c>
      <c r="M5471" s="2" t="s">
        <v>56</v>
      </c>
      <c r="N5471" s="2">
        <v>7</v>
      </c>
      <c r="O5471" s="2">
        <v>144379.94</v>
      </c>
      <c r="P5471" s="2">
        <v>20625.71</v>
      </c>
    </row>
    <row r="5472" spans="1:16" outlineLevel="1" x14ac:dyDescent="0.2">
      <c r="A5472" s="5"/>
      <c r="D5472" s="3" t="s">
        <v>733</v>
      </c>
      <c r="N5472" s="2">
        <f>SUBTOTAL(9,N5470:N5471)</f>
        <v>71</v>
      </c>
      <c r="O5472" s="2">
        <f>SUBTOTAL(9,O5470:O5471)</f>
        <v>2307843.3199999998</v>
      </c>
      <c r="P5472" s="2">
        <f>+O5472/N5472</f>
        <v>32504.835492957744</v>
      </c>
    </row>
    <row r="5473" spans="1:16" outlineLevel="2" x14ac:dyDescent="0.2">
      <c r="A5473" s="5">
        <v>46253</v>
      </c>
      <c r="B5473" s="2">
        <v>161823</v>
      </c>
      <c r="C5473" s="2">
        <v>15</v>
      </c>
      <c r="D5473" s="2" t="s">
        <v>226</v>
      </c>
      <c r="E5473" s="2" t="s">
        <v>651</v>
      </c>
      <c r="F5473" s="2" t="s">
        <v>289</v>
      </c>
      <c r="G5473" s="2" t="s">
        <v>22</v>
      </c>
      <c r="H5473" s="2" t="s">
        <v>23</v>
      </c>
      <c r="I5473" s="2" t="s">
        <v>23</v>
      </c>
      <c r="J5473" s="2">
        <v>41</v>
      </c>
      <c r="K5473" s="2" t="s">
        <v>129</v>
      </c>
      <c r="L5473" s="2">
        <v>801</v>
      </c>
      <c r="M5473" s="2" t="s">
        <v>56</v>
      </c>
      <c r="N5473" s="2">
        <v>32</v>
      </c>
      <c r="O5473" s="2">
        <v>787546.99</v>
      </c>
      <c r="P5473" s="2">
        <v>24610.84</v>
      </c>
    </row>
    <row r="5474" spans="1:16" outlineLevel="2" x14ac:dyDescent="0.2">
      <c r="A5474" s="5">
        <v>46253</v>
      </c>
      <c r="B5474" s="2">
        <v>161823</v>
      </c>
      <c r="C5474" s="2">
        <v>16</v>
      </c>
      <c r="D5474" s="2" t="s">
        <v>226</v>
      </c>
      <c r="E5474" s="2" t="s">
        <v>83</v>
      </c>
      <c r="F5474" s="2" t="s">
        <v>289</v>
      </c>
      <c r="G5474" s="2" t="s">
        <v>22</v>
      </c>
      <c r="H5474" s="2" t="s">
        <v>23</v>
      </c>
      <c r="I5474" s="2" t="s">
        <v>23</v>
      </c>
      <c r="J5474" s="2">
        <v>41</v>
      </c>
      <c r="K5474" s="2" t="s">
        <v>129</v>
      </c>
      <c r="L5474" s="2">
        <v>801</v>
      </c>
      <c r="M5474" s="2" t="s">
        <v>56</v>
      </c>
      <c r="N5474" s="2">
        <v>4</v>
      </c>
      <c r="O5474" s="2">
        <v>64100.7</v>
      </c>
      <c r="P5474" s="2">
        <v>16025.18</v>
      </c>
    </row>
    <row r="5475" spans="1:16" outlineLevel="2" x14ac:dyDescent="0.2">
      <c r="A5475" s="5">
        <v>46253</v>
      </c>
      <c r="B5475" s="2">
        <v>161823</v>
      </c>
      <c r="C5475" s="2">
        <v>18</v>
      </c>
      <c r="D5475" s="2" t="s">
        <v>226</v>
      </c>
      <c r="E5475" s="2" t="s">
        <v>640</v>
      </c>
      <c r="F5475" s="2" t="s">
        <v>289</v>
      </c>
      <c r="G5475" s="2" t="s">
        <v>22</v>
      </c>
      <c r="H5475" s="2" t="s">
        <v>23</v>
      </c>
      <c r="I5475" s="2" t="s">
        <v>23</v>
      </c>
      <c r="J5475" s="2">
        <v>41</v>
      </c>
      <c r="K5475" s="2" t="s">
        <v>129</v>
      </c>
      <c r="L5475" s="2">
        <v>801</v>
      </c>
      <c r="M5475" s="2" t="s">
        <v>56</v>
      </c>
      <c r="N5475" s="2">
        <v>9</v>
      </c>
      <c r="O5475" s="2">
        <v>210034.13</v>
      </c>
      <c r="P5475" s="2">
        <v>23337.13</v>
      </c>
    </row>
    <row r="5476" spans="1:16" outlineLevel="1" x14ac:dyDescent="0.2">
      <c r="A5476" s="5"/>
      <c r="D5476" s="3" t="s">
        <v>736</v>
      </c>
      <c r="N5476" s="2">
        <f>SUBTOTAL(9,N5473:N5475)</f>
        <v>45</v>
      </c>
      <c r="O5476" s="2">
        <f>SUBTOTAL(9,O5473:O5475)</f>
        <v>1061681.8199999998</v>
      </c>
      <c r="P5476" s="2">
        <f>+O5476/N5476</f>
        <v>23592.92933333333</v>
      </c>
    </row>
    <row r="5477" spans="1:16" outlineLevel="2" x14ac:dyDescent="0.2">
      <c r="A5477" s="5">
        <v>46255</v>
      </c>
      <c r="B5477" s="2">
        <v>161823</v>
      </c>
      <c r="C5477" s="2">
        <v>303</v>
      </c>
      <c r="D5477" s="2" t="s">
        <v>45</v>
      </c>
      <c r="E5477" s="2" t="s">
        <v>228</v>
      </c>
      <c r="F5477" s="2" t="s">
        <v>289</v>
      </c>
      <c r="G5477" s="2" t="s">
        <v>22</v>
      </c>
      <c r="H5477" s="2" t="s">
        <v>23</v>
      </c>
      <c r="I5477" s="2" t="s">
        <v>23</v>
      </c>
      <c r="J5477" s="2">
        <v>2</v>
      </c>
      <c r="K5477" s="2" t="s">
        <v>48</v>
      </c>
      <c r="L5477" s="2">
        <v>801</v>
      </c>
      <c r="M5477" s="2" t="s">
        <v>56</v>
      </c>
      <c r="N5477" s="2">
        <v>2</v>
      </c>
      <c r="O5477" s="2">
        <v>25516.28</v>
      </c>
      <c r="P5477" s="2">
        <v>12758.14</v>
      </c>
    </row>
    <row r="5478" spans="1:16" outlineLevel="1" x14ac:dyDescent="0.2">
      <c r="A5478" s="5"/>
      <c r="D5478" s="3" t="s">
        <v>733</v>
      </c>
      <c r="N5478" s="2">
        <f>SUBTOTAL(9,N5477:N5477)</f>
        <v>2</v>
      </c>
      <c r="O5478" s="2">
        <f>SUBTOTAL(9,O5477:O5477)</f>
        <v>25516.28</v>
      </c>
      <c r="P5478" s="2">
        <f>+O5478/N5478</f>
        <v>12758.14</v>
      </c>
    </row>
    <row r="5479" spans="1:16" outlineLevel="2" x14ac:dyDescent="0.2">
      <c r="A5479" s="5">
        <v>46260</v>
      </c>
      <c r="B5479" s="2">
        <v>161823</v>
      </c>
      <c r="C5479" s="2">
        <v>320</v>
      </c>
      <c r="D5479" s="2" t="s">
        <v>54</v>
      </c>
      <c r="E5479" s="2" t="s">
        <v>30</v>
      </c>
      <c r="F5479" s="2" t="s">
        <v>289</v>
      </c>
      <c r="G5479" s="2" t="s">
        <v>22</v>
      </c>
      <c r="H5479" s="2" t="s">
        <v>23</v>
      </c>
      <c r="I5479" s="2" t="s">
        <v>23</v>
      </c>
      <c r="J5479" s="2">
        <v>2</v>
      </c>
      <c r="K5479" s="2" t="s">
        <v>48</v>
      </c>
      <c r="L5479" s="2">
        <v>801</v>
      </c>
      <c r="M5479" s="2" t="s">
        <v>56</v>
      </c>
      <c r="N5479" s="2">
        <v>1</v>
      </c>
      <c r="O5479" s="2">
        <v>13691.58</v>
      </c>
      <c r="P5479" s="2">
        <v>13691.58</v>
      </c>
    </row>
    <row r="5480" spans="1:16" outlineLevel="1" x14ac:dyDescent="0.2">
      <c r="A5480" s="5"/>
      <c r="D5480" s="3" t="s">
        <v>719</v>
      </c>
      <c r="N5480" s="2">
        <f>SUBTOTAL(9,N5479:N5479)</f>
        <v>1</v>
      </c>
      <c r="O5480" s="2">
        <f>SUBTOTAL(9,O5479:O5479)</f>
        <v>13691.58</v>
      </c>
      <c r="P5480" s="2">
        <f>+O5480/N5480</f>
        <v>13691.58</v>
      </c>
    </row>
    <row r="5481" spans="1:16" outlineLevel="2" x14ac:dyDescent="0.2">
      <c r="A5481" s="5">
        <v>46255</v>
      </c>
      <c r="B5481" s="2">
        <v>161839</v>
      </c>
      <c r="C5481" s="2">
        <v>2</v>
      </c>
      <c r="D5481" s="2" t="s">
        <v>197</v>
      </c>
      <c r="E5481" s="2" t="s">
        <v>584</v>
      </c>
      <c r="F5481" s="2" t="s">
        <v>23</v>
      </c>
      <c r="G5481" s="2" t="s">
        <v>22</v>
      </c>
      <c r="H5481" s="2" t="s">
        <v>23</v>
      </c>
      <c r="I5481" s="2" t="s">
        <v>23</v>
      </c>
      <c r="J5481" s="2">
        <v>1</v>
      </c>
      <c r="K5481" s="2" t="s">
        <v>24</v>
      </c>
      <c r="L5481" s="2">
        <v>2541</v>
      </c>
      <c r="M5481" s="2" t="s">
        <v>534</v>
      </c>
      <c r="N5481" s="2">
        <v>44</v>
      </c>
      <c r="O5481" s="2">
        <v>2856054.6</v>
      </c>
      <c r="P5481" s="2">
        <v>64910.33</v>
      </c>
    </row>
    <row r="5482" spans="1:16" outlineLevel="2" x14ac:dyDescent="0.2">
      <c r="A5482" s="5">
        <v>46255</v>
      </c>
      <c r="B5482" s="2">
        <v>161839</v>
      </c>
      <c r="C5482" s="2">
        <v>3</v>
      </c>
      <c r="D5482" s="2" t="s">
        <v>197</v>
      </c>
      <c r="E5482" s="2" t="s">
        <v>284</v>
      </c>
      <c r="F5482" s="2" t="s">
        <v>40</v>
      </c>
      <c r="G5482" s="2" t="s">
        <v>22</v>
      </c>
      <c r="H5482" s="2" t="s">
        <v>23</v>
      </c>
      <c r="I5482" s="2" t="s">
        <v>23</v>
      </c>
      <c r="J5482" s="2">
        <v>1</v>
      </c>
      <c r="K5482" s="2" t="s">
        <v>24</v>
      </c>
      <c r="L5482" s="2">
        <v>2541</v>
      </c>
      <c r="M5482" s="2" t="s">
        <v>534</v>
      </c>
      <c r="N5482" s="2">
        <v>246</v>
      </c>
      <c r="O5482" s="2">
        <v>17429120.73</v>
      </c>
      <c r="P5482" s="2">
        <v>70850.080000000002</v>
      </c>
    </row>
    <row r="5483" spans="1:16" outlineLevel="1" x14ac:dyDescent="0.2">
      <c r="A5483" s="5"/>
      <c r="D5483" s="3" t="s">
        <v>734</v>
      </c>
      <c r="N5483" s="2">
        <f>SUBTOTAL(9,N5481:N5482)</f>
        <v>290</v>
      </c>
      <c r="O5483" s="2">
        <f>SUBTOTAL(9,O5481:O5482)</f>
        <v>20285175.330000002</v>
      </c>
      <c r="P5483" s="2">
        <f>+O5483/N5483</f>
        <v>69948.880448275871</v>
      </c>
    </row>
    <row r="5484" spans="1:16" outlineLevel="2" x14ac:dyDescent="0.2">
      <c r="A5484" s="5">
        <v>46260</v>
      </c>
      <c r="B5484" s="2">
        <v>161840</v>
      </c>
      <c r="C5484" s="2">
        <v>5</v>
      </c>
      <c r="D5484" s="2" t="s">
        <v>38</v>
      </c>
      <c r="E5484" s="2" t="s">
        <v>39</v>
      </c>
      <c r="F5484" s="2" t="s">
        <v>40</v>
      </c>
      <c r="G5484" s="2" t="s">
        <v>407</v>
      </c>
      <c r="H5484" s="2" t="s">
        <v>23</v>
      </c>
      <c r="I5484" s="2" t="s">
        <v>184</v>
      </c>
      <c r="J5484" s="2">
        <v>40</v>
      </c>
      <c r="K5484" s="2" t="s">
        <v>43</v>
      </c>
      <c r="L5484" s="2">
        <v>25243</v>
      </c>
      <c r="M5484" s="2" t="s">
        <v>617</v>
      </c>
      <c r="N5484" s="2">
        <v>121</v>
      </c>
      <c r="O5484" s="2">
        <v>6077413.8200000003</v>
      </c>
      <c r="P5484" s="2">
        <v>50226.559999999998</v>
      </c>
    </row>
    <row r="5485" spans="1:16" outlineLevel="2" x14ac:dyDescent="0.2">
      <c r="A5485" s="5">
        <v>46260</v>
      </c>
      <c r="B5485" s="2">
        <v>161840</v>
      </c>
      <c r="C5485" s="2">
        <v>6</v>
      </c>
      <c r="D5485" s="2" t="s">
        <v>38</v>
      </c>
      <c r="E5485" s="2" t="s">
        <v>39</v>
      </c>
      <c r="F5485" s="2" t="s">
        <v>40</v>
      </c>
      <c r="G5485" s="2" t="s">
        <v>407</v>
      </c>
      <c r="H5485" s="2" t="s">
        <v>23</v>
      </c>
      <c r="I5485" s="2" t="s">
        <v>614</v>
      </c>
      <c r="J5485" s="2">
        <v>40</v>
      </c>
      <c r="K5485" s="2" t="s">
        <v>43</v>
      </c>
      <c r="L5485" s="2">
        <v>25243</v>
      </c>
      <c r="M5485" s="2" t="s">
        <v>617</v>
      </c>
      <c r="N5485" s="2">
        <v>33</v>
      </c>
      <c r="O5485" s="2">
        <v>1566348.28</v>
      </c>
      <c r="P5485" s="2">
        <v>47465.1</v>
      </c>
    </row>
    <row r="5486" spans="1:16" outlineLevel="1" x14ac:dyDescent="0.2">
      <c r="A5486" s="5"/>
      <c r="D5486" s="3" t="s">
        <v>721</v>
      </c>
      <c r="N5486" s="2">
        <f>SUBTOTAL(9,N5484:N5485)</f>
        <v>154</v>
      </c>
      <c r="O5486" s="2">
        <f>SUBTOTAL(9,O5484:O5485)</f>
        <v>7643762.1000000006</v>
      </c>
      <c r="P5486" s="2">
        <f>+O5486/N5486</f>
        <v>49634.818831168835</v>
      </c>
    </row>
    <row r="5487" spans="1:16" outlineLevel="2" x14ac:dyDescent="0.2">
      <c r="A5487" s="5">
        <v>46258</v>
      </c>
      <c r="B5487" s="2">
        <v>161842</v>
      </c>
      <c r="C5487" s="2">
        <v>1</v>
      </c>
      <c r="D5487" s="2" t="s">
        <v>160</v>
      </c>
      <c r="E5487" s="2" t="s">
        <v>222</v>
      </c>
      <c r="F5487" s="2" t="s">
        <v>40</v>
      </c>
      <c r="G5487" s="2" t="s">
        <v>22</v>
      </c>
      <c r="H5487" s="2" t="s">
        <v>23</v>
      </c>
      <c r="I5487" s="2" t="s">
        <v>23</v>
      </c>
      <c r="J5487" s="2">
        <v>1</v>
      </c>
      <c r="K5487" s="2" t="s">
        <v>24</v>
      </c>
      <c r="L5487" s="2">
        <v>2521</v>
      </c>
      <c r="M5487" s="2" t="s">
        <v>82</v>
      </c>
      <c r="N5487" s="2">
        <v>77</v>
      </c>
      <c r="O5487" s="2">
        <v>2127143.71</v>
      </c>
      <c r="P5487" s="2">
        <v>27625.24</v>
      </c>
    </row>
    <row r="5488" spans="1:16" outlineLevel="1" x14ac:dyDescent="0.2">
      <c r="A5488" s="5"/>
      <c r="D5488" s="3" t="s">
        <v>709</v>
      </c>
      <c r="N5488" s="2">
        <f>SUBTOTAL(9,N5487:N5487)</f>
        <v>77</v>
      </c>
      <c r="O5488" s="2">
        <f>SUBTOTAL(9,O5487:O5487)</f>
        <v>2127143.71</v>
      </c>
      <c r="P5488" s="2">
        <f>+O5488/N5488</f>
        <v>27625.242987012985</v>
      </c>
    </row>
    <row r="5489" spans="1:16" outlineLevel="2" x14ac:dyDescent="0.2">
      <c r="A5489" s="5">
        <v>46258</v>
      </c>
      <c r="B5489" s="2">
        <v>161842</v>
      </c>
      <c r="C5489" s="2">
        <v>2</v>
      </c>
      <c r="D5489" s="2" t="s">
        <v>131</v>
      </c>
      <c r="E5489" s="2" t="s">
        <v>132</v>
      </c>
      <c r="F5489" s="2" t="s">
        <v>40</v>
      </c>
      <c r="G5489" s="2" t="s">
        <v>22</v>
      </c>
      <c r="H5489" s="2" t="s">
        <v>23</v>
      </c>
      <c r="I5489" s="2" t="s">
        <v>23</v>
      </c>
      <c r="J5489" s="2">
        <v>1</v>
      </c>
      <c r="K5489" s="2" t="s">
        <v>24</v>
      </c>
      <c r="L5489" s="2">
        <v>2521</v>
      </c>
      <c r="M5489" s="2" t="s">
        <v>82</v>
      </c>
      <c r="N5489" s="2">
        <v>148</v>
      </c>
      <c r="O5489" s="2">
        <v>5740991.75</v>
      </c>
      <c r="P5489" s="2">
        <v>38790.480000000003</v>
      </c>
    </row>
    <row r="5490" spans="1:16" outlineLevel="1" x14ac:dyDescent="0.2">
      <c r="A5490" s="5"/>
      <c r="D5490" s="3" t="s">
        <v>713</v>
      </c>
      <c r="N5490" s="2">
        <f>SUBTOTAL(9,N5489:N5489)</f>
        <v>148</v>
      </c>
      <c r="O5490" s="2">
        <f>SUBTOTAL(9,O5489:O5489)</f>
        <v>5740991.75</v>
      </c>
      <c r="P5490" s="2">
        <f>+O5490/N5490</f>
        <v>38790.4847972973</v>
      </c>
    </row>
    <row r="5491" spans="1:16" outlineLevel="2" x14ac:dyDescent="0.2">
      <c r="A5491" s="5">
        <v>46258</v>
      </c>
      <c r="B5491" s="2">
        <v>161844</v>
      </c>
      <c r="C5491" s="2">
        <v>2</v>
      </c>
      <c r="D5491" s="2" t="s">
        <v>618</v>
      </c>
      <c r="E5491" s="2" t="s">
        <v>657</v>
      </c>
      <c r="F5491" s="2" t="s">
        <v>40</v>
      </c>
      <c r="G5491" s="2" t="s">
        <v>22</v>
      </c>
      <c r="H5491" s="2" t="s">
        <v>23</v>
      </c>
      <c r="I5491" s="2" t="s">
        <v>23</v>
      </c>
      <c r="J5491" s="2">
        <v>5</v>
      </c>
      <c r="K5491" s="2" t="s">
        <v>27</v>
      </c>
      <c r="L5491" s="2">
        <v>2521</v>
      </c>
      <c r="M5491" s="2" t="s">
        <v>82</v>
      </c>
      <c r="N5491" s="2">
        <v>36</v>
      </c>
      <c r="O5491" s="2">
        <v>933163.43</v>
      </c>
      <c r="P5491" s="2">
        <v>25921.21</v>
      </c>
    </row>
    <row r="5492" spans="1:16" outlineLevel="1" x14ac:dyDescent="0.2">
      <c r="A5492" s="5"/>
      <c r="D5492" s="3" t="s">
        <v>804</v>
      </c>
      <c r="N5492" s="2">
        <f>SUBTOTAL(9,N5491:N5491)</f>
        <v>36</v>
      </c>
      <c r="O5492" s="2">
        <f>SUBTOTAL(9,O5491:O5491)</f>
        <v>933163.43</v>
      </c>
      <c r="P5492" s="2">
        <f>+O5492/N5492</f>
        <v>25921.206388888892</v>
      </c>
    </row>
    <row r="5493" spans="1:16" outlineLevel="2" x14ac:dyDescent="0.2">
      <c r="A5493" s="5">
        <v>46258</v>
      </c>
      <c r="B5493" s="2">
        <v>161845</v>
      </c>
      <c r="C5493" s="2">
        <v>1</v>
      </c>
      <c r="D5493" s="2" t="s">
        <v>686</v>
      </c>
      <c r="E5493" s="2" t="s">
        <v>622</v>
      </c>
      <c r="F5493" s="2" t="s">
        <v>40</v>
      </c>
      <c r="G5493" s="2" t="s">
        <v>22</v>
      </c>
      <c r="H5493" s="2" t="s">
        <v>23</v>
      </c>
      <c r="I5493" s="2" t="s">
        <v>23</v>
      </c>
      <c r="J5493" s="2">
        <v>5</v>
      </c>
      <c r="K5493" s="2" t="s">
        <v>27</v>
      </c>
      <c r="L5493" s="2">
        <v>2521</v>
      </c>
      <c r="M5493" s="2" t="s">
        <v>82</v>
      </c>
      <c r="N5493" s="2">
        <v>8</v>
      </c>
      <c r="O5493" s="2">
        <v>201943.14</v>
      </c>
      <c r="P5493" s="2">
        <v>25242.89</v>
      </c>
    </row>
    <row r="5494" spans="1:16" outlineLevel="1" x14ac:dyDescent="0.2">
      <c r="A5494" s="5"/>
      <c r="D5494" s="3" t="s">
        <v>811</v>
      </c>
      <c r="N5494" s="2">
        <f>SUBTOTAL(9,N5493:N5493)</f>
        <v>8</v>
      </c>
      <c r="O5494" s="2">
        <f>SUBTOTAL(9,O5493:O5493)</f>
        <v>201943.14</v>
      </c>
      <c r="P5494" s="2">
        <f>+O5494/N5494</f>
        <v>25242.892500000002</v>
      </c>
    </row>
    <row r="5495" spans="1:16" outlineLevel="2" x14ac:dyDescent="0.2">
      <c r="A5495" s="5">
        <v>46255</v>
      </c>
      <c r="B5495" s="2">
        <v>161850</v>
      </c>
      <c r="C5495" s="2">
        <v>8</v>
      </c>
      <c r="D5495" s="2" t="s">
        <v>45</v>
      </c>
      <c r="E5495" s="2" t="s">
        <v>227</v>
      </c>
      <c r="F5495" s="2" t="s">
        <v>289</v>
      </c>
      <c r="G5495" s="2" t="s">
        <v>22</v>
      </c>
      <c r="H5495" s="2" t="s">
        <v>23</v>
      </c>
      <c r="I5495" s="2" t="s">
        <v>23</v>
      </c>
      <c r="J5495" s="2">
        <v>41</v>
      </c>
      <c r="K5495" s="2" t="s">
        <v>129</v>
      </c>
      <c r="L5495" s="2">
        <v>801</v>
      </c>
      <c r="M5495" s="2" t="s">
        <v>56</v>
      </c>
      <c r="N5495" s="2">
        <v>15</v>
      </c>
      <c r="O5495" s="2">
        <v>260437.7</v>
      </c>
      <c r="P5495" s="2">
        <v>17362.509999999998</v>
      </c>
    </row>
    <row r="5496" spans="1:16" outlineLevel="1" x14ac:dyDescent="0.2">
      <c r="A5496" s="5"/>
      <c r="D5496" s="3" t="s">
        <v>733</v>
      </c>
      <c r="N5496" s="2">
        <f>SUBTOTAL(9,N5495:N5495)</f>
        <v>15</v>
      </c>
      <c r="O5496" s="2">
        <f>SUBTOTAL(9,O5495:O5495)</f>
        <v>260437.7</v>
      </c>
      <c r="P5496" s="2">
        <f>+O5496/N5496</f>
        <v>17362.513333333332</v>
      </c>
    </row>
    <row r="5497" spans="1:16" outlineLevel="2" x14ac:dyDescent="0.2">
      <c r="A5497" s="5">
        <v>46255</v>
      </c>
      <c r="B5497" s="2">
        <v>161850</v>
      </c>
      <c r="C5497" s="2">
        <v>13</v>
      </c>
      <c r="D5497" s="2" t="s">
        <v>226</v>
      </c>
      <c r="E5497" s="2" t="s">
        <v>640</v>
      </c>
      <c r="F5497" s="2" t="s">
        <v>289</v>
      </c>
      <c r="G5497" s="2" t="s">
        <v>22</v>
      </c>
      <c r="H5497" s="2" t="s">
        <v>23</v>
      </c>
      <c r="I5497" s="2" t="s">
        <v>23</v>
      </c>
      <c r="J5497" s="2">
        <v>41</v>
      </c>
      <c r="K5497" s="2" t="s">
        <v>129</v>
      </c>
      <c r="L5497" s="2">
        <v>801</v>
      </c>
      <c r="M5497" s="2" t="s">
        <v>56</v>
      </c>
      <c r="N5497" s="2">
        <v>19</v>
      </c>
      <c r="O5497" s="2">
        <v>484475.46</v>
      </c>
      <c r="P5497" s="2">
        <v>25498.71</v>
      </c>
    </row>
    <row r="5498" spans="1:16" outlineLevel="1" x14ac:dyDescent="0.2">
      <c r="A5498" s="5"/>
      <c r="D5498" s="3" t="s">
        <v>736</v>
      </c>
      <c r="N5498" s="2">
        <f>SUBTOTAL(9,N5497:N5497)</f>
        <v>19</v>
      </c>
      <c r="O5498" s="2">
        <f>SUBTOTAL(9,O5497:O5497)</f>
        <v>484475.46</v>
      </c>
      <c r="P5498" s="2">
        <f>+O5498/N5498</f>
        <v>25498.708421052634</v>
      </c>
    </row>
    <row r="5499" spans="1:16" outlineLevel="2" x14ac:dyDescent="0.2">
      <c r="A5499" s="5">
        <v>46260</v>
      </c>
      <c r="B5499" s="2">
        <v>161850</v>
      </c>
      <c r="C5499" s="2">
        <v>321</v>
      </c>
      <c r="D5499" s="2" t="s">
        <v>54</v>
      </c>
      <c r="E5499" s="2" t="s">
        <v>30</v>
      </c>
      <c r="F5499" s="2" t="s">
        <v>289</v>
      </c>
      <c r="G5499" s="2" t="s">
        <v>22</v>
      </c>
      <c r="H5499" s="2" t="s">
        <v>23</v>
      </c>
      <c r="I5499" s="2" t="s">
        <v>23</v>
      </c>
      <c r="J5499" s="2">
        <v>2</v>
      </c>
      <c r="K5499" s="2" t="s">
        <v>48</v>
      </c>
      <c r="L5499" s="2">
        <v>801</v>
      </c>
      <c r="M5499" s="2" t="s">
        <v>56</v>
      </c>
      <c r="N5499" s="2">
        <v>2</v>
      </c>
      <c r="O5499" s="2">
        <v>27383.16</v>
      </c>
      <c r="P5499" s="2">
        <v>13691.58</v>
      </c>
    </row>
    <row r="5500" spans="1:16" outlineLevel="2" x14ac:dyDescent="0.2">
      <c r="A5500" s="5">
        <v>46260</v>
      </c>
      <c r="B5500" s="2">
        <v>161854</v>
      </c>
      <c r="C5500" s="2">
        <v>315</v>
      </c>
      <c r="D5500" s="2" t="s">
        <v>54</v>
      </c>
      <c r="E5500" s="2" t="s">
        <v>30</v>
      </c>
      <c r="F5500" s="2" t="s">
        <v>55</v>
      </c>
      <c r="G5500" s="2" t="s">
        <v>23</v>
      </c>
      <c r="H5500" s="2" t="s">
        <v>23</v>
      </c>
      <c r="I5500" s="2" t="s">
        <v>23</v>
      </c>
      <c r="J5500" s="2">
        <v>1</v>
      </c>
      <c r="K5500" s="2" t="s">
        <v>24</v>
      </c>
      <c r="L5500" s="2">
        <v>2252</v>
      </c>
      <c r="M5500" s="2" t="s">
        <v>629</v>
      </c>
      <c r="N5500" s="2">
        <v>4</v>
      </c>
      <c r="O5500" s="2">
        <v>57566.64</v>
      </c>
      <c r="P5500" s="2">
        <v>14391.66</v>
      </c>
    </row>
    <row r="5501" spans="1:16" outlineLevel="2" x14ac:dyDescent="0.2">
      <c r="A5501" s="5">
        <v>46260</v>
      </c>
      <c r="B5501" s="2">
        <v>161854</v>
      </c>
      <c r="C5501" s="2">
        <v>320</v>
      </c>
      <c r="D5501" s="2" t="s">
        <v>54</v>
      </c>
      <c r="E5501" s="2" t="s">
        <v>30</v>
      </c>
      <c r="F5501" s="2" t="s">
        <v>289</v>
      </c>
      <c r="G5501" s="2" t="s">
        <v>22</v>
      </c>
      <c r="H5501" s="2" t="s">
        <v>23</v>
      </c>
      <c r="I5501" s="2" t="s">
        <v>23</v>
      </c>
      <c r="J5501" s="2">
        <v>2</v>
      </c>
      <c r="K5501" s="2" t="s">
        <v>48</v>
      </c>
      <c r="L5501" s="2">
        <v>801</v>
      </c>
      <c r="M5501" s="2" t="s">
        <v>56</v>
      </c>
      <c r="N5501" s="2">
        <v>13</v>
      </c>
      <c r="O5501" s="2">
        <v>177990.54</v>
      </c>
      <c r="P5501" s="2">
        <v>13691.58</v>
      </c>
    </row>
    <row r="5502" spans="1:16" outlineLevel="1" x14ac:dyDescent="0.2">
      <c r="A5502" s="5"/>
      <c r="D5502" s="3" t="s">
        <v>719</v>
      </c>
      <c r="N5502" s="2">
        <f>SUBTOTAL(9,N5499:N5501)</f>
        <v>19</v>
      </c>
      <c r="O5502" s="2">
        <f>SUBTOTAL(9,O5499:O5501)</f>
        <v>262940.34000000003</v>
      </c>
      <c r="P5502" s="2">
        <f>+O5502/N5502</f>
        <v>13838.965263157896</v>
      </c>
    </row>
    <row r="5503" spans="1:16" outlineLevel="2" x14ac:dyDescent="0.2">
      <c r="A5503" s="5">
        <v>46258</v>
      </c>
      <c r="B5503" s="2">
        <v>161855</v>
      </c>
      <c r="C5503" s="2">
        <v>1</v>
      </c>
      <c r="D5503" s="2" t="s">
        <v>474</v>
      </c>
      <c r="E5503" s="2" t="s">
        <v>475</v>
      </c>
      <c r="F5503" s="2" t="s">
        <v>47</v>
      </c>
      <c r="G5503" s="2" t="s">
        <v>22</v>
      </c>
      <c r="H5503" s="2" t="s">
        <v>23</v>
      </c>
      <c r="I5503" s="2" t="s">
        <v>23</v>
      </c>
      <c r="J5503" s="2">
        <v>41</v>
      </c>
      <c r="K5503" s="2" t="s">
        <v>129</v>
      </c>
      <c r="L5503" s="2">
        <v>2338</v>
      </c>
      <c r="M5503" s="2" t="s">
        <v>417</v>
      </c>
      <c r="N5503" s="2">
        <v>637</v>
      </c>
      <c r="O5503" s="2">
        <v>669066.86</v>
      </c>
      <c r="P5503" s="2">
        <v>1050.3399999999999</v>
      </c>
    </row>
    <row r="5504" spans="1:16" outlineLevel="1" x14ac:dyDescent="0.2">
      <c r="A5504" s="5"/>
      <c r="D5504" s="3" t="s">
        <v>780</v>
      </c>
      <c r="N5504" s="2">
        <f>SUBTOTAL(9,N5503:N5503)</f>
        <v>637</v>
      </c>
      <c r="O5504" s="2">
        <f>SUBTOTAL(9,O5503:O5503)</f>
        <v>669066.86</v>
      </c>
      <c r="P5504" s="2">
        <f>+O5504/N5504</f>
        <v>1050.3404395604396</v>
      </c>
    </row>
    <row r="5505" spans="1:16" outlineLevel="2" x14ac:dyDescent="0.2">
      <c r="A5505" s="5">
        <v>46258</v>
      </c>
      <c r="B5505" s="2">
        <v>161856</v>
      </c>
      <c r="C5505" s="2">
        <v>1</v>
      </c>
      <c r="D5505" s="2" t="s">
        <v>140</v>
      </c>
      <c r="E5505" s="2" t="s">
        <v>23</v>
      </c>
      <c r="F5505" s="2" t="s">
        <v>108</v>
      </c>
      <c r="G5505" s="2" t="s">
        <v>22</v>
      </c>
      <c r="H5505" s="2" t="s">
        <v>23</v>
      </c>
      <c r="I5505" s="2" t="s">
        <v>23</v>
      </c>
      <c r="J5505" s="2">
        <v>1</v>
      </c>
      <c r="K5505" s="2" t="s">
        <v>24</v>
      </c>
      <c r="L5505" s="2">
        <v>1503</v>
      </c>
      <c r="M5505" s="2" t="s">
        <v>603</v>
      </c>
      <c r="N5505" s="2">
        <v>42</v>
      </c>
      <c r="O5505" s="2">
        <v>2101518.7599999998</v>
      </c>
      <c r="P5505" s="2">
        <v>50036.160000000003</v>
      </c>
    </row>
    <row r="5506" spans="1:16" outlineLevel="1" x14ac:dyDescent="0.2">
      <c r="A5506" s="5"/>
      <c r="D5506" s="3" t="s">
        <v>696</v>
      </c>
      <c r="N5506" s="2">
        <f>SUBTOTAL(9,N5505:N5505)</f>
        <v>42</v>
      </c>
      <c r="O5506" s="2">
        <f>SUBTOTAL(9,O5505:O5505)</f>
        <v>2101518.7599999998</v>
      </c>
      <c r="P5506" s="2">
        <f>+O5506/N5506</f>
        <v>50036.160952380946</v>
      </c>
    </row>
    <row r="5507" spans="1:16" outlineLevel="2" x14ac:dyDescent="0.2">
      <c r="A5507" s="5">
        <v>46258</v>
      </c>
      <c r="B5507" s="2">
        <v>161857</v>
      </c>
      <c r="C5507" s="2">
        <v>1</v>
      </c>
      <c r="D5507" s="2" t="s">
        <v>207</v>
      </c>
      <c r="E5507" s="2" t="s">
        <v>23</v>
      </c>
      <c r="F5507" s="2" t="s">
        <v>47</v>
      </c>
      <c r="G5507" s="2" t="s">
        <v>22</v>
      </c>
      <c r="H5507" s="2" t="s">
        <v>208</v>
      </c>
      <c r="I5507" s="2" t="s">
        <v>23</v>
      </c>
      <c r="J5507" s="2">
        <v>41</v>
      </c>
      <c r="K5507" s="2" t="s">
        <v>129</v>
      </c>
      <c r="L5507" s="2">
        <v>25213</v>
      </c>
      <c r="M5507" s="2" t="s">
        <v>130</v>
      </c>
      <c r="N5507" s="2">
        <v>75</v>
      </c>
      <c r="O5507" s="2">
        <v>278060.59000000003</v>
      </c>
      <c r="P5507" s="2">
        <v>3707.47</v>
      </c>
    </row>
    <row r="5508" spans="1:16" outlineLevel="2" x14ac:dyDescent="0.2">
      <c r="A5508" s="5">
        <v>46258</v>
      </c>
      <c r="B5508" s="2">
        <v>161857</v>
      </c>
      <c r="C5508" s="2">
        <v>2</v>
      </c>
      <c r="D5508" s="2" t="s">
        <v>207</v>
      </c>
      <c r="E5508" s="2" t="s">
        <v>23</v>
      </c>
      <c r="F5508" s="2" t="s">
        <v>47</v>
      </c>
      <c r="G5508" s="2" t="s">
        <v>22</v>
      </c>
      <c r="H5508" s="2" t="s">
        <v>209</v>
      </c>
      <c r="I5508" s="2" t="s">
        <v>23</v>
      </c>
      <c r="J5508" s="2">
        <v>41</v>
      </c>
      <c r="K5508" s="2" t="s">
        <v>129</v>
      </c>
      <c r="L5508" s="2">
        <v>25213</v>
      </c>
      <c r="M5508" s="2" t="s">
        <v>130</v>
      </c>
      <c r="N5508" s="2">
        <v>75</v>
      </c>
      <c r="O5508" s="2">
        <v>265024.53000000003</v>
      </c>
      <c r="P5508" s="2">
        <v>3533.66</v>
      </c>
    </row>
    <row r="5509" spans="1:16" outlineLevel="1" x14ac:dyDescent="0.2">
      <c r="A5509" s="5"/>
      <c r="D5509" s="3" t="s">
        <v>699</v>
      </c>
      <c r="N5509" s="2">
        <f>SUBTOTAL(9,N5507:N5508)</f>
        <v>150</v>
      </c>
      <c r="O5509" s="2">
        <f>SUBTOTAL(9,O5507:O5508)</f>
        <v>543085.12000000011</v>
      </c>
      <c r="P5509" s="2">
        <f>+O5509/N5509</f>
        <v>3620.5674666666673</v>
      </c>
    </row>
    <row r="5510" spans="1:16" outlineLevel="2" x14ac:dyDescent="0.2">
      <c r="A5510" s="5">
        <v>46258</v>
      </c>
      <c r="B5510" s="2">
        <v>161857</v>
      </c>
      <c r="C5510" s="2">
        <v>3</v>
      </c>
      <c r="D5510" s="2" t="s">
        <v>128</v>
      </c>
      <c r="E5510" s="2" t="s">
        <v>23</v>
      </c>
      <c r="F5510" s="2" t="s">
        <v>47</v>
      </c>
      <c r="G5510" s="2" t="s">
        <v>22</v>
      </c>
      <c r="H5510" s="2" t="s">
        <v>23</v>
      </c>
      <c r="I5510" s="2" t="s">
        <v>23</v>
      </c>
      <c r="J5510" s="2">
        <v>41</v>
      </c>
      <c r="K5510" s="2" t="s">
        <v>129</v>
      </c>
      <c r="L5510" s="2">
        <v>25213</v>
      </c>
      <c r="M5510" s="2" t="s">
        <v>130</v>
      </c>
      <c r="N5510" s="2">
        <v>75</v>
      </c>
      <c r="O5510" s="2">
        <v>295196</v>
      </c>
      <c r="P5510" s="2">
        <v>3935.95</v>
      </c>
    </row>
    <row r="5511" spans="1:16" outlineLevel="1" x14ac:dyDescent="0.2">
      <c r="A5511" s="5"/>
      <c r="D5511" s="3" t="s">
        <v>732</v>
      </c>
      <c r="N5511" s="2">
        <f>SUBTOTAL(9,N5510:N5510)</f>
        <v>75</v>
      </c>
      <c r="O5511" s="2">
        <f>SUBTOTAL(9,O5510:O5510)</f>
        <v>295196</v>
      </c>
      <c r="P5511" s="2">
        <f>+O5511/N5511</f>
        <v>3935.9466666666667</v>
      </c>
    </row>
    <row r="5512" spans="1:16" outlineLevel="2" x14ac:dyDescent="0.2">
      <c r="A5512" s="5">
        <v>46258</v>
      </c>
      <c r="B5512" s="2">
        <v>161857</v>
      </c>
      <c r="C5512" s="2">
        <v>4</v>
      </c>
      <c r="D5512" s="2" t="s">
        <v>207</v>
      </c>
      <c r="E5512" s="2" t="s">
        <v>23</v>
      </c>
      <c r="F5512" s="2" t="s">
        <v>47</v>
      </c>
      <c r="G5512" s="2" t="s">
        <v>210</v>
      </c>
      <c r="H5512" s="2" t="s">
        <v>23</v>
      </c>
      <c r="I5512" s="2" t="s">
        <v>23</v>
      </c>
      <c r="J5512" s="2">
        <v>1</v>
      </c>
      <c r="K5512" s="2" t="s">
        <v>24</v>
      </c>
      <c r="L5512" s="2">
        <v>25213</v>
      </c>
      <c r="M5512" s="2" t="s">
        <v>130</v>
      </c>
      <c r="N5512" s="2">
        <v>6</v>
      </c>
      <c r="O5512" s="2">
        <v>390184.38</v>
      </c>
      <c r="P5512" s="2">
        <v>65030.73</v>
      </c>
    </row>
    <row r="5513" spans="1:16" outlineLevel="2" x14ac:dyDescent="0.2">
      <c r="A5513" s="5">
        <v>46258</v>
      </c>
      <c r="B5513" s="2">
        <v>161857</v>
      </c>
      <c r="C5513" s="2">
        <v>5</v>
      </c>
      <c r="D5513" s="2" t="s">
        <v>207</v>
      </c>
      <c r="E5513" s="2" t="s">
        <v>23</v>
      </c>
      <c r="F5513" s="2" t="s">
        <v>47</v>
      </c>
      <c r="G5513" s="2" t="s">
        <v>22</v>
      </c>
      <c r="H5513" s="2" t="s">
        <v>23</v>
      </c>
      <c r="I5513" s="2" t="s">
        <v>23</v>
      </c>
      <c r="J5513" s="2">
        <v>1</v>
      </c>
      <c r="K5513" s="2" t="s">
        <v>24</v>
      </c>
      <c r="L5513" s="2">
        <v>25213</v>
      </c>
      <c r="M5513" s="2" t="s">
        <v>130</v>
      </c>
      <c r="N5513" s="2">
        <v>8</v>
      </c>
      <c r="O5513" s="2">
        <v>704443.28</v>
      </c>
      <c r="P5513" s="2">
        <v>88055.41</v>
      </c>
    </row>
    <row r="5514" spans="1:16" outlineLevel="1" x14ac:dyDescent="0.2">
      <c r="A5514" s="5"/>
      <c r="D5514" s="3" t="s">
        <v>699</v>
      </c>
      <c r="N5514" s="2">
        <f>SUBTOTAL(9,N5512:N5513)</f>
        <v>14</v>
      </c>
      <c r="O5514" s="2">
        <f>SUBTOTAL(9,O5512:O5513)</f>
        <v>1094627.6600000001</v>
      </c>
      <c r="P5514" s="2">
        <f>+O5514/N5514</f>
        <v>78187.690000000017</v>
      </c>
    </row>
    <row r="5515" spans="1:16" outlineLevel="2" x14ac:dyDescent="0.2">
      <c r="A5515" s="5">
        <v>46258</v>
      </c>
      <c r="B5515" s="2">
        <v>161857</v>
      </c>
      <c r="C5515" s="2">
        <v>6</v>
      </c>
      <c r="D5515" s="2" t="s">
        <v>128</v>
      </c>
      <c r="E5515" s="2" t="s">
        <v>23</v>
      </c>
      <c r="F5515" s="2" t="s">
        <v>47</v>
      </c>
      <c r="G5515" s="2" t="s">
        <v>22</v>
      </c>
      <c r="H5515" s="2" t="s">
        <v>23</v>
      </c>
      <c r="I5515" s="2" t="s">
        <v>23</v>
      </c>
      <c r="J5515" s="2">
        <v>1</v>
      </c>
      <c r="K5515" s="2" t="s">
        <v>24</v>
      </c>
      <c r="L5515" s="2">
        <v>25213</v>
      </c>
      <c r="M5515" s="2" t="s">
        <v>130</v>
      </c>
      <c r="N5515" s="2">
        <v>9</v>
      </c>
      <c r="O5515" s="2">
        <v>868108.45</v>
      </c>
      <c r="P5515" s="2">
        <v>96456.49</v>
      </c>
    </row>
    <row r="5516" spans="1:16" outlineLevel="2" x14ac:dyDescent="0.2">
      <c r="A5516" s="5">
        <v>46260</v>
      </c>
      <c r="B5516" s="2">
        <v>161881</v>
      </c>
      <c r="C5516" s="2">
        <v>1</v>
      </c>
      <c r="D5516" s="2" t="s">
        <v>128</v>
      </c>
      <c r="E5516" s="2" t="s">
        <v>23</v>
      </c>
      <c r="F5516" s="2" t="s">
        <v>47</v>
      </c>
      <c r="G5516" s="2" t="s">
        <v>22</v>
      </c>
      <c r="H5516" s="2" t="s">
        <v>23</v>
      </c>
      <c r="I5516" s="2" t="s">
        <v>23</v>
      </c>
      <c r="J5516" s="2">
        <v>41</v>
      </c>
      <c r="K5516" s="2" t="s">
        <v>129</v>
      </c>
      <c r="L5516" s="2">
        <v>25213</v>
      </c>
      <c r="M5516" s="2" t="s">
        <v>130</v>
      </c>
      <c r="N5516" s="2">
        <v>50</v>
      </c>
      <c r="O5516" s="2">
        <v>191380.19</v>
      </c>
      <c r="P5516" s="2">
        <v>3827.6</v>
      </c>
    </row>
    <row r="5517" spans="1:16" outlineLevel="1" x14ac:dyDescent="0.2">
      <c r="A5517" s="5"/>
      <c r="D5517" s="3" t="s">
        <v>732</v>
      </c>
      <c r="N5517" s="2">
        <f>SUBTOTAL(9,N5515:N5516)</f>
        <v>59</v>
      </c>
      <c r="O5517" s="2">
        <f>SUBTOTAL(9,O5515:O5516)</f>
        <v>1059488.6399999999</v>
      </c>
      <c r="P5517" s="2">
        <f>+O5517/N5517</f>
        <v>17957.434576271186</v>
      </c>
    </row>
    <row r="5518" spans="1:16" outlineLevel="2" x14ac:dyDescent="0.2">
      <c r="A5518" s="5">
        <v>46260</v>
      </c>
      <c r="B5518" s="2">
        <v>161881</v>
      </c>
      <c r="C5518" s="2">
        <v>2</v>
      </c>
      <c r="D5518" s="2" t="s">
        <v>207</v>
      </c>
      <c r="E5518" s="2" t="s">
        <v>23</v>
      </c>
      <c r="F5518" s="2" t="s">
        <v>47</v>
      </c>
      <c r="G5518" s="2" t="s">
        <v>22</v>
      </c>
      <c r="H5518" s="2" t="s">
        <v>209</v>
      </c>
      <c r="I5518" s="2" t="s">
        <v>23</v>
      </c>
      <c r="J5518" s="2">
        <v>41</v>
      </c>
      <c r="K5518" s="2" t="s">
        <v>129</v>
      </c>
      <c r="L5518" s="2">
        <v>25213</v>
      </c>
      <c r="M5518" s="2" t="s">
        <v>130</v>
      </c>
      <c r="N5518" s="2">
        <v>74</v>
      </c>
      <c r="O5518" s="2">
        <v>260360.78</v>
      </c>
      <c r="P5518" s="2">
        <v>3518.39</v>
      </c>
    </row>
    <row r="5519" spans="1:16" outlineLevel="2" x14ac:dyDescent="0.2">
      <c r="A5519" s="5">
        <v>46260</v>
      </c>
      <c r="B5519" s="2">
        <v>161881</v>
      </c>
      <c r="C5519" s="2">
        <v>3</v>
      </c>
      <c r="D5519" s="2" t="s">
        <v>207</v>
      </c>
      <c r="E5519" s="2" t="s">
        <v>23</v>
      </c>
      <c r="F5519" s="2" t="s">
        <v>47</v>
      </c>
      <c r="G5519" s="2" t="s">
        <v>22</v>
      </c>
      <c r="H5519" s="2" t="s">
        <v>208</v>
      </c>
      <c r="I5519" s="2" t="s">
        <v>23</v>
      </c>
      <c r="J5519" s="2">
        <v>41</v>
      </c>
      <c r="K5519" s="2" t="s">
        <v>129</v>
      </c>
      <c r="L5519" s="2">
        <v>25213</v>
      </c>
      <c r="M5519" s="2" t="s">
        <v>130</v>
      </c>
      <c r="N5519" s="2">
        <v>75</v>
      </c>
      <c r="O5519" s="2">
        <v>277784</v>
      </c>
      <c r="P5519" s="2">
        <v>3703.79</v>
      </c>
    </row>
    <row r="5520" spans="1:16" outlineLevel="2" x14ac:dyDescent="0.2">
      <c r="A5520" s="5">
        <v>46260</v>
      </c>
      <c r="B5520" s="2">
        <v>161881</v>
      </c>
      <c r="C5520" s="2">
        <v>4</v>
      </c>
      <c r="D5520" s="2" t="s">
        <v>207</v>
      </c>
      <c r="E5520" s="2" t="s">
        <v>23</v>
      </c>
      <c r="F5520" s="2" t="s">
        <v>47</v>
      </c>
      <c r="G5520" s="2" t="s">
        <v>210</v>
      </c>
      <c r="H5520" s="2" t="s">
        <v>23</v>
      </c>
      <c r="I5520" s="2" t="s">
        <v>23</v>
      </c>
      <c r="J5520" s="2">
        <v>1</v>
      </c>
      <c r="K5520" s="2" t="s">
        <v>24</v>
      </c>
      <c r="L5520" s="2">
        <v>25213</v>
      </c>
      <c r="M5520" s="2" t="s">
        <v>130</v>
      </c>
      <c r="N5520" s="2">
        <v>4</v>
      </c>
      <c r="O5520" s="2">
        <v>281592.01</v>
      </c>
      <c r="P5520" s="2">
        <v>70398</v>
      </c>
    </row>
    <row r="5521" spans="1:16" outlineLevel="2" x14ac:dyDescent="0.2">
      <c r="A5521" s="5">
        <v>46260</v>
      </c>
      <c r="B5521" s="2">
        <v>161881</v>
      </c>
      <c r="C5521" s="2">
        <v>5</v>
      </c>
      <c r="D5521" s="2" t="s">
        <v>207</v>
      </c>
      <c r="E5521" s="2" t="s">
        <v>23</v>
      </c>
      <c r="F5521" s="2" t="s">
        <v>47</v>
      </c>
      <c r="G5521" s="2" t="s">
        <v>22</v>
      </c>
      <c r="H5521" s="2" t="s">
        <v>23</v>
      </c>
      <c r="I5521" s="2" t="s">
        <v>23</v>
      </c>
      <c r="J5521" s="2">
        <v>1</v>
      </c>
      <c r="K5521" s="2" t="s">
        <v>24</v>
      </c>
      <c r="L5521" s="2">
        <v>25213</v>
      </c>
      <c r="M5521" s="2" t="s">
        <v>130</v>
      </c>
      <c r="N5521" s="2">
        <v>6</v>
      </c>
      <c r="O5521" s="2">
        <v>522732.68</v>
      </c>
      <c r="P5521" s="2">
        <v>87122.11</v>
      </c>
    </row>
    <row r="5522" spans="1:16" outlineLevel="1" x14ac:dyDescent="0.2">
      <c r="A5522" s="5"/>
      <c r="D5522" s="3" t="s">
        <v>699</v>
      </c>
      <c r="N5522" s="2">
        <f>SUBTOTAL(9,N5518:N5521)</f>
        <v>159</v>
      </c>
      <c r="O5522" s="2">
        <f>SUBTOTAL(9,O5518:O5521)</f>
        <v>1342469.47</v>
      </c>
      <c r="P5522" s="2">
        <f>+O5522/N5522</f>
        <v>8443.2042138364777</v>
      </c>
    </row>
    <row r="5523" spans="1:16" outlineLevel="2" x14ac:dyDescent="0.2">
      <c r="A5523" s="5">
        <v>46260</v>
      </c>
      <c r="B5523" s="2">
        <v>161883</v>
      </c>
      <c r="C5523" s="2">
        <v>1</v>
      </c>
      <c r="D5523" s="2" t="s">
        <v>140</v>
      </c>
      <c r="E5523" s="2" t="s">
        <v>23</v>
      </c>
      <c r="F5523" s="2" t="s">
        <v>108</v>
      </c>
      <c r="G5523" s="2" t="s">
        <v>22</v>
      </c>
      <c r="H5523" s="2" t="s">
        <v>23</v>
      </c>
      <c r="I5523" s="2" t="s">
        <v>23</v>
      </c>
      <c r="J5523" s="2">
        <v>1</v>
      </c>
      <c r="K5523" s="2" t="s">
        <v>24</v>
      </c>
      <c r="L5523" s="2">
        <v>1503</v>
      </c>
      <c r="M5523" s="2" t="s">
        <v>603</v>
      </c>
      <c r="N5523" s="2">
        <v>38</v>
      </c>
      <c r="O5523" s="2">
        <v>1743705.04</v>
      </c>
      <c r="P5523" s="2">
        <v>45886.97</v>
      </c>
    </row>
    <row r="5524" spans="1:16" outlineLevel="1" x14ac:dyDescent="0.2">
      <c r="A5524" s="5"/>
      <c r="D5524" s="3" t="s">
        <v>696</v>
      </c>
      <c r="N5524" s="2">
        <f>SUBTOTAL(9,N5523:N5523)</f>
        <v>38</v>
      </c>
      <c r="O5524" s="2">
        <f>SUBTOTAL(9,O5523:O5523)</f>
        <v>1743705.04</v>
      </c>
      <c r="P5524" s="2">
        <f>+O5524/N5524</f>
        <v>45886.974736842109</v>
      </c>
    </row>
    <row r="5525" spans="1:16" outlineLevel="2" x14ac:dyDescent="0.2">
      <c r="A5525" s="5">
        <v>46260</v>
      </c>
      <c r="B5525" s="2">
        <v>161885</v>
      </c>
      <c r="C5525" s="2">
        <v>1</v>
      </c>
      <c r="D5525" s="2" t="s">
        <v>474</v>
      </c>
      <c r="E5525" s="2" t="s">
        <v>475</v>
      </c>
      <c r="F5525" s="2" t="s">
        <v>47</v>
      </c>
      <c r="G5525" s="2" t="s">
        <v>22</v>
      </c>
      <c r="H5525" s="2" t="s">
        <v>23</v>
      </c>
      <c r="I5525" s="2" t="s">
        <v>23</v>
      </c>
      <c r="J5525" s="2">
        <v>41</v>
      </c>
      <c r="K5525" s="2" t="s">
        <v>129</v>
      </c>
      <c r="L5525" s="2">
        <v>2338</v>
      </c>
      <c r="M5525" s="2" t="s">
        <v>417</v>
      </c>
      <c r="N5525" s="2">
        <v>221</v>
      </c>
      <c r="O5525" s="2">
        <v>237938.16</v>
      </c>
      <c r="P5525" s="2">
        <v>1076.6400000000001</v>
      </c>
    </row>
    <row r="5526" spans="1:16" outlineLevel="1" x14ac:dyDescent="0.2">
      <c r="A5526" s="5"/>
      <c r="D5526" s="3" t="s">
        <v>780</v>
      </c>
      <c r="N5526" s="2">
        <f>SUBTOTAL(9,N5525:N5525)</f>
        <v>221</v>
      </c>
      <c r="O5526" s="2">
        <f>SUBTOTAL(9,O5525:O5525)</f>
        <v>237938.16</v>
      </c>
      <c r="P5526" s="2">
        <f>+O5526/N5526</f>
        <v>1076.6432579185521</v>
      </c>
    </row>
    <row r="5527" spans="1:16" outlineLevel="2" x14ac:dyDescent="0.2">
      <c r="A5527" s="5">
        <v>46260</v>
      </c>
      <c r="B5527" s="2">
        <v>161946</v>
      </c>
      <c r="C5527" s="2">
        <v>2</v>
      </c>
      <c r="D5527" s="2" t="s">
        <v>54</v>
      </c>
      <c r="E5527" s="2" t="s">
        <v>20</v>
      </c>
      <c r="F5527" s="2" t="s">
        <v>55</v>
      </c>
      <c r="G5527" s="2" t="s">
        <v>23</v>
      </c>
      <c r="H5527" s="2" t="s">
        <v>23</v>
      </c>
      <c r="I5527" s="2" t="s">
        <v>23</v>
      </c>
      <c r="J5527" s="2">
        <v>2</v>
      </c>
      <c r="K5527" s="2" t="s">
        <v>48</v>
      </c>
      <c r="L5527" s="2">
        <v>1964</v>
      </c>
      <c r="M5527" s="2" t="s">
        <v>49</v>
      </c>
      <c r="N5527" s="2">
        <v>19</v>
      </c>
      <c r="O5527" s="2">
        <v>191368.69</v>
      </c>
      <c r="P5527" s="2">
        <v>10072.040000000001</v>
      </c>
    </row>
    <row r="5528" spans="1:16" outlineLevel="2" x14ac:dyDescent="0.2">
      <c r="A5528" s="5">
        <v>46260</v>
      </c>
      <c r="B5528" s="2">
        <v>161946</v>
      </c>
      <c r="C5528" s="2">
        <v>320</v>
      </c>
      <c r="D5528" s="2" t="s">
        <v>54</v>
      </c>
      <c r="E5528" s="2" t="s">
        <v>30</v>
      </c>
      <c r="F5528" s="2" t="s">
        <v>289</v>
      </c>
      <c r="G5528" s="2" t="s">
        <v>22</v>
      </c>
      <c r="H5528" s="2" t="s">
        <v>23</v>
      </c>
      <c r="I5528" s="2" t="s">
        <v>23</v>
      </c>
      <c r="J5528" s="2">
        <v>2</v>
      </c>
      <c r="K5528" s="2" t="s">
        <v>48</v>
      </c>
      <c r="L5528" s="2">
        <v>801</v>
      </c>
      <c r="M5528" s="2" t="s">
        <v>56</v>
      </c>
      <c r="N5528" s="2">
        <v>17</v>
      </c>
      <c r="O5528" s="2">
        <v>226525.96</v>
      </c>
      <c r="P5528" s="2">
        <v>13325.06</v>
      </c>
    </row>
    <row r="5529" spans="1:16" outlineLevel="1" x14ac:dyDescent="0.2">
      <c r="A5529" s="5"/>
      <c r="D5529" s="3" t="s">
        <v>719</v>
      </c>
      <c r="N5529" s="2">
        <f>SUBTOTAL(9,N5527:N5528)</f>
        <v>36</v>
      </c>
      <c r="O5529" s="2">
        <f>SUBTOTAL(9,O5527:O5528)</f>
        <v>417894.65</v>
      </c>
      <c r="P5529" s="2">
        <f>+O5529/N5529</f>
        <v>11608.184722222222</v>
      </c>
    </row>
    <row r="5530" spans="1:16" outlineLevel="2" x14ac:dyDescent="0.2">
      <c r="A5530" s="5">
        <v>46258</v>
      </c>
      <c r="B5530" s="2">
        <v>161948</v>
      </c>
      <c r="C5530" s="2">
        <v>1</v>
      </c>
      <c r="D5530" s="2" t="s">
        <v>19</v>
      </c>
      <c r="E5530" s="2" t="s">
        <v>20</v>
      </c>
      <c r="F5530" s="2" t="s">
        <v>35</v>
      </c>
      <c r="G5530" s="2" t="s">
        <v>22</v>
      </c>
      <c r="H5530" s="2" t="s">
        <v>23</v>
      </c>
      <c r="I5530" s="2" t="s">
        <v>23</v>
      </c>
      <c r="J5530" s="2">
        <v>1</v>
      </c>
      <c r="K5530" s="2" t="s">
        <v>24</v>
      </c>
      <c r="L5530" s="2">
        <v>896</v>
      </c>
      <c r="M5530" s="2" t="s">
        <v>74</v>
      </c>
      <c r="N5530" s="2">
        <v>44</v>
      </c>
      <c r="O5530" s="2">
        <v>1807574.58</v>
      </c>
      <c r="P5530" s="2">
        <v>41081.24</v>
      </c>
    </row>
    <row r="5531" spans="1:16" outlineLevel="1" x14ac:dyDescent="0.2">
      <c r="A5531" s="5"/>
      <c r="D5531" s="3" t="s">
        <v>704</v>
      </c>
      <c r="N5531" s="2">
        <f>SUBTOTAL(9,N5530:N5530)</f>
        <v>44</v>
      </c>
      <c r="O5531" s="2">
        <f>SUBTOTAL(9,O5530:O5530)</f>
        <v>1807574.58</v>
      </c>
      <c r="P5531" s="2">
        <f>+O5531/N5531</f>
        <v>41081.240454545456</v>
      </c>
    </row>
    <row r="5532" spans="1:16" outlineLevel="2" x14ac:dyDescent="0.2">
      <c r="A5532" s="5">
        <v>46260</v>
      </c>
      <c r="B5532" s="2">
        <v>161950</v>
      </c>
      <c r="C5532" s="2">
        <v>5</v>
      </c>
      <c r="D5532" s="2" t="s">
        <v>197</v>
      </c>
      <c r="E5532" s="2" t="s">
        <v>179</v>
      </c>
      <c r="F5532" s="2" t="s">
        <v>40</v>
      </c>
      <c r="G5532" s="2" t="s">
        <v>22</v>
      </c>
      <c r="H5532" s="2" t="s">
        <v>23</v>
      </c>
      <c r="I5532" s="2" t="s">
        <v>23</v>
      </c>
      <c r="J5532" s="2">
        <v>86</v>
      </c>
      <c r="K5532" s="2" t="s">
        <v>73</v>
      </c>
      <c r="L5532" s="2">
        <v>2541</v>
      </c>
      <c r="M5532" s="2" t="s">
        <v>534</v>
      </c>
      <c r="N5532" s="2">
        <v>8</v>
      </c>
      <c r="O5532" s="2">
        <v>325153.59999999998</v>
      </c>
      <c r="P5532" s="2">
        <v>40644.199999999997</v>
      </c>
    </row>
    <row r="5533" spans="1:16" outlineLevel="2" x14ac:dyDescent="0.2">
      <c r="A5533" s="5">
        <v>46260</v>
      </c>
      <c r="B5533" s="2">
        <v>161951</v>
      </c>
      <c r="C5533" s="2">
        <v>2</v>
      </c>
      <c r="D5533" s="2" t="s">
        <v>197</v>
      </c>
      <c r="E5533" s="2" t="s">
        <v>687</v>
      </c>
      <c r="F5533" s="2" t="s">
        <v>40</v>
      </c>
      <c r="G5533" s="2" t="s">
        <v>22</v>
      </c>
      <c r="H5533" s="2" t="s">
        <v>23</v>
      </c>
      <c r="I5533" s="2" t="s">
        <v>23</v>
      </c>
      <c r="J5533" s="2">
        <v>1</v>
      </c>
      <c r="K5533" s="2" t="s">
        <v>24</v>
      </c>
      <c r="L5533" s="2">
        <v>2541</v>
      </c>
      <c r="M5533" s="2" t="s">
        <v>534</v>
      </c>
      <c r="N5533" s="2">
        <v>5</v>
      </c>
      <c r="O5533" s="2">
        <v>325153.65000000002</v>
      </c>
      <c r="P5533" s="2">
        <v>65030.73</v>
      </c>
    </row>
    <row r="5534" spans="1:16" outlineLevel="2" x14ac:dyDescent="0.2">
      <c r="A5534" s="5">
        <v>46260</v>
      </c>
      <c r="B5534" s="2">
        <v>161951</v>
      </c>
      <c r="C5534" s="2">
        <v>3</v>
      </c>
      <c r="D5534" s="2" t="s">
        <v>197</v>
      </c>
      <c r="E5534" s="2" t="s">
        <v>284</v>
      </c>
      <c r="F5534" s="2" t="s">
        <v>40</v>
      </c>
      <c r="G5534" s="2" t="s">
        <v>22</v>
      </c>
      <c r="H5534" s="2" t="s">
        <v>23</v>
      </c>
      <c r="I5534" s="2" t="s">
        <v>23</v>
      </c>
      <c r="J5534" s="2">
        <v>1</v>
      </c>
      <c r="K5534" s="2" t="s">
        <v>24</v>
      </c>
      <c r="L5534" s="2">
        <v>2541</v>
      </c>
      <c r="M5534" s="2" t="s">
        <v>534</v>
      </c>
      <c r="N5534" s="2">
        <v>15</v>
      </c>
      <c r="O5534" s="2">
        <v>1087473.6000000001</v>
      </c>
      <c r="P5534" s="2">
        <v>72498.240000000005</v>
      </c>
    </row>
    <row r="5535" spans="1:16" outlineLevel="1" x14ac:dyDescent="0.2">
      <c r="A5535" s="5"/>
      <c r="D5535" s="3" t="s">
        <v>734</v>
      </c>
      <c r="N5535" s="2">
        <f>SUBTOTAL(9,N5532:N5534)</f>
        <v>28</v>
      </c>
      <c r="O5535" s="2">
        <f>SUBTOTAL(9,O5532:O5534)</f>
        <v>1737780.85</v>
      </c>
      <c r="P5535" s="2">
        <f>+O5535/N5535</f>
        <v>62063.601785714287</v>
      </c>
    </row>
    <row r="5536" spans="1:16" outlineLevel="2" x14ac:dyDescent="0.2">
      <c r="A5536" s="5">
        <v>46258</v>
      </c>
      <c r="B5536" s="2">
        <v>161952</v>
      </c>
      <c r="C5536" s="2">
        <v>1</v>
      </c>
      <c r="D5536" s="2" t="s">
        <v>150</v>
      </c>
      <c r="E5536" s="2" t="s">
        <v>151</v>
      </c>
      <c r="F5536" s="2" t="s">
        <v>40</v>
      </c>
      <c r="G5536" s="2" t="s">
        <v>22</v>
      </c>
      <c r="H5536" s="2" t="s">
        <v>23</v>
      </c>
      <c r="I5536" s="2" t="s">
        <v>101</v>
      </c>
      <c r="J5536" s="2">
        <v>1</v>
      </c>
      <c r="K5536" s="2" t="s">
        <v>24</v>
      </c>
      <c r="L5536" s="2">
        <v>25077</v>
      </c>
      <c r="M5536" s="2" t="s">
        <v>607</v>
      </c>
      <c r="N5536" s="2">
        <v>18</v>
      </c>
      <c r="O5536" s="2">
        <v>533634.34</v>
      </c>
      <c r="P5536" s="2">
        <v>29646.35</v>
      </c>
    </row>
    <row r="5537" spans="1:16" outlineLevel="2" x14ac:dyDescent="0.2">
      <c r="A5537" s="5">
        <v>46258</v>
      </c>
      <c r="B5537" s="2">
        <v>161952</v>
      </c>
      <c r="C5537" s="2">
        <v>4</v>
      </c>
      <c r="D5537" s="2" t="s">
        <v>150</v>
      </c>
      <c r="E5537" s="2" t="s">
        <v>319</v>
      </c>
      <c r="F5537" s="2" t="s">
        <v>40</v>
      </c>
      <c r="G5537" s="2" t="s">
        <v>22</v>
      </c>
      <c r="H5537" s="2" t="s">
        <v>23</v>
      </c>
      <c r="I5537" s="2" t="s">
        <v>466</v>
      </c>
      <c r="J5537" s="2">
        <v>1</v>
      </c>
      <c r="K5537" s="2" t="s">
        <v>24</v>
      </c>
      <c r="L5537" s="2">
        <v>634</v>
      </c>
      <c r="M5537" s="2" t="s">
        <v>153</v>
      </c>
      <c r="N5537" s="2">
        <v>37</v>
      </c>
      <c r="O5537" s="2">
        <v>1051086.73</v>
      </c>
      <c r="P5537" s="2">
        <v>28407.75</v>
      </c>
    </row>
    <row r="5538" spans="1:16" outlineLevel="2" x14ac:dyDescent="0.2">
      <c r="A5538" s="5">
        <v>46258</v>
      </c>
      <c r="B5538" s="2">
        <v>161952</v>
      </c>
      <c r="C5538" s="2">
        <v>5</v>
      </c>
      <c r="D5538" s="2" t="s">
        <v>150</v>
      </c>
      <c r="E5538" s="2" t="s">
        <v>319</v>
      </c>
      <c r="F5538" s="2" t="s">
        <v>40</v>
      </c>
      <c r="G5538" s="2" t="s">
        <v>22</v>
      </c>
      <c r="H5538" s="2" t="s">
        <v>23</v>
      </c>
      <c r="I5538" s="2" t="s">
        <v>100</v>
      </c>
      <c r="J5538" s="2">
        <v>1</v>
      </c>
      <c r="K5538" s="2" t="s">
        <v>24</v>
      </c>
      <c r="L5538" s="2">
        <v>634</v>
      </c>
      <c r="M5538" s="2" t="s">
        <v>153</v>
      </c>
      <c r="N5538" s="2">
        <v>111</v>
      </c>
      <c r="O5538" s="2">
        <v>3355210.37</v>
      </c>
      <c r="P5538" s="2">
        <v>30227.119999999999</v>
      </c>
    </row>
    <row r="5539" spans="1:16" outlineLevel="2" x14ac:dyDescent="0.2">
      <c r="A5539" s="5">
        <v>46258</v>
      </c>
      <c r="B5539" s="2">
        <v>161952</v>
      </c>
      <c r="C5539" s="2">
        <v>6</v>
      </c>
      <c r="D5539" s="2" t="s">
        <v>150</v>
      </c>
      <c r="E5539" s="2" t="s">
        <v>319</v>
      </c>
      <c r="F5539" s="2" t="s">
        <v>40</v>
      </c>
      <c r="G5539" s="2" t="s">
        <v>22</v>
      </c>
      <c r="H5539" s="2" t="s">
        <v>23</v>
      </c>
      <c r="I5539" s="2" t="s">
        <v>109</v>
      </c>
      <c r="J5539" s="2">
        <v>1</v>
      </c>
      <c r="K5539" s="2" t="s">
        <v>24</v>
      </c>
      <c r="L5539" s="2">
        <v>634</v>
      </c>
      <c r="M5539" s="2" t="s">
        <v>153</v>
      </c>
      <c r="N5539" s="2">
        <v>84</v>
      </c>
      <c r="O5539" s="2">
        <v>2465308.84</v>
      </c>
      <c r="P5539" s="2">
        <v>29348.91</v>
      </c>
    </row>
    <row r="5540" spans="1:16" outlineLevel="1" x14ac:dyDescent="0.2">
      <c r="A5540" s="5"/>
      <c r="D5540" s="3" t="s">
        <v>718</v>
      </c>
      <c r="N5540" s="2">
        <f>SUBTOTAL(9,N5536:N5539)</f>
        <v>250</v>
      </c>
      <c r="O5540" s="2">
        <f>SUBTOTAL(9,O5536:O5539)</f>
        <v>7405240.2799999993</v>
      </c>
      <c r="P5540" s="2">
        <f>+O5540/N5540</f>
        <v>29620.961119999996</v>
      </c>
    </row>
    <row r="5541" spans="1:16" outlineLevel="2" x14ac:dyDescent="0.2">
      <c r="A5541" s="5">
        <v>46258</v>
      </c>
      <c r="B5541" s="2">
        <v>161953</v>
      </c>
      <c r="C5541" s="2">
        <v>1</v>
      </c>
      <c r="D5541" s="2" t="s">
        <v>338</v>
      </c>
      <c r="E5541" s="2" t="s">
        <v>688</v>
      </c>
      <c r="F5541" s="2" t="s">
        <v>40</v>
      </c>
      <c r="G5541" s="2" t="s">
        <v>22</v>
      </c>
      <c r="H5541" s="2" t="s">
        <v>23</v>
      </c>
      <c r="I5541" s="2" t="s">
        <v>466</v>
      </c>
      <c r="J5541" s="2">
        <v>1</v>
      </c>
      <c r="K5541" s="2" t="s">
        <v>24</v>
      </c>
      <c r="L5541" s="2">
        <v>25077</v>
      </c>
      <c r="M5541" s="2" t="s">
        <v>607</v>
      </c>
      <c r="N5541" s="2">
        <v>47</v>
      </c>
      <c r="O5541" s="2">
        <v>1437237.64</v>
      </c>
      <c r="P5541" s="2">
        <v>30579.52</v>
      </c>
    </row>
    <row r="5542" spans="1:16" outlineLevel="2" x14ac:dyDescent="0.2">
      <c r="A5542" s="5">
        <v>46258</v>
      </c>
      <c r="B5542" s="2">
        <v>161953</v>
      </c>
      <c r="C5542" s="2">
        <v>2</v>
      </c>
      <c r="D5542" s="2" t="s">
        <v>338</v>
      </c>
      <c r="E5542" s="2" t="s">
        <v>688</v>
      </c>
      <c r="F5542" s="2" t="s">
        <v>40</v>
      </c>
      <c r="G5542" s="2" t="s">
        <v>22</v>
      </c>
      <c r="H5542" s="2" t="s">
        <v>23</v>
      </c>
      <c r="I5542" s="2" t="s">
        <v>100</v>
      </c>
      <c r="J5542" s="2">
        <v>1</v>
      </c>
      <c r="K5542" s="2" t="s">
        <v>24</v>
      </c>
      <c r="L5542" s="2">
        <v>25077</v>
      </c>
      <c r="M5542" s="2" t="s">
        <v>607</v>
      </c>
      <c r="N5542" s="2">
        <v>60</v>
      </c>
      <c r="O5542" s="2">
        <v>1764874.8</v>
      </c>
      <c r="P5542" s="2">
        <v>29414.58</v>
      </c>
    </row>
    <row r="5543" spans="1:16" outlineLevel="1" x14ac:dyDescent="0.2">
      <c r="A5543" s="5"/>
      <c r="D5543" s="3" t="s">
        <v>754</v>
      </c>
      <c r="N5543" s="2">
        <f>SUBTOTAL(9,N5541:N5542)</f>
        <v>107</v>
      </c>
      <c r="O5543" s="2">
        <f>SUBTOTAL(9,O5541:O5542)</f>
        <v>3202112.44</v>
      </c>
      <c r="P5543" s="2">
        <f>+O5543/N5543</f>
        <v>29926.284485981309</v>
      </c>
    </row>
    <row r="5544" spans="1:16" outlineLevel="2" x14ac:dyDescent="0.2">
      <c r="A5544" s="5">
        <v>46258</v>
      </c>
      <c r="B5544" s="2">
        <v>161955</v>
      </c>
      <c r="C5544" s="2">
        <v>3</v>
      </c>
      <c r="D5544" s="2" t="s">
        <v>38</v>
      </c>
      <c r="E5544" s="2" t="s">
        <v>39</v>
      </c>
      <c r="F5544" s="2" t="s">
        <v>21</v>
      </c>
      <c r="G5544" s="2" t="s">
        <v>22</v>
      </c>
      <c r="H5544" s="2" t="s">
        <v>23</v>
      </c>
      <c r="I5544" s="2" t="s">
        <v>217</v>
      </c>
      <c r="J5544" s="2">
        <v>40</v>
      </c>
      <c r="K5544" s="2" t="s">
        <v>43</v>
      </c>
      <c r="L5544" s="2">
        <v>2558</v>
      </c>
      <c r="M5544" s="2" t="s">
        <v>689</v>
      </c>
      <c r="N5544" s="2">
        <v>8</v>
      </c>
      <c r="O5544" s="2">
        <v>402632.48</v>
      </c>
      <c r="P5544" s="2">
        <v>50329.06</v>
      </c>
    </row>
    <row r="5545" spans="1:16" outlineLevel="2" x14ac:dyDescent="0.2">
      <c r="A5545" s="5">
        <v>46258</v>
      </c>
      <c r="B5545" s="2">
        <v>161955</v>
      </c>
      <c r="C5545" s="2">
        <v>4</v>
      </c>
      <c r="D5545" s="2" t="s">
        <v>38</v>
      </c>
      <c r="E5545" s="2" t="s">
        <v>39</v>
      </c>
      <c r="F5545" s="2" t="s">
        <v>21</v>
      </c>
      <c r="G5545" s="2" t="s">
        <v>22</v>
      </c>
      <c r="H5545" s="2" t="s">
        <v>23</v>
      </c>
      <c r="I5545" s="2" t="s">
        <v>220</v>
      </c>
      <c r="J5545" s="2">
        <v>40</v>
      </c>
      <c r="K5545" s="2" t="s">
        <v>43</v>
      </c>
      <c r="L5545" s="2">
        <v>2558</v>
      </c>
      <c r="M5545" s="2" t="s">
        <v>689</v>
      </c>
      <c r="N5545" s="2">
        <v>1</v>
      </c>
      <c r="O5545" s="2">
        <v>51029.14</v>
      </c>
      <c r="P5545" s="2">
        <v>51029.14</v>
      </c>
    </row>
    <row r="5546" spans="1:16" outlineLevel="1" x14ac:dyDescent="0.2">
      <c r="A5546" s="5"/>
      <c r="D5546" s="3" t="s">
        <v>721</v>
      </c>
      <c r="N5546" s="2">
        <f>SUBTOTAL(9,N5544:N5545)</f>
        <v>9</v>
      </c>
      <c r="O5546" s="2">
        <f>SUBTOTAL(9,O5544:O5545)</f>
        <v>453661.62</v>
      </c>
      <c r="P5546" s="2">
        <f>+O5546/N5546</f>
        <v>50406.846666666665</v>
      </c>
    </row>
    <row r="5547" spans="1:16" outlineLevel="2" x14ac:dyDescent="0.2">
      <c r="A5547" s="5">
        <v>46258</v>
      </c>
      <c r="B5547" s="2">
        <v>161957</v>
      </c>
      <c r="C5547" s="2">
        <v>1</v>
      </c>
      <c r="D5547" s="2" t="s">
        <v>178</v>
      </c>
      <c r="E5547" s="2" t="s">
        <v>179</v>
      </c>
      <c r="F5547" s="2" t="s">
        <v>108</v>
      </c>
      <c r="G5547" s="2" t="s">
        <v>22</v>
      </c>
      <c r="H5547" s="2" t="s">
        <v>23</v>
      </c>
      <c r="I5547" s="2" t="s">
        <v>109</v>
      </c>
      <c r="J5547" s="2">
        <v>1</v>
      </c>
      <c r="K5547" s="2" t="s">
        <v>24</v>
      </c>
      <c r="L5547" s="2">
        <v>1037</v>
      </c>
      <c r="M5547" s="2" t="s">
        <v>181</v>
      </c>
      <c r="N5547" s="2">
        <v>146</v>
      </c>
      <c r="O5547" s="2">
        <v>6120403.6600000001</v>
      </c>
      <c r="P5547" s="2">
        <v>41920.57</v>
      </c>
    </row>
    <row r="5548" spans="1:16" outlineLevel="2" x14ac:dyDescent="0.2">
      <c r="A5548" s="5">
        <v>46258</v>
      </c>
      <c r="B5548" s="2">
        <v>161957</v>
      </c>
      <c r="C5548" s="2">
        <v>5</v>
      </c>
      <c r="D5548" s="2" t="s">
        <v>178</v>
      </c>
      <c r="E5548" s="2" t="s">
        <v>179</v>
      </c>
      <c r="F5548" s="2" t="s">
        <v>108</v>
      </c>
      <c r="G5548" s="2" t="s">
        <v>22</v>
      </c>
      <c r="H5548" s="2" t="s">
        <v>23</v>
      </c>
      <c r="I5548" s="2" t="s">
        <v>152</v>
      </c>
      <c r="J5548" s="2">
        <v>1</v>
      </c>
      <c r="K5548" s="2" t="s">
        <v>24</v>
      </c>
      <c r="L5548" s="2">
        <v>1037</v>
      </c>
      <c r="M5548" s="2" t="s">
        <v>181</v>
      </c>
      <c r="N5548" s="2">
        <v>38</v>
      </c>
      <c r="O5548" s="2">
        <v>2056093.59</v>
      </c>
      <c r="P5548" s="2">
        <v>54107.73</v>
      </c>
    </row>
    <row r="5549" spans="1:16" outlineLevel="1" x14ac:dyDescent="0.2">
      <c r="A5549" s="5"/>
      <c r="D5549" s="3" t="s">
        <v>730</v>
      </c>
      <c r="N5549" s="2">
        <f>SUBTOTAL(9,N5547:N5548)</f>
        <v>184</v>
      </c>
      <c r="O5549" s="2">
        <f>SUBTOTAL(9,O5547:O5548)</f>
        <v>8176497.25</v>
      </c>
      <c r="P5549" s="2">
        <f>+O5549/N5549</f>
        <v>44437.485054347824</v>
      </c>
    </row>
    <row r="5550" spans="1:16" outlineLevel="2" x14ac:dyDescent="0.2">
      <c r="A5550" s="5">
        <v>46258</v>
      </c>
      <c r="B5550" s="2">
        <v>161958</v>
      </c>
      <c r="C5550" s="2">
        <v>1</v>
      </c>
      <c r="D5550" s="2" t="s">
        <v>38</v>
      </c>
      <c r="E5550" s="2" t="s">
        <v>39</v>
      </c>
      <c r="F5550" s="2" t="s">
        <v>63</v>
      </c>
      <c r="G5550" s="2" t="s">
        <v>22</v>
      </c>
      <c r="H5550" s="2" t="s">
        <v>23</v>
      </c>
      <c r="I5550" s="2" t="s">
        <v>116</v>
      </c>
      <c r="J5550" s="2">
        <v>1</v>
      </c>
      <c r="K5550" s="2" t="s">
        <v>24</v>
      </c>
      <c r="L5550" s="2">
        <v>1846</v>
      </c>
      <c r="M5550" s="2" t="s">
        <v>134</v>
      </c>
      <c r="N5550" s="2">
        <v>88</v>
      </c>
      <c r="O5550" s="2">
        <v>7542279.0700000003</v>
      </c>
      <c r="P5550" s="2">
        <v>85707.72</v>
      </c>
    </row>
    <row r="5551" spans="1:16" outlineLevel="2" x14ac:dyDescent="0.2">
      <c r="A5551" s="5">
        <v>46258</v>
      </c>
      <c r="B5551" s="2">
        <v>161958</v>
      </c>
      <c r="C5551" s="2">
        <v>2</v>
      </c>
      <c r="D5551" s="2" t="s">
        <v>38</v>
      </c>
      <c r="E5551" s="2" t="s">
        <v>39</v>
      </c>
      <c r="F5551" s="2" t="s">
        <v>63</v>
      </c>
      <c r="G5551" s="2" t="s">
        <v>22</v>
      </c>
      <c r="H5551" s="2" t="s">
        <v>23</v>
      </c>
      <c r="I5551" s="2" t="s">
        <v>135</v>
      </c>
      <c r="J5551" s="2">
        <v>1</v>
      </c>
      <c r="K5551" s="2" t="s">
        <v>24</v>
      </c>
      <c r="L5551" s="2">
        <v>1846</v>
      </c>
      <c r="M5551" s="2" t="s">
        <v>134</v>
      </c>
      <c r="N5551" s="2">
        <v>68</v>
      </c>
      <c r="O5551" s="2">
        <v>5603502.3700000001</v>
      </c>
      <c r="P5551" s="2">
        <v>82404.45</v>
      </c>
    </row>
    <row r="5552" spans="1:16" outlineLevel="2" x14ac:dyDescent="0.2">
      <c r="A5552" s="5">
        <v>46258</v>
      </c>
      <c r="B5552" s="2">
        <v>161958</v>
      </c>
      <c r="C5552" s="2">
        <v>3</v>
      </c>
      <c r="D5552" s="2" t="s">
        <v>38</v>
      </c>
      <c r="E5552" s="2" t="s">
        <v>39</v>
      </c>
      <c r="F5552" s="2" t="s">
        <v>63</v>
      </c>
      <c r="G5552" s="2" t="s">
        <v>22</v>
      </c>
      <c r="H5552" s="2" t="s">
        <v>23</v>
      </c>
      <c r="I5552" s="2" t="s">
        <v>133</v>
      </c>
      <c r="J5552" s="2">
        <v>1</v>
      </c>
      <c r="K5552" s="2" t="s">
        <v>24</v>
      </c>
      <c r="L5552" s="2">
        <v>1846</v>
      </c>
      <c r="M5552" s="2" t="s">
        <v>134</v>
      </c>
      <c r="N5552" s="2">
        <v>498</v>
      </c>
      <c r="O5552" s="2">
        <v>30326638.640000001</v>
      </c>
      <c r="P5552" s="2">
        <v>60896.86</v>
      </c>
    </row>
    <row r="5553" spans="1:16" outlineLevel="2" x14ac:dyDescent="0.2">
      <c r="A5553" s="5">
        <v>46258</v>
      </c>
      <c r="B5553" s="2">
        <v>161958</v>
      </c>
      <c r="C5553" s="2">
        <v>4</v>
      </c>
      <c r="D5553" s="2" t="s">
        <v>38</v>
      </c>
      <c r="E5553" s="2" t="s">
        <v>39</v>
      </c>
      <c r="F5553" s="2" t="s">
        <v>63</v>
      </c>
      <c r="G5553" s="2" t="s">
        <v>22</v>
      </c>
      <c r="H5553" s="2" t="s">
        <v>23</v>
      </c>
      <c r="I5553" s="2" t="s">
        <v>23</v>
      </c>
      <c r="J5553" s="2">
        <v>124</v>
      </c>
      <c r="K5553" s="2" t="s">
        <v>155</v>
      </c>
      <c r="L5553" s="2">
        <v>1846</v>
      </c>
      <c r="M5553" s="2" t="s">
        <v>134</v>
      </c>
      <c r="N5553" s="2">
        <v>110</v>
      </c>
      <c r="O5553" s="2">
        <v>7991856.4000000004</v>
      </c>
      <c r="P5553" s="2">
        <v>72653.240000000005</v>
      </c>
    </row>
    <row r="5554" spans="1:16" outlineLevel="1" x14ac:dyDescent="0.2">
      <c r="A5554" s="5"/>
      <c r="D5554" s="3" t="s">
        <v>721</v>
      </c>
      <c r="N5554" s="2">
        <f>SUBTOTAL(9,N5550:N5553)</f>
        <v>764</v>
      </c>
      <c r="O5554" s="2">
        <f>SUBTOTAL(9,O5550:O5553)</f>
        <v>51464276.479999997</v>
      </c>
      <c r="P5554" s="2">
        <f>+O5554/N5554</f>
        <v>67361.618429319366</v>
      </c>
    </row>
    <row r="5555" spans="1:16" outlineLevel="2" x14ac:dyDescent="0.2">
      <c r="A5555" s="5">
        <v>46258</v>
      </c>
      <c r="B5555" s="2">
        <v>161959</v>
      </c>
      <c r="C5555" s="2">
        <v>5</v>
      </c>
      <c r="D5555" s="2" t="s">
        <v>83</v>
      </c>
      <c r="E5555" s="2" t="s">
        <v>690</v>
      </c>
      <c r="F5555" s="2" t="s">
        <v>85</v>
      </c>
      <c r="G5555" s="2" t="s">
        <v>22</v>
      </c>
      <c r="H5555" s="2" t="s">
        <v>23</v>
      </c>
      <c r="I5555" s="2" t="s">
        <v>636</v>
      </c>
      <c r="J5555" s="2">
        <v>1</v>
      </c>
      <c r="K5555" s="2" t="s">
        <v>24</v>
      </c>
      <c r="L5555" s="2">
        <v>25249</v>
      </c>
      <c r="M5555" s="2" t="s">
        <v>635</v>
      </c>
      <c r="N5555" s="2">
        <v>129</v>
      </c>
      <c r="O5555" s="2">
        <v>7122582.2199999997</v>
      </c>
      <c r="P5555" s="2">
        <v>55213.82</v>
      </c>
    </row>
    <row r="5556" spans="1:16" outlineLevel="2" x14ac:dyDescent="0.2">
      <c r="A5556" s="5">
        <v>46258</v>
      </c>
      <c r="B5556" s="2">
        <v>161959</v>
      </c>
      <c r="C5556" s="2">
        <v>7</v>
      </c>
      <c r="D5556" s="2" t="s">
        <v>83</v>
      </c>
      <c r="E5556" s="2" t="s">
        <v>676</v>
      </c>
      <c r="F5556" s="2" t="s">
        <v>85</v>
      </c>
      <c r="G5556" s="2" t="s">
        <v>22</v>
      </c>
      <c r="H5556" s="2" t="s">
        <v>23</v>
      </c>
      <c r="I5556" s="2" t="s">
        <v>674</v>
      </c>
      <c r="J5556" s="2">
        <v>2</v>
      </c>
      <c r="K5556" s="2" t="s">
        <v>48</v>
      </c>
      <c r="L5556" s="2">
        <v>25249</v>
      </c>
      <c r="M5556" s="2" t="s">
        <v>635</v>
      </c>
      <c r="N5556" s="2">
        <v>89</v>
      </c>
      <c r="O5556" s="2">
        <v>4976248.49</v>
      </c>
      <c r="P5556" s="2">
        <v>55912.9</v>
      </c>
    </row>
    <row r="5557" spans="1:16" outlineLevel="1" x14ac:dyDescent="0.2">
      <c r="A5557" s="5"/>
      <c r="D5557" s="3" t="s">
        <v>701</v>
      </c>
      <c r="N5557" s="2">
        <f>SUBTOTAL(9,N5555:N5556)</f>
        <v>218</v>
      </c>
      <c r="O5557" s="2">
        <f>SUBTOTAL(9,O5555:O5556)</f>
        <v>12098830.710000001</v>
      </c>
      <c r="P5557" s="2">
        <f>+O5557/N5557</f>
        <v>55499.223440366979</v>
      </c>
    </row>
    <row r="5558" spans="1:16" outlineLevel="2" x14ac:dyDescent="0.2">
      <c r="A5558" s="5">
        <v>46258</v>
      </c>
      <c r="B5558" s="2">
        <v>161959</v>
      </c>
      <c r="C5558" s="2">
        <v>8</v>
      </c>
      <c r="D5558" s="2" t="s">
        <v>107</v>
      </c>
      <c r="E5558" s="2" t="s">
        <v>691</v>
      </c>
      <c r="F5558" s="2" t="s">
        <v>85</v>
      </c>
      <c r="G5558" s="2" t="s">
        <v>22</v>
      </c>
      <c r="H5558" s="2" t="s">
        <v>23</v>
      </c>
      <c r="I5558" s="2" t="s">
        <v>23</v>
      </c>
      <c r="J5558" s="2">
        <v>2</v>
      </c>
      <c r="K5558" s="2" t="s">
        <v>48</v>
      </c>
      <c r="L5558" s="2">
        <v>25249</v>
      </c>
      <c r="M5558" s="2" t="s">
        <v>635</v>
      </c>
      <c r="N5558" s="2">
        <v>112</v>
      </c>
      <c r="O5558" s="2">
        <v>6307959.0499999998</v>
      </c>
      <c r="P5558" s="2">
        <v>56321.06</v>
      </c>
    </row>
    <row r="5559" spans="1:16" outlineLevel="2" x14ac:dyDescent="0.2">
      <c r="A5559" s="5">
        <v>46258</v>
      </c>
      <c r="B5559" s="2">
        <v>161959</v>
      </c>
      <c r="C5559" s="2">
        <v>9</v>
      </c>
      <c r="D5559" s="2" t="s">
        <v>107</v>
      </c>
      <c r="E5559" s="2" t="s">
        <v>691</v>
      </c>
      <c r="F5559" s="2" t="s">
        <v>85</v>
      </c>
      <c r="G5559" s="2" t="s">
        <v>22</v>
      </c>
      <c r="H5559" s="2" t="s">
        <v>23</v>
      </c>
      <c r="I5559" s="2" t="s">
        <v>23</v>
      </c>
      <c r="J5559" s="2">
        <v>2</v>
      </c>
      <c r="K5559" s="2" t="s">
        <v>48</v>
      </c>
      <c r="L5559" s="2">
        <v>25249</v>
      </c>
      <c r="M5559" s="2" t="s">
        <v>635</v>
      </c>
      <c r="N5559" s="2">
        <v>112</v>
      </c>
      <c r="O5559" s="2">
        <v>6452669.7599999998</v>
      </c>
      <c r="P5559" s="2">
        <v>57613.120000000003</v>
      </c>
    </row>
    <row r="5560" spans="1:16" outlineLevel="1" x14ac:dyDescent="0.2">
      <c r="A5560" s="5"/>
      <c r="D5560" s="3" t="s">
        <v>726</v>
      </c>
      <c r="N5560" s="2">
        <f>SUBTOTAL(9,N5558:N5559)</f>
        <v>224</v>
      </c>
      <c r="O5560" s="2">
        <f>SUBTOTAL(9,O5558:O5559)</f>
        <v>12760628.809999999</v>
      </c>
      <c r="P5560" s="2">
        <f>+O5560/N5560</f>
        <v>56967.092901785705</v>
      </c>
    </row>
    <row r="5561" spans="1:16" outlineLevel="2" x14ac:dyDescent="0.2">
      <c r="A5561" s="5">
        <v>46258</v>
      </c>
      <c r="B5561" s="2">
        <v>161993</v>
      </c>
      <c r="C5561" s="2">
        <v>5</v>
      </c>
      <c r="D5561" s="2" t="s">
        <v>45</v>
      </c>
      <c r="E5561" s="2" t="s">
        <v>125</v>
      </c>
      <c r="F5561" s="2" t="s">
        <v>289</v>
      </c>
      <c r="G5561" s="2" t="s">
        <v>22</v>
      </c>
      <c r="H5561" s="2" t="s">
        <v>23</v>
      </c>
      <c r="I5561" s="2" t="s">
        <v>23</v>
      </c>
      <c r="J5561" s="2">
        <v>2</v>
      </c>
      <c r="K5561" s="2" t="s">
        <v>48</v>
      </c>
      <c r="L5561" s="2">
        <v>106</v>
      </c>
      <c r="M5561" s="2" t="s">
        <v>486</v>
      </c>
      <c r="N5561" s="2">
        <v>56</v>
      </c>
      <c r="O5561" s="2">
        <v>2135150.0099999998</v>
      </c>
      <c r="P5561" s="2">
        <v>38127.68</v>
      </c>
    </row>
    <row r="5562" spans="1:16" outlineLevel="1" x14ac:dyDescent="0.2">
      <c r="A5562" s="5"/>
      <c r="D5562" s="3" t="s">
        <v>733</v>
      </c>
      <c r="N5562" s="2">
        <f>SUBTOTAL(9,N5561:N5561)</f>
        <v>56</v>
      </c>
      <c r="O5562" s="2">
        <f>SUBTOTAL(9,O5561:O5561)</f>
        <v>2135150.0099999998</v>
      </c>
      <c r="P5562" s="2">
        <f>+O5562/N5562</f>
        <v>38127.678749999999</v>
      </c>
    </row>
    <row r="5563" spans="1:16" outlineLevel="2" x14ac:dyDescent="0.2">
      <c r="A5563" s="5">
        <v>46258</v>
      </c>
      <c r="B5563" s="2">
        <v>161993</v>
      </c>
      <c r="C5563" s="2">
        <v>7</v>
      </c>
      <c r="D5563" s="2" t="s">
        <v>226</v>
      </c>
      <c r="E5563" s="2" t="s">
        <v>585</v>
      </c>
      <c r="F5563" s="2" t="s">
        <v>289</v>
      </c>
      <c r="G5563" s="2" t="s">
        <v>22</v>
      </c>
      <c r="H5563" s="2" t="s">
        <v>23</v>
      </c>
      <c r="I5563" s="2" t="s">
        <v>23</v>
      </c>
      <c r="J5563" s="2">
        <v>2</v>
      </c>
      <c r="K5563" s="2" t="s">
        <v>48</v>
      </c>
      <c r="L5563" s="2">
        <v>106</v>
      </c>
      <c r="M5563" s="2" t="s">
        <v>486</v>
      </c>
      <c r="N5563" s="2">
        <v>24</v>
      </c>
      <c r="O5563" s="2">
        <v>448078.04</v>
      </c>
      <c r="P5563" s="2">
        <v>18669.919999999998</v>
      </c>
    </row>
    <row r="5564" spans="1:16" outlineLevel="1" x14ac:dyDescent="0.2">
      <c r="A5564" s="5"/>
      <c r="D5564" s="3" t="s">
        <v>736</v>
      </c>
      <c r="N5564" s="2">
        <f>SUBTOTAL(9,N5563:N5563)</f>
        <v>24</v>
      </c>
      <c r="O5564" s="2">
        <f>SUBTOTAL(9,O5563:O5563)</f>
        <v>448078.04</v>
      </c>
      <c r="P5564" s="2">
        <f>+O5564/N5564</f>
        <v>18669.918333333331</v>
      </c>
    </row>
    <row r="5565" spans="1:16" outlineLevel="2" x14ac:dyDescent="0.2">
      <c r="A5565" s="5">
        <v>46260</v>
      </c>
      <c r="B5565" s="2">
        <v>161993</v>
      </c>
      <c r="C5565" s="2">
        <v>320</v>
      </c>
      <c r="D5565" s="2" t="s">
        <v>406</v>
      </c>
      <c r="E5565" s="2" t="s">
        <v>125</v>
      </c>
      <c r="F5565" s="2" t="s">
        <v>289</v>
      </c>
      <c r="G5565" s="2" t="s">
        <v>22</v>
      </c>
      <c r="H5565" s="2" t="s">
        <v>23</v>
      </c>
      <c r="I5565" s="2" t="s">
        <v>23</v>
      </c>
      <c r="J5565" s="2">
        <v>2</v>
      </c>
      <c r="K5565" s="2" t="s">
        <v>48</v>
      </c>
      <c r="L5565" s="2">
        <v>106</v>
      </c>
      <c r="M5565" s="2" t="s">
        <v>486</v>
      </c>
      <c r="N5565" s="2">
        <v>15</v>
      </c>
      <c r="O5565" s="2">
        <v>181090.5</v>
      </c>
      <c r="P5565" s="2">
        <v>12072.7</v>
      </c>
    </row>
    <row r="5566" spans="1:16" outlineLevel="1" x14ac:dyDescent="0.2">
      <c r="A5566" s="5"/>
      <c r="D5566" s="3" t="s">
        <v>770</v>
      </c>
      <c r="N5566" s="2">
        <f>SUBTOTAL(9,N5565:N5565)</f>
        <v>15</v>
      </c>
      <c r="O5566" s="2">
        <f>SUBTOTAL(9,O5565:O5565)</f>
        <v>181090.5</v>
      </c>
      <c r="P5566" s="2">
        <f>+O5566/N5566</f>
        <v>12072.7</v>
      </c>
    </row>
    <row r="5567" spans="1:16" outlineLevel="2" x14ac:dyDescent="0.2">
      <c r="A5567" s="5">
        <v>46258</v>
      </c>
      <c r="B5567" s="2">
        <v>161994</v>
      </c>
      <c r="C5567" s="2">
        <v>9</v>
      </c>
      <c r="D5567" s="2" t="s">
        <v>45</v>
      </c>
      <c r="E5567" s="2" t="s">
        <v>295</v>
      </c>
      <c r="F5567" s="2" t="s">
        <v>289</v>
      </c>
      <c r="G5567" s="2" t="s">
        <v>22</v>
      </c>
      <c r="H5567" s="2" t="s">
        <v>23</v>
      </c>
      <c r="I5567" s="2" t="s">
        <v>23</v>
      </c>
      <c r="J5567" s="2">
        <v>2</v>
      </c>
      <c r="K5567" s="2" t="s">
        <v>48</v>
      </c>
      <c r="L5567" s="2">
        <v>801</v>
      </c>
      <c r="M5567" s="2" t="s">
        <v>56</v>
      </c>
      <c r="N5567" s="2">
        <v>24</v>
      </c>
      <c r="O5567" s="2">
        <v>707574.22</v>
      </c>
      <c r="P5567" s="2">
        <v>29482.26</v>
      </c>
    </row>
    <row r="5568" spans="1:16" outlineLevel="2" x14ac:dyDescent="0.2">
      <c r="A5568" s="5">
        <v>46258</v>
      </c>
      <c r="B5568" s="2">
        <v>161994</v>
      </c>
      <c r="C5568" s="2">
        <v>10</v>
      </c>
      <c r="D5568" s="2" t="s">
        <v>45</v>
      </c>
      <c r="E5568" s="2" t="s">
        <v>295</v>
      </c>
      <c r="F5568" s="2" t="s">
        <v>289</v>
      </c>
      <c r="G5568" s="2" t="s">
        <v>22</v>
      </c>
      <c r="H5568" s="2" t="s">
        <v>23</v>
      </c>
      <c r="I5568" s="2" t="s">
        <v>23</v>
      </c>
      <c r="J5568" s="2">
        <v>41</v>
      </c>
      <c r="K5568" s="2" t="s">
        <v>129</v>
      </c>
      <c r="L5568" s="2">
        <v>801</v>
      </c>
      <c r="M5568" s="2" t="s">
        <v>56</v>
      </c>
      <c r="N5568" s="2">
        <v>64</v>
      </c>
      <c r="O5568" s="2">
        <v>1168249.99</v>
      </c>
      <c r="P5568" s="2">
        <v>18253.91</v>
      </c>
    </row>
    <row r="5569" spans="1:16" outlineLevel="2" x14ac:dyDescent="0.2">
      <c r="A5569" s="5">
        <v>46258</v>
      </c>
      <c r="B5569" s="2">
        <v>161994</v>
      </c>
      <c r="C5569" s="2">
        <v>13</v>
      </c>
      <c r="D5569" s="2" t="s">
        <v>45</v>
      </c>
      <c r="E5569" s="2" t="s">
        <v>598</v>
      </c>
      <c r="F5569" s="2" t="s">
        <v>289</v>
      </c>
      <c r="G5569" s="2" t="s">
        <v>22</v>
      </c>
      <c r="H5569" s="2" t="s">
        <v>23</v>
      </c>
      <c r="I5569" s="2" t="s">
        <v>23</v>
      </c>
      <c r="J5569" s="2">
        <v>41</v>
      </c>
      <c r="K5569" s="2" t="s">
        <v>129</v>
      </c>
      <c r="L5569" s="2">
        <v>801</v>
      </c>
      <c r="M5569" s="2" t="s">
        <v>56</v>
      </c>
      <c r="N5569" s="2">
        <v>28</v>
      </c>
      <c r="O5569" s="2">
        <v>638813.35</v>
      </c>
      <c r="P5569" s="2">
        <v>22814.76</v>
      </c>
    </row>
    <row r="5570" spans="1:16" outlineLevel="2" x14ac:dyDescent="0.2">
      <c r="A5570" s="5">
        <v>46258</v>
      </c>
      <c r="B5570" s="2">
        <v>161994</v>
      </c>
      <c r="C5570" s="2">
        <v>15</v>
      </c>
      <c r="D5570" s="2" t="s">
        <v>45</v>
      </c>
      <c r="E5570" s="2" t="s">
        <v>558</v>
      </c>
      <c r="F5570" s="2" t="s">
        <v>289</v>
      </c>
      <c r="G5570" s="2" t="s">
        <v>22</v>
      </c>
      <c r="H5570" s="2" t="s">
        <v>23</v>
      </c>
      <c r="I5570" s="2" t="s">
        <v>23</v>
      </c>
      <c r="J5570" s="2">
        <v>41</v>
      </c>
      <c r="K5570" s="2" t="s">
        <v>129</v>
      </c>
      <c r="L5570" s="2">
        <v>801</v>
      </c>
      <c r="M5570" s="2" t="s">
        <v>56</v>
      </c>
      <c r="N5570" s="2">
        <v>18</v>
      </c>
      <c r="O5570" s="2">
        <v>421001.67</v>
      </c>
      <c r="P5570" s="2">
        <v>23388.98</v>
      </c>
    </row>
    <row r="5571" spans="1:16" outlineLevel="1" x14ac:dyDescent="0.2">
      <c r="A5571" s="5"/>
      <c r="D5571" s="3" t="s">
        <v>733</v>
      </c>
      <c r="N5571" s="2">
        <f>SUBTOTAL(9,N5567:N5570)</f>
        <v>134</v>
      </c>
      <c r="O5571" s="2">
        <f>SUBTOTAL(9,O5567:O5570)</f>
        <v>2935639.23</v>
      </c>
      <c r="P5571" s="2">
        <f>+O5571/N5571</f>
        <v>21907.755447761196</v>
      </c>
    </row>
    <row r="5572" spans="1:16" outlineLevel="2" x14ac:dyDescent="0.2">
      <c r="A5572" s="5">
        <v>46258</v>
      </c>
      <c r="B5572" s="2">
        <v>161994</v>
      </c>
      <c r="C5572" s="2">
        <v>17</v>
      </c>
      <c r="D5572" s="2" t="s">
        <v>226</v>
      </c>
      <c r="E5572" s="2" t="s">
        <v>544</v>
      </c>
      <c r="F5572" s="2" t="s">
        <v>289</v>
      </c>
      <c r="G5572" s="2" t="s">
        <v>22</v>
      </c>
      <c r="H5572" s="2" t="s">
        <v>23</v>
      </c>
      <c r="I5572" s="2" t="s">
        <v>23</v>
      </c>
      <c r="J5572" s="2">
        <v>41</v>
      </c>
      <c r="K5572" s="2" t="s">
        <v>129</v>
      </c>
      <c r="L5572" s="2">
        <v>801</v>
      </c>
      <c r="M5572" s="2" t="s">
        <v>56</v>
      </c>
      <c r="N5572" s="2">
        <v>16</v>
      </c>
      <c r="O5572" s="2">
        <v>313029.17</v>
      </c>
      <c r="P5572" s="2">
        <v>19564.32</v>
      </c>
    </row>
    <row r="5573" spans="1:16" outlineLevel="2" x14ac:dyDescent="0.2">
      <c r="A5573" s="5">
        <v>46258</v>
      </c>
      <c r="B5573" s="2">
        <v>161994</v>
      </c>
      <c r="C5573" s="2">
        <v>19</v>
      </c>
      <c r="D5573" s="2" t="s">
        <v>226</v>
      </c>
      <c r="E5573" s="2" t="s">
        <v>568</v>
      </c>
      <c r="F5573" s="2" t="s">
        <v>289</v>
      </c>
      <c r="G5573" s="2" t="s">
        <v>22</v>
      </c>
      <c r="H5573" s="2" t="s">
        <v>23</v>
      </c>
      <c r="I5573" s="2" t="s">
        <v>23</v>
      </c>
      <c r="J5573" s="2">
        <v>41</v>
      </c>
      <c r="K5573" s="2" t="s">
        <v>129</v>
      </c>
      <c r="L5573" s="2">
        <v>801</v>
      </c>
      <c r="M5573" s="2" t="s">
        <v>56</v>
      </c>
      <c r="N5573" s="2">
        <v>10</v>
      </c>
      <c r="O5573" s="2">
        <v>220925.39</v>
      </c>
      <c r="P5573" s="2">
        <v>22092.54</v>
      </c>
    </row>
    <row r="5574" spans="1:16" outlineLevel="2" x14ac:dyDescent="0.2">
      <c r="A5574" s="5">
        <v>46258</v>
      </c>
      <c r="B5574" s="2">
        <v>161994</v>
      </c>
      <c r="C5574" s="2">
        <v>21</v>
      </c>
      <c r="D5574" s="2" t="s">
        <v>226</v>
      </c>
      <c r="E5574" s="2" t="s">
        <v>651</v>
      </c>
      <c r="F5574" s="2" t="s">
        <v>289</v>
      </c>
      <c r="G5574" s="2" t="s">
        <v>22</v>
      </c>
      <c r="H5574" s="2" t="s">
        <v>23</v>
      </c>
      <c r="I5574" s="2" t="s">
        <v>23</v>
      </c>
      <c r="J5574" s="2">
        <v>41</v>
      </c>
      <c r="K5574" s="2" t="s">
        <v>129</v>
      </c>
      <c r="L5574" s="2">
        <v>801</v>
      </c>
      <c r="M5574" s="2" t="s">
        <v>56</v>
      </c>
      <c r="N5574" s="2">
        <v>69</v>
      </c>
      <c r="O5574" s="2">
        <v>1624259.78</v>
      </c>
      <c r="P5574" s="2">
        <v>23540</v>
      </c>
    </row>
    <row r="5575" spans="1:16" outlineLevel="2" x14ac:dyDescent="0.2">
      <c r="A5575" s="5">
        <v>46258</v>
      </c>
      <c r="B5575" s="2">
        <v>161994</v>
      </c>
      <c r="C5575" s="2">
        <v>22</v>
      </c>
      <c r="D5575" s="2" t="s">
        <v>226</v>
      </c>
      <c r="E5575" s="2" t="s">
        <v>83</v>
      </c>
      <c r="F5575" s="2" t="s">
        <v>289</v>
      </c>
      <c r="G5575" s="2" t="s">
        <v>22</v>
      </c>
      <c r="H5575" s="2" t="s">
        <v>23</v>
      </c>
      <c r="I5575" s="2" t="s">
        <v>23</v>
      </c>
      <c r="J5575" s="2">
        <v>41</v>
      </c>
      <c r="K5575" s="2" t="s">
        <v>129</v>
      </c>
      <c r="L5575" s="2">
        <v>801</v>
      </c>
      <c r="M5575" s="2" t="s">
        <v>56</v>
      </c>
      <c r="N5575" s="2">
        <v>16</v>
      </c>
      <c r="O5575" s="2">
        <v>309605.44</v>
      </c>
      <c r="P5575" s="2">
        <v>19350.34</v>
      </c>
    </row>
    <row r="5576" spans="1:16" outlineLevel="2" x14ac:dyDescent="0.2">
      <c r="A5576" s="5">
        <v>46258</v>
      </c>
      <c r="B5576" s="2">
        <v>161994</v>
      </c>
      <c r="C5576" s="2">
        <v>24</v>
      </c>
      <c r="D5576" s="2" t="s">
        <v>226</v>
      </c>
      <c r="E5576" s="2" t="s">
        <v>586</v>
      </c>
      <c r="F5576" s="2" t="s">
        <v>289</v>
      </c>
      <c r="G5576" s="2" t="s">
        <v>22</v>
      </c>
      <c r="H5576" s="2" t="s">
        <v>23</v>
      </c>
      <c r="I5576" s="2" t="s">
        <v>23</v>
      </c>
      <c r="J5576" s="2">
        <v>41</v>
      </c>
      <c r="K5576" s="2" t="s">
        <v>129</v>
      </c>
      <c r="L5576" s="2">
        <v>801</v>
      </c>
      <c r="M5576" s="2" t="s">
        <v>56</v>
      </c>
      <c r="N5576" s="2">
        <v>21</v>
      </c>
      <c r="O5576" s="2">
        <v>499414</v>
      </c>
      <c r="P5576" s="2">
        <v>23781.62</v>
      </c>
    </row>
    <row r="5577" spans="1:16" outlineLevel="1" x14ac:dyDescent="0.2">
      <c r="A5577" s="5"/>
      <c r="D5577" s="3" t="s">
        <v>736</v>
      </c>
      <c r="N5577" s="2">
        <f>SUBTOTAL(9,N5572:N5576)</f>
        <v>132</v>
      </c>
      <c r="O5577" s="2">
        <f>SUBTOTAL(9,O5572:O5576)</f>
        <v>2967233.78</v>
      </c>
      <c r="P5577" s="2">
        <f>+O5577/N5577</f>
        <v>22479.043787878785</v>
      </c>
    </row>
    <row r="5578" spans="1:16" outlineLevel="2" x14ac:dyDescent="0.2">
      <c r="A5578" s="5">
        <v>46260</v>
      </c>
      <c r="B5578" s="2">
        <v>161994</v>
      </c>
      <c r="C5578" s="2">
        <v>311</v>
      </c>
      <c r="D5578" s="2" t="s">
        <v>406</v>
      </c>
      <c r="E5578" s="2" t="s">
        <v>228</v>
      </c>
      <c r="F5578" s="2" t="s">
        <v>289</v>
      </c>
      <c r="G5578" s="2" t="s">
        <v>22</v>
      </c>
      <c r="H5578" s="2" t="s">
        <v>23</v>
      </c>
      <c r="I5578" s="2" t="s">
        <v>23</v>
      </c>
      <c r="J5578" s="2">
        <v>1</v>
      </c>
      <c r="K5578" s="2" t="s">
        <v>24</v>
      </c>
      <c r="L5578" s="2">
        <v>801</v>
      </c>
      <c r="M5578" s="2" t="s">
        <v>56</v>
      </c>
      <c r="N5578" s="2">
        <v>2</v>
      </c>
      <c r="O5578" s="2">
        <v>37337.54</v>
      </c>
      <c r="P5578" s="2">
        <v>18668.77</v>
      </c>
    </row>
    <row r="5579" spans="1:16" outlineLevel="1" x14ac:dyDescent="0.2">
      <c r="A5579" s="5"/>
      <c r="D5579" s="3" t="s">
        <v>770</v>
      </c>
      <c r="N5579" s="2">
        <f>SUBTOTAL(9,N5578:N5578)</f>
        <v>2</v>
      </c>
      <c r="O5579" s="2">
        <f>SUBTOTAL(9,O5578:O5578)</f>
        <v>37337.54</v>
      </c>
      <c r="P5579" s="2">
        <f>+O5579/N5579</f>
        <v>18668.77</v>
      </c>
    </row>
    <row r="5580" spans="1:16" outlineLevel="2" x14ac:dyDescent="0.2">
      <c r="A5580" s="5">
        <v>46260</v>
      </c>
      <c r="B5580" s="2">
        <v>161994</v>
      </c>
      <c r="C5580" s="2">
        <v>320</v>
      </c>
      <c r="D5580" s="2" t="s">
        <v>54</v>
      </c>
      <c r="E5580" s="2" t="s">
        <v>30</v>
      </c>
      <c r="F5580" s="2" t="s">
        <v>289</v>
      </c>
      <c r="G5580" s="2" t="s">
        <v>22</v>
      </c>
      <c r="H5580" s="2" t="s">
        <v>23</v>
      </c>
      <c r="I5580" s="2" t="s">
        <v>23</v>
      </c>
      <c r="J5580" s="2">
        <v>2</v>
      </c>
      <c r="K5580" s="2" t="s">
        <v>48</v>
      </c>
      <c r="L5580" s="2">
        <v>801</v>
      </c>
      <c r="M5580" s="2" t="s">
        <v>56</v>
      </c>
      <c r="N5580" s="2">
        <v>17</v>
      </c>
      <c r="O5580" s="2">
        <v>204736.46</v>
      </c>
      <c r="P5580" s="2">
        <v>12043.32</v>
      </c>
    </row>
    <row r="5581" spans="1:16" outlineLevel="1" x14ac:dyDescent="0.2">
      <c r="A5581" s="5"/>
      <c r="D5581" s="3" t="s">
        <v>719</v>
      </c>
      <c r="N5581" s="2">
        <f>SUBTOTAL(9,N5580:N5580)</f>
        <v>17</v>
      </c>
      <c r="O5581" s="2">
        <f>SUBTOTAL(9,O5580:O5580)</f>
        <v>204736.46</v>
      </c>
      <c r="P5581" s="2">
        <f>+O5581/N5581</f>
        <v>12043.321176470588</v>
      </c>
    </row>
    <row r="5582" spans="1:16" outlineLevel="2" x14ac:dyDescent="0.2">
      <c r="A5582" s="5">
        <v>46260</v>
      </c>
      <c r="B5582" s="2">
        <v>162004</v>
      </c>
      <c r="C5582" s="2">
        <v>1</v>
      </c>
      <c r="D5582" s="2" t="s">
        <v>26</v>
      </c>
      <c r="E5582" s="2" t="s">
        <v>51</v>
      </c>
      <c r="F5582" s="2" t="s">
        <v>52</v>
      </c>
      <c r="G5582" s="2" t="s">
        <v>22</v>
      </c>
      <c r="H5582" s="2" t="s">
        <v>23</v>
      </c>
      <c r="I5582" s="2" t="s">
        <v>23</v>
      </c>
      <c r="J5582" s="2">
        <v>5</v>
      </c>
      <c r="K5582" s="2" t="s">
        <v>27</v>
      </c>
      <c r="L5582" s="2">
        <v>3048</v>
      </c>
      <c r="M5582" s="2" t="s">
        <v>53</v>
      </c>
      <c r="N5582" s="2">
        <v>21</v>
      </c>
      <c r="O5582" s="2">
        <v>98634.43</v>
      </c>
      <c r="P5582" s="2">
        <v>4696.88</v>
      </c>
    </row>
    <row r="5583" spans="1:16" outlineLevel="1" x14ac:dyDescent="0.2">
      <c r="A5583" s="5"/>
      <c r="D5583" s="3" t="s">
        <v>711</v>
      </c>
      <c r="N5583" s="2">
        <f>SUBTOTAL(9,N5582:N5582)</f>
        <v>21</v>
      </c>
      <c r="O5583" s="2">
        <f>SUBTOTAL(9,O5582:O5582)</f>
        <v>98634.43</v>
      </c>
      <c r="P5583" s="2">
        <f>+O5583/N5583</f>
        <v>4696.8776190476183</v>
      </c>
    </row>
    <row r="5584" spans="1:16" outlineLevel="2" x14ac:dyDescent="0.2">
      <c r="A5584" s="5">
        <v>46260</v>
      </c>
      <c r="B5584" s="2">
        <v>162005</v>
      </c>
      <c r="C5584" s="2">
        <v>2</v>
      </c>
      <c r="D5584" s="2" t="s">
        <v>404</v>
      </c>
      <c r="E5584" s="2" t="s">
        <v>23</v>
      </c>
      <c r="F5584" s="2" t="s">
        <v>405</v>
      </c>
      <c r="G5584" s="2" t="s">
        <v>22</v>
      </c>
      <c r="H5584" s="2" t="s">
        <v>23</v>
      </c>
      <c r="I5584" s="2" t="s">
        <v>23</v>
      </c>
      <c r="J5584" s="2">
        <v>86</v>
      </c>
      <c r="K5584" s="2" t="s">
        <v>73</v>
      </c>
      <c r="L5584" s="2">
        <v>1795</v>
      </c>
      <c r="M5584" s="2" t="s">
        <v>506</v>
      </c>
      <c r="N5584" s="2">
        <v>33</v>
      </c>
      <c r="O5584" s="2">
        <v>529907.24</v>
      </c>
      <c r="P5584" s="2">
        <v>16057.8</v>
      </c>
    </row>
    <row r="5585" spans="1:16" outlineLevel="1" x14ac:dyDescent="0.2">
      <c r="A5585" s="5"/>
      <c r="D5585" s="3" t="s">
        <v>769</v>
      </c>
      <c r="N5585" s="2">
        <f>SUBTOTAL(9,N5584:N5584)</f>
        <v>33</v>
      </c>
      <c r="O5585" s="2">
        <f>SUBTOTAL(9,O5584:O5584)</f>
        <v>529907.24</v>
      </c>
      <c r="P5585" s="2">
        <f>+O5585/N5585</f>
        <v>16057.795151515151</v>
      </c>
    </row>
    <row r="5586" spans="1:16" outlineLevel="2" x14ac:dyDescent="0.2">
      <c r="A5586" s="5">
        <v>46260</v>
      </c>
      <c r="B5586" s="2">
        <v>162049</v>
      </c>
      <c r="C5586" s="2">
        <v>1</v>
      </c>
      <c r="D5586" s="2" t="s">
        <v>75</v>
      </c>
      <c r="E5586" s="2" t="s">
        <v>23</v>
      </c>
      <c r="F5586" s="2" t="s">
        <v>108</v>
      </c>
      <c r="G5586" s="2" t="s">
        <v>22</v>
      </c>
      <c r="H5586" s="2" t="s">
        <v>23</v>
      </c>
      <c r="I5586" s="2" t="s">
        <v>100</v>
      </c>
      <c r="J5586" s="2">
        <v>1</v>
      </c>
      <c r="K5586" s="2" t="s">
        <v>24</v>
      </c>
      <c r="L5586" s="2">
        <v>2024</v>
      </c>
      <c r="M5586" s="2" t="s">
        <v>76</v>
      </c>
      <c r="N5586" s="2">
        <v>29</v>
      </c>
      <c r="O5586" s="2">
        <v>1205410.6100000001</v>
      </c>
      <c r="P5586" s="2">
        <v>41565.879999999997</v>
      </c>
    </row>
    <row r="5587" spans="1:16" outlineLevel="2" x14ac:dyDescent="0.2">
      <c r="A5587" s="5">
        <v>46260</v>
      </c>
      <c r="B5587" s="2">
        <v>162049</v>
      </c>
      <c r="C5587" s="2">
        <v>2</v>
      </c>
      <c r="D5587" s="2" t="s">
        <v>75</v>
      </c>
      <c r="E5587" s="2" t="s">
        <v>23</v>
      </c>
      <c r="F5587" s="2" t="s">
        <v>108</v>
      </c>
      <c r="G5587" s="2" t="s">
        <v>22</v>
      </c>
      <c r="H5587" s="2" t="s">
        <v>23</v>
      </c>
      <c r="I5587" s="2" t="s">
        <v>109</v>
      </c>
      <c r="J5587" s="2">
        <v>1</v>
      </c>
      <c r="K5587" s="2" t="s">
        <v>24</v>
      </c>
      <c r="L5587" s="2">
        <v>2024</v>
      </c>
      <c r="M5587" s="2" t="s">
        <v>76</v>
      </c>
      <c r="N5587" s="2">
        <v>145</v>
      </c>
      <c r="O5587" s="2">
        <v>6621664.0499999998</v>
      </c>
      <c r="P5587" s="2">
        <v>45666.65</v>
      </c>
    </row>
    <row r="5588" spans="1:16" outlineLevel="2" x14ac:dyDescent="0.2">
      <c r="A5588" s="5">
        <v>46260</v>
      </c>
      <c r="B5588" s="2">
        <v>162049</v>
      </c>
      <c r="C5588" s="2">
        <v>3</v>
      </c>
      <c r="D5588" s="2" t="s">
        <v>75</v>
      </c>
      <c r="E5588" s="2" t="s">
        <v>23</v>
      </c>
      <c r="F5588" s="2" t="s">
        <v>108</v>
      </c>
      <c r="G5588" s="2" t="s">
        <v>22</v>
      </c>
      <c r="H5588" s="2" t="s">
        <v>23</v>
      </c>
      <c r="I5588" s="2" t="s">
        <v>101</v>
      </c>
      <c r="J5588" s="2">
        <v>1</v>
      </c>
      <c r="K5588" s="2" t="s">
        <v>24</v>
      </c>
      <c r="L5588" s="2">
        <v>2024</v>
      </c>
      <c r="M5588" s="2" t="s">
        <v>76</v>
      </c>
      <c r="N5588" s="2">
        <v>36</v>
      </c>
      <c r="O5588" s="2">
        <v>1547993</v>
      </c>
      <c r="P5588" s="2">
        <v>42999.81</v>
      </c>
    </row>
    <row r="5589" spans="1:16" outlineLevel="1" x14ac:dyDescent="0.2">
      <c r="A5589" s="5"/>
      <c r="D5589" s="3" t="s">
        <v>729</v>
      </c>
      <c r="N5589" s="2">
        <f>SUBTOTAL(9,N5586:N5588)</f>
        <v>210</v>
      </c>
      <c r="O5589" s="2">
        <f>SUBTOTAL(9,O5586:O5588)</f>
        <v>9375067.6600000001</v>
      </c>
      <c r="P5589" s="2">
        <f>+O5589/N5589</f>
        <v>44643.179333333333</v>
      </c>
    </row>
    <row r="5590" spans="1:16" outlineLevel="2" x14ac:dyDescent="0.2">
      <c r="A5590" s="5">
        <v>46260</v>
      </c>
      <c r="B5590" s="2">
        <v>162050</v>
      </c>
      <c r="C5590" s="2">
        <v>2</v>
      </c>
      <c r="D5590" s="2" t="s">
        <v>38</v>
      </c>
      <c r="E5590" s="2" t="s">
        <v>39</v>
      </c>
      <c r="F5590" s="2" t="s">
        <v>63</v>
      </c>
      <c r="G5590" s="2" t="s">
        <v>22</v>
      </c>
      <c r="H5590" s="2" t="s">
        <v>23</v>
      </c>
      <c r="I5590" s="2" t="s">
        <v>23</v>
      </c>
      <c r="J5590" s="2">
        <v>124</v>
      </c>
      <c r="K5590" s="2" t="s">
        <v>155</v>
      </c>
      <c r="L5590" s="2">
        <v>817</v>
      </c>
      <c r="M5590" s="2" t="s">
        <v>117</v>
      </c>
      <c r="N5590" s="2">
        <v>20</v>
      </c>
      <c r="O5590" s="2">
        <v>1521957.01</v>
      </c>
      <c r="P5590" s="2">
        <v>76097.850000000006</v>
      </c>
    </row>
    <row r="5591" spans="1:16" outlineLevel="1" x14ac:dyDescent="0.2">
      <c r="A5591" s="5"/>
      <c r="D5591" s="3" t="s">
        <v>721</v>
      </c>
      <c r="N5591" s="2">
        <f>SUBTOTAL(9,N5590:N5590)</f>
        <v>20</v>
      </c>
      <c r="O5591" s="2">
        <f>SUBTOTAL(9,O5590:O5590)</f>
        <v>1521957.01</v>
      </c>
      <c r="P5591" s="2">
        <f>+O5591/N5591</f>
        <v>76097.8505</v>
      </c>
    </row>
    <row r="5592" spans="1:16" outlineLevel="2" x14ac:dyDescent="0.2">
      <c r="A5592" s="5">
        <v>46260</v>
      </c>
      <c r="B5592" s="2">
        <v>162051</v>
      </c>
      <c r="C5592" s="2">
        <v>4</v>
      </c>
      <c r="D5592" s="2" t="s">
        <v>45</v>
      </c>
      <c r="E5592" s="2" t="s">
        <v>125</v>
      </c>
      <c r="F5592" s="2" t="s">
        <v>289</v>
      </c>
      <c r="G5592" s="2" t="s">
        <v>22</v>
      </c>
      <c r="H5592" s="2" t="s">
        <v>23</v>
      </c>
      <c r="I5592" s="2" t="s">
        <v>23</v>
      </c>
      <c r="J5592" s="2">
        <v>2</v>
      </c>
      <c r="K5592" s="2" t="s">
        <v>48</v>
      </c>
      <c r="L5592" s="2">
        <v>106</v>
      </c>
      <c r="M5592" s="2" t="s">
        <v>486</v>
      </c>
      <c r="N5592" s="2">
        <v>30</v>
      </c>
      <c r="O5592" s="2">
        <v>1179277.6200000001</v>
      </c>
      <c r="P5592" s="2">
        <v>39309.25</v>
      </c>
    </row>
    <row r="5593" spans="1:16" outlineLevel="1" x14ac:dyDescent="0.2">
      <c r="A5593" s="5"/>
      <c r="D5593" s="3" t="s">
        <v>733</v>
      </c>
      <c r="N5593" s="2">
        <f>SUBTOTAL(9,N5592:N5592)</f>
        <v>30</v>
      </c>
      <c r="O5593" s="2">
        <f>SUBTOTAL(9,O5592:O5592)</f>
        <v>1179277.6200000001</v>
      </c>
      <c r="P5593" s="2">
        <f>+O5593/N5593</f>
        <v>39309.254000000001</v>
      </c>
    </row>
    <row r="5594" spans="1:16" outlineLevel="2" x14ac:dyDescent="0.2">
      <c r="A5594" s="5">
        <v>46260</v>
      </c>
      <c r="B5594" s="2">
        <v>162051</v>
      </c>
      <c r="C5594" s="2">
        <v>6</v>
      </c>
      <c r="D5594" s="2" t="s">
        <v>226</v>
      </c>
      <c r="E5594" s="2" t="s">
        <v>671</v>
      </c>
      <c r="F5594" s="2" t="s">
        <v>289</v>
      </c>
      <c r="G5594" s="2" t="s">
        <v>22</v>
      </c>
      <c r="H5594" s="2" t="s">
        <v>23</v>
      </c>
      <c r="I5594" s="2" t="s">
        <v>23</v>
      </c>
      <c r="J5594" s="2">
        <v>2</v>
      </c>
      <c r="K5594" s="2" t="s">
        <v>48</v>
      </c>
      <c r="L5594" s="2">
        <v>106</v>
      </c>
      <c r="M5594" s="2" t="s">
        <v>486</v>
      </c>
      <c r="N5594" s="2">
        <v>32</v>
      </c>
      <c r="O5594" s="2">
        <v>573479.18999999994</v>
      </c>
      <c r="P5594" s="2">
        <v>17921.22</v>
      </c>
    </row>
    <row r="5595" spans="1:16" outlineLevel="1" x14ac:dyDescent="0.2">
      <c r="A5595" s="5"/>
      <c r="D5595" s="3" t="s">
        <v>736</v>
      </c>
      <c r="N5595" s="2">
        <f>SUBTOTAL(9,N5594:N5594)</f>
        <v>32</v>
      </c>
      <c r="O5595" s="2">
        <f>SUBTOTAL(9,O5594:O5594)</f>
        <v>573479.18999999994</v>
      </c>
      <c r="P5595" s="2">
        <f>+O5595/N5595</f>
        <v>17921.224687499998</v>
      </c>
    </row>
    <row r="5596" spans="1:16" outlineLevel="2" x14ac:dyDescent="0.2">
      <c r="A5596" s="5">
        <v>46260</v>
      </c>
      <c r="B5596" s="2">
        <v>162052</v>
      </c>
      <c r="C5596" s="2">
        <v>2</v>
      </c>
      <c r="D5596" s="2" t="s">
        <v>45</v>
      </c>
      <c r="E5596" s="2" t="s">
        <v>295</v>
      </c>
      <c r="F5596" s="2" t="s">
        <v>289</v>
      </c>
      <c r="G5596" s="2" t="s">
        <v>22</v>
      </c>
      <c r="H5596" s="2" t="s">
        <v>23</v>
      </c>
      <c r="I5596" s="2" t="s">
        <v>23</v>
      </c>
      <c r="J5596" s="2">
        <v>41</v>
      </c>
      <c r="K5596" s="2" t="s">
        <v>129</v>
      </c>
      <c r="L5596" s="2">
        <v>801</v>
      </c>
      <c r="M5596" s="2" t="s">
        <v>56</v>
      </c>
      <c r="N5596" s="2">
        <v>17</v>
      </c>
      <c r="O5596" s="2">
        <v>323300.46999999997</v>
      </c>
      <c r="P5596" s="2">
        <v>19017.669999999998</v>
      </c>
    </row>
    <row r="5597" spans="1:16" outlineLevel="2" x14ac:dyDescent="0.2">
      <c r="A5597" s="5">
        <v>46260</v>
      </c>
      <c r="B5597" s="2">
        <v>162052</v>
      </c>
      <c r="C5597" s="2">
        <v>4</v>
      </c>
      <c r="D5597" s="2" t="s">
        <v>45</v>
      </c>
      <c r="E5597" s="2" t="s">
        <v>530</v>
      </c>
      <c r="F5597" s="2" t="s">
        <v>289</v>
      </c>
      <c r="G5597" s="2" t="s">
        <v>22</v>
      </c>
      <c r="H5597" s="2" t="s">
        <v>23</v>
      </c>
      <c r="I5597" s="2" t="s">
        <v>23</v>
      </c>
      <c r="J5597" s="2">
        <v>41</v>
      </c>
      <c r="K5597" s="2" t="s">
        <v>129</v>
      </c>
      <c r="L5597" s="2">
        <v>801</v>
      </c>
      <c r="M5597" s="2" t="s">
        <v>56</v>
      </c>
      <c r="N5597" s="2">
        <v>3</v>
      </c>
      <c r="O5597" s="2">
        <v>55076.31</v>
      </c>
      <c r="P5597" s="2">
        <v>18358.77</v>
      </c>
    </row>
    <row r="5598" spans="1:16" outlineLevel="2" x14ac:dyDescent="0.2">
      <c r="A5598" s="5">
        <v>46260</v>
      </c>
      <c r="B5598" s="2">
        <v>162052</v>
      </c>
      <c r="C5598" s="2">
        <v>6</v>
      </c>
      <c r="D5598" s="2" t="s">
        <v>45</v>
      </c>
      <c r="E5598" s="2" t="s">
        <v>598</v>
      </c>
      <c r="F5598" s="2" t="s">
        <v>289</v>
      </c>
      <c r="G5598" s="2" t="s">
        <v>22</v>
      </c>
      <c r="H5598" s="2" t="s">
        <v>23</v>
      </c>
      <c r="I5598" s="2" t="s">
        <v>23</v>
      </c>
      <c r="J5598" s="2">
        <v>41</v>
      </c>
      <c r="K5598" s="2" t="s">
        <v>129</v>
      </c>
      <c r="L5598" s="2">
        <v>801</v>
      </c>
      <c r="M5598" s="2" t="s">
        <v>56</v>
      </c>
      <c r="N5598" s="2">
        <v>11</v>
      </c>
      <c r="O5598" s="2">
        <v>257639.48</v>
      </c>
      <c r="P5598" s="2">
        <v>23421.77</v>
      </c>
    </row>
    <row r="5599" spans="1:16" outlineLevel="2" x14ac:dyDescent="0.2">
      <c r="A5599" s="5">
        <v>46260</v>
      </c>
      <c r="B5599" s="2">
        <v>162052</v>
      </c>
      <c r="C5599" s="2">
        <v>8</v>
      </c>
      <c r="D5599" s="2" t="s">
        <v>45</v>
      </c>
      <c r="E5599" s="2" t="s">
        <v>558</v>
      </c>
      <c r="F5599" s="2" t="s">
        <v>289</v>
      </c>
      <c r="G5599" s="2" t="s">
        <v>22</v>
      </c>
      <c r="H5599" s="2" t="s">
        <v>23</v>
      </c>
      <c r="I5599" s="2" t="s">
        <v>23</v>
      </c>
      <c r="J5599" s="2">
        <v>41</v>
      </c>
      <c r="K5599" s="2" t="s">
        <v>129</v>
      </c>
      <c r="L5599" s="2">
        <v>801</v>
      </c>
      <c r="M5599" s="2" t="s">
        <v>56</v>
      </c>
      <c r="N5599" s="2">
        <v>10</v>
      </c>
      <c r="O5599" s="2">
        <v>231503.24</v>
      </c>
      <c r="P5599" s="2">
        <v>23150.32</v>
      </c>
    </row>
    <row r="5600" spans="1:16" outlineLevel="2" x14ac:dyDescent="0.2">
      <c r="A5600" s="5">
        <v>46260</v>
      </c>
      <c r="B5600" s="2">
        <v>162052</v>
      </c>
      <c r="C5600" s="2">
        <v>9</v>
      </c>
      <c r="D5600" s="2" t="s">
        <v>45</v>
      </c>
      <c r="E5600" s="2" t="s">
        <v>692</v>
      </c>
      <c r="F5600" s="2" t="s">
        <v>289</v>
      </c>
      <c r="G5600" s="2" t="s">
        <v>22</v>
      </c>
      <c r="H5600" s="2" t="s">
        <v>23</v>
      </c>
      <c r="I5600" s="2" t="s">
        <v>23</v>
      </c>
      <c r="J5600" s="2">
        <v>41</v>
      </c>
      <c r="K5600" s="2" t="s">
        <v>129</v>
      </c>
      <c r="L5600" s="2">
        <v>801</v>
      </c>
      <c r="M5600" s="2" t="s">
        <v>56</v>
      </c>
      <c r="N5600" s="2">
        <v>1</v>
      </c>
      <c r="O5600" s="2">
        <v>22092.54</v>
      </c>
      <c r="P5600" s="2">
        <v>22092.54</v>
      </c>
    </row>
    <row r="5601" spans="1:16" outlineLevel="1" x14ac:dyDescent="0.2">
      <c r="A5601" s="5"/>
      <c r="D5601" s="3" t="s">
        <v>733</v>
      </c>
      <c r="N5601" s="2">
        <f>SUBTOTAL(9,N5596:N5600)</f>
        <v>42</v>
      </c>
      <c r="O5601" s="2">
        <f>SUBTOTAL(9,O5596:O5600)</f>
        <v>889612.04</v>
      </c>
      <c r="P5601" s="2">
        <f>+O5601/N5601</f>
        <v>21181.239047619049</v>
      </c>
    </row>
    <row r="5602" spans="1:16" outlineLevel="2" x14ac:dyDescent="0.2">
      <c r="A5602" s="5">
        <v>46260</v>
      </c>
      <c r="B5602" s="2">
        <v>162052</v>
      </c>
      <c r="C5602" s="2">
        <v>16</v>
      </c>
      <c r="D5602" s="2" t="s">
        <v>226</v>
      </c>
      <c r="E5602" s="2" t="s">
        <v>651</v>
      </c>
      <c r="F5602" s="2" t="s">
        <v>289</v>
      </c>
      <c r="G5602" s="2" t="s">
        <v>22</v>
      </c>
      <c r="H5602" s="2" t="s">
        <v>23</v>
      </c>
      <c r="I5602" s="2" t="s">
        <v>23</v>
      </c>
      <c r="J5602" s="2">
        <v>41</v>
      </c>
      <c r="K5602" s="2" t="s">
        <v>129</v>
      </c>
      <c r="L5602" s="2">
        <v>801</v>
      </c>
      <c r="M5602" s="2" t="s">
        <v>56</v>
      </c>
      <c r="N5602" s="2">
        <v>83</v>
      </c>
      <c r="O5602" s="2">
        <v>1926704.49</v>
      </c>
      <c r="P5602" s="2">
        <v>23213.31</v>
      </c>
    </row>
    <row r="5603" spans="1:16" outlineLevel="2" x14ac:dyDescent="0.2">
      <c r="A5603" s="5">
        <v>46260</v>
      </c>
      <c r="B5603" s="2">
        <v>162052</v>
      </c>
      <c r="C5603" s="2">
        <v>18</v>
      </c>
      <c r="D5603" s="2" t="s">
        <v>226</v>
      </c>
      <c r="E5603" s="2" t="s">
        <v>640</v>
      </c>
      <c r="F5603" s="2" t="s">
        <v>289</v>
      </c>
      <c r="G5603" s="2" t="s">
        <v>22</v>
      </c>
      <c r="H5603" s="2" t="s">
        <v>23</v>
      </c>
      <c r="I5603" s="2" t="s">
        <v>23</v>
      </c>
      <c r="J5603" s="2">
        <v>41</v>
      </c>
      <c r="K5603" s="2" t="s">
        <v>129</v>
      </c>
      <c r="L5603" s="2">
        <v>801</v>
      </c>
      <c r="M5603" s="2" t="s">
        <v>56</v>
      </c>
      <c r="N5603" s="2">
        <v>16</v>
      </c>
      <c r="O5603" s="2">
        <v>388017.87</v>
      </c>
      <c r="P5603" s="2">
        <v>24251.119999999999</v>
      </c>
    </row>
    <row r="5604" spans="1:16" outlineLevel="1" x14ac:dyDescent="0.2">
      <c r="A5604" s="5"/>
      <c r="D5604" s="3" t="s">
        <v>736</v>
      </c>
      <c r="N5604" s="2">
        <f>SUBTOTAL(9,N5602:N5603)</f>
        <v>99</v>
      </c>
      <c r="O5604" s="2">
        <f>SUBTOTAL(9,O5602:O5603)</f>
        <v>2314722.36</v>
      </c>
      <c r="P5604" s="2">
        <f>+O5604/N5604</f>
        <v>23381.033939393939</v>
      </c>
    </row>
    <row r="5605" spans="1:16" outlineLevel="2" x14ac:dyDescent="0.2">
      <c r="A5605" s="5">
        <v>46076</v>
      </c>
      <c r="B5605" s="2">
        <v>167186</v>
      </c>
      <c r="C5605" s="2">
        <v>4</v>
      </c>
      <c r="D5605" s="2" t="s">
        <v>207</v>
      </c>
      <c r="E5605" s="2" t="s">
        <v>23</v>
      </c>
      <c r="F5605" s="2" t="s">
        <v>47</v>
      </c>
      <c r="G5605" s="2" t="s">
        <v>22</v>
      </c>
      <c r="H5605" s="2" t="s">
        <v>209</v>
      </c>
      <c r="I5605" s="2" t="s">
        <v>23</v>
      </c>
      <c r="J5605" s="2">
        <v>41</v>
      </c>
      <c r="K5605" s="2" t="s">
        <v>129</v>
      </c>
      <c r="L5605" s="2">
        <v>25213</v>
      </c>
      <c r="M5605" s="2" t="s">
        <v>130</v>
      </c>
      <c r="N5605" s="2">
        <v>50</v>
      </c>
      <c r="O5605" s="2">
        <v>160229.92000000001</v>
      </c>
      <c r="P5605" s="2">
        <v>3204.6</v>
      </c>
    </row>
    <row r="5606" spans="1:16" outlineLevel="1" x14ac:dyDescent="0.2">
      <c r="A5606" s="5"/>
      <c r="D5606" s="3" t="s">
        <v>699</v>
      </c>
      <c r="N5606" s="2">
        <f>SUBTOTAL(9,N5605:N5605)</f>
        <v>50</v>
      </c>
      <c r="O5606" s="2">
        <f>SUBTOTAL(9,O5605:O5605)</f>
        <v>160229.92000000001</v>
      </c>
      <c r="P5606" s="2">
        <f>+O5606/N5606</f>
        <v>3204.5984000000003</v>
      </c>
    </row>
    <row r="5607" spans="1:16" outlineLevel="2" x14ac:dyDescent="0.2">
      <c r="A5607" s="5">
        <v>46181</v>
      </c>
      <c r="B5607" s="2">
        <v>189849</v>
      </c>
      <c r="C5607" s="2">
        <v>1</v>
      </c>
      <c r="D5607" s="2" t="s">
        <v>75</v>
      </c>
      <c r="E5607" s="2" t="s">
        <v>412</v>
      </c>
      <c r="F5607" s="2" t="s">
        <v>108</v>
      </c>
      <c r="G5607" s="2" t="s">
        <v>22</v>
      </c>
      <c r="H5607" s="2" t="s">
        <v>23</v>
      </c>
      <c r="I5607" s="2" t="s">
        <v>100</v>
      </c>
      <c r="J5607" s="2">
        <v>1</v>
      </c>
      <c r="K5607" s="2" t="s">
        <v>24</v>
      </c>
      <c r="L5607" s="2">
        <v>2024</v>
      </c>
      <c r="M5607" s="2" t="s">
        <v>76</v>
      </c>
      <c r="N5607" s="2">
        <v>80</v>
      </c>
      <c r="O5607" s="2">
        <v>2267432.83</v>
      </c>
      <c r="P5607" s="2">
        <v>28342.91</v>
      </c>
    </row>
    <row r="5608" spans="1:16" outlineLevel="1" x14ac:dyDescent="0.2">
      <c r="A5608" s="5"/>
      <c r="D5608" s="3" t="s">
        <v>729</v>
      </c>
      <c r="N5608" s="2">
        <f>SUBTOTAL(9,N5607:N5607)</f>
        <v>80</v>
      </c>
      <c r="O5608" s="2">
        <f>SUBTOTAL(9,O5607:O5607)</f>
        <v>2267432.83</v>
      </c>
      <c r="P5608" s="2">
        <f>+O5608/N5608</f>
        <v>28342.910374999999</v>
      </c>
    </row>
    <row r="5609" spans="1:16" outlineLevel="2" x14ac:dyDescent="0.2">
      <c r="A5609" s="5">
        <v>46029</v>
      </c>
      <c r="B5609" s="2">
        <v>255927</v>
      </c>
      <c r="C5609" s="2">
        <v>4</v>
      </c>
      <c r="D5609" s="2" t="s">
        <v>207</v>
      </c>
      <c r="E5609" s="2" t="s">
        <v>23</v>
      </c>
      <c r="F5609" s="2" t="s">
        <v>47</v>
      </c>
      <c r="G5609" s="2" t="s">
        <v>22</v>
      </c>
      <c r="H5609" s="2" t="s">
        <v>208</v>
      </c>
      <c r="I5609" s="2" t="s">
        <v>23</v>
      </c>
      <c r="J5609" s="2">
        <v>41</v>
      </c>
      <c r="K5609" s="2" t="s">
        <v>129</v>
      </c>
      <c r="L5609" s="2">
        <v>25213</v>
      </c>
      <c r="M5609" s="2" t="s">
        <v>130</v>
      </c>
      <c r="N5609" s="2">
        <v>72</v>
      </c>
      <c r="O5609" s="2">
        <v>235945.25</v>
      </c>
      <c r="P5609" s="2">
        <v>3277.02</v>
      </c>
    </row>
    <row r="5610" spans="1:16" outlineLevel="1" x14ac:dyDescent="0.2">
      <c r="A5610" s="5"/>
      <c r="D5610" s="3" t="s">
        <v>699</v>
      </c>
      <c r="N5610" s="2">
        <f>SUBTOTAL(9,N5609:N5609)</f>
        <v>72</v>
      </c>
      <c r="O5610" s="2">
        <f>SUBTOTAL(9,O5609:O5609)</f>
        <v>235945.25</v>
      </c>
      <c r="P5610" s="2">
        <f>+O5610/N5610</f>
        <v>3277.0173611111113</v>
      </c>
    </row>
    <row r="5611" spans="1:16" x14ac:dyDescent="0.2">
      <c r="A5611" s="5"/>
      <c r="D5611" s="3" t="s">
        <v>812</v>
      </c>
      <c r="N5611" s="2">
        <f>SUBTOTAL(9,N5:N5609)</f>
        <v>339554.67</v>
      </c>
      <c r="O5611" s="2">
        <f>SUBTOTAL(9,O5:O5609)</f>
        <v>11254924673.010017</v>
      </c>
    </row>
  </sheetData>
  <sortState xmlns:xlrd2="http://schemas.microsoft.com/office/spreadsheetml/2017/richdata2" ref="A5:P200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mrivarola</cp:lastModifiedBy>
  <dcterms:created xsi:type="dcterms:W3CDTF">2026-08-26T15:40:27Z</dcterms:created>
  <dcterms:modified xsi:type="dcterms:W3CDTF">2026-08-26T17:00:49Z</dcterms:modified>
</cp:coreProperties>
</file>